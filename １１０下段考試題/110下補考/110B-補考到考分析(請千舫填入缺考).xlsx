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9206396-01D4-462A-9273-AACA1E7ECBCE}" xr6:coauthVersionLast="47" xr6:coauthVersionMax="47" xr10:uidLastSave="{00000000-0000-0000-0000-000000000000}"/>
  <bookViews>
    <workbookView xWindow="-108" yWindow="-108" windowWidth="23256" windowHeight="12576" activeTab="1" xr2:uid="{186C297B-E578-4FC4-90EB-7A6349F3245E}"/>
  </bookViews>
  <sheets>
    <sheet name="考程表" sheetId="2" r:id="rId1"/>
    <sheet name="分析(千舫填入缺考人數)" sheetId="1" r:id="rId2"/>
  </sheets>
  <definedNames>
    <definedName name="_xlnm.Print_Area" localSheetId="1">'分析(千舫填入缺考人數)'!$A$1:$M$20</definedName>
    <definedName name="_xlnm.Print_Area" localSheetId="0">考程表!$A$1:$T$77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8" i="2" l="1"/>
  <c r="B88" i="2" s="1"/>
  <c r="P77" i="2"/>
  <c r="M77" i="2"/>
  <c r="J77" i="2"/>
  <c r="G77" i="2"/>
  <c r="D77" i="2"/>
  <c r="S67" i="2"/>
  <c r="P67" i="2"/>
  <c r="M67" i="2"/>
  <c r="J67" i="2"/>
  <c r="G67" i="2"/>
  <c r="D67" i="2"/>
  <c r="P59" i="2"/>
  <c r="M59" i="2"/>
  <c r="J59" i="2"/>
  <c r="G59" i="2"/>
  <c r="D59" i="2"/>
  <c r="P51" i="2"/>
  <c r="M51" i="2"/>
  <c r="J51" i="2"/>
  <c r="G51" i="2"/>
  <c r="D51" i="2"/>
  <c r="Y38" i="2"/>
  <c r="V38" i="2"/>
  <c r="S38" i="2"/>
  <c r="P38" i="2"/>
  <c r="M38" i="2"/>
  <c r="J38" i="2"/>
  <c r="G38" i="2"/>
  <c r="D38" i="2"/>
  <c r="Y27" i="2"/>
  <c r="V27" i="2"/>
  <c r="S27" i="2"/>
  <c r="P27" i="2"/>
  <c r="M27" i="2"/>
  <c r="J27" i="2"/>
  <c r="G27" i="2"/>
  <c r="D27" i="2"/>
  <c r="Y18" i="2"/>
  <c r="V18" i="2"/>
  <c r="S18" i="2"/>
  <c r="P18" i="2"/>
  <c r="M18" i="2"/>
  <c r="J18" i="2"/>
  <c r="G18" i="2"/>
  <c r="D18" i="2"/>
  <c r="A4" i="2" l="1"/>
  <c r="I6" i="1"/>
  <c r="I7" i="1"/>
  <c r="I8" i="1"/>
  <c r="I9" i="1"/>
  <c r="I10" i="1"/>
  <c r="I11" i="1"/>
  <c r="I12" i="1"/>
  <c r="I13" i="1"/>
  <c r="I14" i="1"/>
  <c r="I15" i="1"/>
  <c r="E12" i="1"/>
  <c r="E13" i="1"/>
  <c r="E14" i="1"/>
  <c r="L18" i="1"/>
  <c r="K18" i="1"/>
  <c r="H18" i="1"/>
  <c r="G18" i="1"/>
  <c r="D18" i="1"/>
  <c r="C18" i="1"/>
  <c r="M14" i="1"/>
  <c r="M15" i="1"/>
  <c r="M16" i="1"/>
  <c r="M17" i="1"/>
  <c r="E3" i="1"/>
  <c r="E4" i="1"/>
  <c r="E5" i="1"/>
  <c r="E6" i="1"/>
  <c r="E7" i="1"/>
  <c r="E8" i="1"/>
  <c r="E9" i="1"/>
  <c r="E10" i="1"/>
  <c r="E11" i="1"/>
  <c r="I2" i="1"/>
  <c r="I3" i="1"/>
  <c r="I4" i="1"/>
  <c r="I5" i="1"/>
  <c r="M13" i="1"/>
  <c r="M12" i="1"/>
  <c r="M11" i="1"/>
  <c r="M10" i="1"/>
  <c r="M9" i="1"/>
  <c r="M8" i="1"/>
  <c r="M7" i="1"/>
  <c r="M6" i="1"/>
  <c r="M5" i="1"/>
  <c r="M4" i="1"/>
  <c r="M3" i="1"/>
  <c r="M2" i="1"/>
  <c r="E2" i="1"/>
  <c r="G20" i="1" l="1"/>
  <c r="C20" i="1"/>
  <c r="I18" i="1"/>
  <c r="E18" i="1"/>
  <c r="M18" i="1"/>
  <c r="K20" i="1" l="1"/>
</calcChain>
</file>

<file path=xl/sharedStrings.xml><?xml version="1.0" encoding="utf-8"?>
<sst xmlns="http://schemas.openxmlformats.org/spreadsheetml/2006/main" count="555" uniqueCount="163">
  <si>
    <t>一年級</t>
    <phoneticPr fontId="2" type="noConversion"/>
  </si>
  <si>
    <t>小計</t>
    <phoneticPr fontId="2" type="noConversion"/>
  </si>
  <si>
    <t>缺考</t>
    <phoneticPr fontId="2" type="noConversion"/>
  </si>
  <si>
    <t>到考率</t>
    <phoneticPr fontId="2" type="noConversion"/>
  </si>
  <si>
    <t>二年級</t>
    <phoneticPr fontId="2" type="noConversion"/>
  </si>
  <si>
    <t>三年級</t>
    <phoneticPr fontId="2" type="noConversion"/>
  </si>
  <si>
    <t>國語文</t>
  </si>
  <si>
    <t>英語文</t>
  </si>
  <si>
    <t>數學</t>
  </si>
  <si>
    <t>健康與護理</t>
  </si>
  <si>
    <t>物理</t>
  </si>
  <si>
    <t>歷史</t>
  </si>
  <si>
    <t>機械製造</t>
  </si>
  <si>
    <t>地理</t>
  </si>
  <si>
    <t>機械材料</t>
  </si>
  <si>
    <t>基本電學</t>
  </si>
  <si>
    <t>機械力學</t>
  </si>
  <si>
    <t>數位邏輯</t>
  </si>
  <si>
    <t>電子學</t>
  </si>
  <si>
    <t>電工機械</t>
  </si>
  <si>
    <r>
      <rPr>
        <sz val="10"/>
        <rFont val="Arial"/>
        <family val="2"/>
      </rPr>
      <t>小計</t>
    </r>
    <phoneticPr fontId="2" type="noConversion"/>
  </si>
  <si>
    <r>
      <rPr>
        <sz val="10"/>
        <rFont val="Arial"/>
        <family val="2"/>
      </rPr>
      <t>高一小計</t>
    </r>
    <phoneticPr fontId="2" type="noConversion"/>
  </si>
  <si>
    <r>
      <rPr>
        <sz val="10"/>
        <rFont val="Arial"/>
        <family val="2"/>
      </rPr>
      <t>高二小計</t>
    </r>
    <phoneticPr fontId="2" type="noConversion"/>
  </si>
  <si>
    <r>
      <rPr>
        <sz val="10"/>
        <rFont val="Arial"/>
        <family val="2"/>
      </rPr>
      <t>高三小計</t>
    </r>
    <phoneticPr fontId="2" type="noConversion"/>
  </si>
  <si>
    <r>
      <rPr>
        <sz val="10"/>
        <rFont val="Arial"/>
        <family val="2"/>
      </rPr>
      <t>總計</t>
    </r>
  </si>
  <si>
    <r>
      <rPr>
        <sz val="10"/>
        <rFont val="Arial"/>
        <family val="2"/>
      </rPr>
      <t>缺考</t>
    </r>
    <phoneticPr fontId="1" type="noConversion"/>
  </si>
  <si>
    <r>
      <rPr>
        <sz val="10"/>
        <rFont val="Arial"/>
        <family val="2"/>
      </rPr>
      <t>到考率</t>
    </r>
    <phoneticPr fontId="1" type="noConversion"/>
  </si>
  <si>
    <t>全民國防</t>
    <phoneticPr fontId="1" type="noConversion"/>
  </si>
  <si>
    <t>公民社會</t>
    <phoneticPr fontId="1" type="noConversion"/>
  </si>
  <si>
    <t>底盤原理</t>
    <phoneticPr fontId="1" type="noConversion"/>
  </si>
  <si>
    <t>汽車電學</t>
    <phoneticPr fontId="1" type="noConversion"/>
  </si>
  <si>
    <t>基礎電子學</t>
    <phoneticPr fontId="1" type="noConversion"/>
  </si>
  <si>
    <t>基本電子電路學</t>
    <phoneticPr fontId="1" type="noConversion"/>
  </si>
  <si>
    <t>生物</t>
    <phoneticPr fontId="1" type="noConversion"/>
  </si>
  <si>
    <t>機件原理</t>
    <phoneticPr fontId="1" type="noConversion"/>
  </si>
  <si>
    <t>汽車工業英文</t>
    <phoneticPr fontId="1" type="noConversion"/>
  </si>
  <si>
    <t>新北市立新北高級工業職業學校110學年度第二學期高一、高二補考考程表</t>
    <phoneticPr fontId="2" type="noConversion"/>
  </si>
  <si>
    <t>第一教學大樓</t>
    <phoneticPr fontId="2" type="noConversion"/>
  </si>
  <si>
    <t>三樓</t>
    <phoneticPr fontId="2" type="noConversion"/>
  </si>
  <si>
    <t>四樓</t>
    <phoneticPr fontId="2" type="noConversion"/>
  </si>
  <si>
    <t>機械三乙</t>
    <phoneticPr fontId="2" type="noConversion"/>
  </si>
  <si>
    <t>應英三甲</t>
    <phoneticPr fontId="2" type="noConversion"/>
  </si>
  <si>
    <t>應英三乙</t>
    <phoneticPr fontId="2" type="noConversion"/>
  </si>
  <si>
    <t>電機三丙</t>
    <phoneticPr fontId="2" type="noConversion"/>
  </si>
  <si>
    <t>資處三甲</t>
    <phoneticPr fontId="2" type="noConversion"/>
  </si>
  <si>
    <t>資處三乙</t>
    <phoneticPr fontId="2" type="noConversion"/>
  </si>
  <si>
    <t>模具二甲</t>
  </si>
  <si>
    <t>模具二乙</t>
  </si>
  <si>
    <t>節次</t>
  </si>
  <si>
    <t>時間</t>
  </si>
  <si>
    <t>班別</t>
  </si>
  <si>
    <t>人數</t>
  </si>
  <si>
    <t>科目</t>
  </si>
  <si>
    <t>第
一
節</t>
  </si>
  <si>
    <t>08:10
│
09:00</t>
  </si>
  <si>
    <t>汽車一乙</t>
  </si>
  <si>
    <t>國語文</t>
    <phoneticPr fontId="2" type="noConversion"/>
  </si>
  <si>
    <t>製圖一乙</t>
  </si>
  <si>
    <t>模具一甲</t>
  </si>
  <si>
    <t>汽車二乙</t>
  </si>
  <si>
    <t>製圖二丙</t>
  </si>
  <si>
    <t>汽車一甲</t>
  </si>
  <si>
    <t>製圖一丙</t>
  </si>
  <si>
    <t>機械一乙</t>
  </si>
  <si>
    <t>汽車二甲</t>
  </si>
  <si>
    <t>製圖二甲</t>
  </si>
  <si>
    <t>資訊一甲</t>
  </si>
  <si>
    <t>製圖一甲</t>
  </si>
  <si>
    <t>機械一甲</t>
  </si>
  <si>
    <t>資訊二甲</t>
  </si>
  <si>
    <t>資處一乙</t>
  </si>
  <si>
    <t>模具一乙</t>
  </si>
  <si>
    <t>鑄造一甲</t>
  </si>
  <si>
    <t>資處二乙</t>
  </si>
  <si>
    <t>資處一甲</t>
  </si>
  <si>
    <t>應英一甲</t>
  </si>
  <si>
    <t>體育一甲</t>
  </si>
  <si>
    <t>資處二甲</t>
  </si>
  <si>
    <t>機械二乙</t>
  </si>
  <si>
    <t>電機一乙</t>
  </si>
  <si>
    <t>鑄造一乙</t>
  </si>
  <si>
    <t>電機二乙</t>
  </si>
  <si>
    <t>機械二甲</t>
  </si>
  <si>
    <t>電機一丙</t>
  </si>
  <si>
    <t>電機二丙</t>
  </si>
  <si>
    <t>鑄造二乙</t>
  </si>
  <si>
    <t>電機一甲</t>
  </si>
  <si>
    <t>電機二甲</t>
  </si>
  <si>
    <t>鑄造二甲</t>
  </si>
  <si>
    <t>應英一乙</t>
  </si>
  <si>
    <t>製圖二乙</t>
  </si>
  <si>
    <t>體育二甲</t>
  </si>
  <si>
    <t>簡聖宗</t>
    <phoneticPr fontId="2" type="noConversion"/>
  </si>
  <si>
    <t>陳鳳美</t>
    <phoneticPr fontId="2" type="noConversion"/>
  </si>
  <si>
    <t>柯俞亘</t>
    <phoneticPr fontId="2" type="noConversion"/>
  </si>
  <si>
    <t>郭倍宇</t>
    <phoneticPr fontId="2" type="noConversion"/>
  </si>
  <si>
    <t>廖淑慧</t>
    <phoneticPr fontId="2" type="noConversion"/>
  </si>
  <si>
    <t>第
二
節</t>
  </si>
  <si>
    <t>09:10
│
10:00</t>
  </si>
  <si>
    <t>英語文</t>
    <phoneticPr fontId="2" type="noConversion"/>
  </si>
  <si>
    <t>應英二乙</t>
  </si>
  <si>
    <t>賴修淳</t>
  </si>
  <si>
    <t>楊韻薇</t>
    <phoneticPr fontId="2" type="noConversion"/>
  </si>
  <si>
    <t>陳玟如</t>
  </si>
  <si>
    <t>鄭秀梅</t>
    <phoneticPr fontId="2" type="noConversion"/>
  </si>
  <si>
    <t>劉欣潔</t>
    <phoneticPr fontId="2" type="noConversion"/>
  </si>
  <si>
    <t>張哲瑋</t>
    <phoneticPr fontId="2" type="noConversion"/>
  </si>
  <si>
    <t>第
三
節</t>
  </si>
  <si>
    <t>10:10
│
11:00</t>
  </si>
  <si>
    <t>數學</t>
    <phoneticPr fontId="2" type="noConversion"/>
  </si>
  <si>
    <t>應英二甲</t>
  </si>
  <si>
    <t>陳玫芳</t>
    <phoneticPr fontId="2" type="noConversion"/>
  </si>
  <si>
    <t>孫梅茵</t>
    <phoneticPr fontId="2" type="noConversion"/>
  </si>
  <si>
    <t>洪藝芳</t>
    <phoneticPr fontId="2" type="noConversion"/>
  </si>
  <si>
    <t>林皆全</t>
    <phoneticPr fontId="2" type="noConversion"/>
  </si>
  <si>
    <t>謝佩宜</t>
    <phoneticPr fontId="2" type="noConversion"/>
  </si>
  <si>
    <t>第
四
節</t>
  </si>
  <si>
    <t>11:10
│
12:00</t>
  </si>
  <si>
    <t>全民國防</t>
    <phoneticPr fontId="2" type="noConversion"/>
  </si>
  <si>
    <t>公民社會</t>
    <phoneticPr fontId="2" type="noConversion"/>
  </si>
  <si>
    <t>歷史</t>
    <phoneticPr fontId="2" type="noConversion"/>
  </si>
  <si>
    <t>基本電學</t>
    <phoneticPr fontId="2" type="noConversion"/>
  </si>
  <si>
    <t>地理</t>
    <phoneticPr fontId="2" type="noConversion"/>
  </si>
  <si>
    <t>機械材料</t>
    <phoneticPr fontId="2" type="noConversion"/>
  </si>
  <si>
    <t>體育二甲</t>
    <phoneticPr fontId="2" type="noConversion"/>
  </si>
  <si>
    <t>陳志忠</t>
    <phoneticPr fontId="2" type="noConversion"/>
  </si>
  <si>
    <t>陳淑青</t>
    <phoneticPr fontId="2" type="noConversion"/>
  </si>
  <si>
    <t>徐雅純</t>
    <phoneticPr fontId="2" type="noConversion"/>
  </si>
  <si>
    <t>許棟材</t>
    <phoneticPr fontId="2" type="noConversion"/>
  </si>
  <si>
    <t>第
五
節</t>
  </si>
  <si>
    <t>13:10
│
14:00</t>
  </si>
  <si>
    <t>物理</t>
    <phoneticPr fontId="2" type="noConversion"/>
  </si>
  <si>
    <t>底盤原理</t>
  </si>
  <si>
    <t>基礎電子學</t>
    <phoneticPr fontId="2" type="noConversion"/>
  </si>
  <si>
    <t>電子學</t>
    <phoneticPr fontId="2" type="noConversion"/>
  </si>
  <si>
    <t>基本電子電路</t>
  </si>
  <si>
    <t>工業英文</t>
  </si>
  <si>
    <t>數位邏輯</t>
    <phoneticPr fontId="2" type="noConversion"/>
  </si>
  <si>
    <t>生物</t>
    <phoneticPr fontId="2" type="noConversion"/>
  </si>
  <si>
    <t>李金祝</t>
    <phoneticPr fontId="2" type="noConversion"/>
  </si>
  <si>
    <t>黃心盼</t>
    <phoneticPr fontId="2" type="noConversion"/>
  </si>
  <si>
    <t>詹勳從</t>
  </si>
  <si>
    <t>楊家端</t>
    <phoneticPr fontId="2" type="noConversion"/>
  </si>
  <si>
    <t>范綱憲</t>
    <phoneticPr fontId="2" type="noConversion"/>
  </si>
  <si>
    <t>第
六
節</t>
  </si>
  <si>
    <t>14:10
│
15:00</t>
  </si>
  <si>
    <t>健康護理</t>
    <phoneticPr fontId="2" type="noConversion"/>
  </si>
  <si>
    <t>健康護理</t>
  </si>
  <si>
    <t>胥薰方</t>
  </si>
  <si>
    <t>楊淳翔</t>
    <phoneticPr fontId="2" type="noConversion"/>
  </si>
  <si>
    <t>薛秀鐶</t>
    <phoneticPr fontId="2" type="noConversion"/>
  </si>
  <si>
    <t>劉秋月</t>
    <phoneticPr fontId="2" type="noConversion"/>
  </si>
  <si>
    <t>魏立揚</t>
    <phoneticPr fontId="2" type="noConversion"/>
  </si>
  <si>
    <t>巫韋侖</t>
    <phoneticPr fontId="2" type="noConversion"/>
  </si>
  <si>
    <t>第
七
節</t>
  </si>
  <si>
    <t>機件原理</t>
  </si>
  <si>
    <t>汽車電學</t>
    <phoneticPr fontId="2" type="noConversion"/>
  </si>
  <si>
    <t>電工機械</t>
    <phoneticPr fontId="2" type="noConversion"/>
  </si>
  <si>
    <t>黃嘉桂</t>
    <phoneticPr fontId="2" type="noConversion"/>
  </si>
  <si>
    <t>羅曉鈞</t>
    <phoneticPr fontId="2" type="noConversion"/>
  </si>
  <si>
    <t>林彣宸</t>
    <phoneticPr fontId="2" type="noConversion"/>
  </si>
  <si>
    <r>
      <t>15</t>
    </r>
    <r>
      <rPr>
        <b/>
        <sz val="36"/>
        <color indexed="8"/>
        <rFont val="微軟正黑體"/>
        <family val="2"/>
        <charset val="136"/>
      </rPr>
      <t>:10
│
1</t>
    </r>
    <r>
      <rPr>
        <b/>
        <sz val="36"/>
        <rFont val="微軟正黑體"/>
        <family val="2"/>
        <charset val="136"/>
      </rPr>
      <t>6</t>
    </r>
    <r>
      <rPr>
        <b/>
        <sz val="36"/>
        <color indexed="8"/>
        <rFont val="微軟正黑體"/>
        <family val="2"/>
        <charset val="136"/>
      </rPr>
      <t>:00</t>
    </r>
  </si>
  <si>
    <t>國語文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</si>
</sst>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;"/>
  </numFmts>
  <fonts count="29" x14ac:knownFonts="1">
    <font>
      <sz val="10"/>
      <name val="Arial"/>
      <family val="2"/>
    </font>
    <font>
      <sz val="9"/>
      <name val="細明體"/>
      <family val="3"/>
      <charset val="136"/>
    </font>
    <font>
      <sz val="9"/>
      <name val="新細明體"/>
      <family val="2"/>
      <charset val="136"/>
      <scheme val="minor"/>
    </font>
    <font>
      <b/>
      <sz val="10"/>
      <color rgb="FF002060"/>
      <name val="細明體"/>
      <family val="3"/>
      <charset val="136"/>
    </font>
    <font>
      <sz val="10"/>
      <name val="Arial"/>
      <family val="2"/>
      <charset val="136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b/>
      <sz val="14"/>
      <name val="微軟正黑體"/>
      <family val="2"/>
      <charset val="136"/>
    </font>
    <font>
      <sz val="14"/>
      <name val="Arial"/>
      <family val="2"/>
    </font>
    <font>
      <b/>
      <sz val="14"/>
      <color indexed="10"/>
      <name val="微軟正黑體"/>
      <family val="2"/>
      <charset val="136"/>
    </font>
    <font>
      <b/>
      <sz val="14"/>
      <color indexed="8"/>
      <name val="微軟正黑體"/>
      <family val="2"/>
      <charset val="136"/>
    </font>
    <font>
      <sz val="14"/>
      <name val="微軟正黑體"/>
      <family val="2"/>
      <charset val="136"/>
    </font>
    <font>
      <sz val="24"/>
      <name val="Arial"/>
      <family val="2"/>
    </font>
    <font>
      <sz val="16"/>
      <name val="Arial"/>
      <family val="2"/>
    </font>
    <font>
      <sz val="26"/>
      <name val="Arial"/>
      <family val="2"/>
    </font>
    <font>
      <b/>
      <sz val="20"/>
      <color rgb="FF0070C0"/>
      <name val="Arial"/>
      <family val="2"/>
    </font>
    <font>
      <b/>
      <sz val="36"/>
      <name val="微軟正黑體"/>
      <family val="2"/>
      <charset val="136"/>
    </font>
    <font>
      <b/>
      <sz val="36"/>
      <color indexed="10"/>
      <name val="微軟正黑體"/>
      <family val="2"/>
      <charset val="136"/>
    </font>
    <font>
      <b/>
      <sz val="36"/>
      <color indexed="13"/>
      <name val="微軟正黑體"/>
      <family val="2"/>
      <charset val="136"/>
    </font>
    <font>
      <b/>
      <sz val="36"/>
      <color indexed="8"/>
      <name val="微軟正黑體"/>
      <family val="2"/>
      <charset val="136"/>
    </font>
    <font>
      <sz val="36"/>
      <name val="微軟正黑體"/>
      <family val="2"/>
      <charset val="136"/>
    </font>
    <font>
      <sz val="36"/>
      <name val="Arial"/>
      <family val="2"/>
    </font>
    <font>
      <sz val="36"/>
      <name val="細明體"/>
      <family val="3"/>
      <charset val="136"/>
    </font>
    <font>
      <b/>
      <sz val="36"/>
      <color rgb="FF0070C0"/>
      <name val="微軟正黑體"/>
      <family val="2"/>
      <charset val="136"/>
    </font>
    <font>
      <b/>
      <sz val="36"/>
      <color rgb="FF0070C0"/>
      <name val="Arial"/>
      <family val="2"/>
    </font>
    <font>
      <b/>
      <sz val="36"/>
      <color rgb="FF0070C0"/>
      <name val="細明體"/>
      <family val="3"/>
      <charset val="136"/>
    </font>
    <font>
      <sz val="10"/>
      <name val="微軟正黑體"/>
      <family val="2"/>
      <charset val="136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1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9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rgb="FFFF0000"/>
      </bottom>
      <diagonal/>
    </border>
    <border>
      <left style="hair">
        <color indexed="64"/>
      </left>
      <right/>
      <top style="hair">
        <color indexed="64"/>
      </top>
      <bottom style="medium">
        <color rgb="FFFF0000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rgb="FFFF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rgb="FFFF0000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rgb="FFFF0000"/>
      </bottom>
      <diagonal/>
    </border>
    <border>
      <left style="medium">
        <color indexed="64"/>
      </left>
      <right style="hair">
        <color indexed="64"/>
      </right>
      <top style="medium">
        <color rgb="FFFF0000"/>
      </top>
      <bottom/>
      <diagonal/>
    </border>
    <border>
      <left style="hair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hair">
        <color indexed="64"/>
      </right>
      <top style="medium">
        <color rgb="FFFF0000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rgb="FFFF0000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rgb="FFFF0000"/>
      </top>
      <bottom style="hair">
        <color indexed="64"/>
      </bottom>
      <diagonal/>
    </border>
  </borders>
  <cellStyleXfs count="4">
    <xf numFmtId="0" fontId="0" fillId="0" borderId="0"/>
    <xf numFmtId="0" fontId="7" fillId="0" borderId="0"/>
    <xf numFmtId="0" fontId="8" fillId="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</cellStyleXfs>
  <cellXfs count="172">
    <xf numFmtId="0" fontId="0" fillId="0" borderId="0" xfId="0"/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0" borderId="0" xfId="0" applyFont="1"/>
    <xf numFmtId="0" fontId="0" fillId="0" borderId="6" xfId="0" applyFont="1" applyBorder="1" applyAlignment="1">
      <alignment horizontal="left" vertical="center"/>
    </xf>
    <xf numFmtId="0" fontId="0" fillId="0" borderId="7" xfId="0" applyFont="1" applyBorder="1" applyAlignment="1">
      <alignment vertical="center"/>
    </xf>
    <xf numFmtId="10" fontId="0" fillId="0" borderId="8" xfId="0" applyNumberFormat="1" applyFont="1" applyBorder="1" applyAlignment="1">
      <alignment vertical="center"/>
    </xf>
    <xf numFmtId="0" fontId="0" fillId="0" borderId="10" xfId="0" applyFont="1" applyBorder="1" applyAlignment="1">
      <alignment horizontal="left" vertical="center"/>
    </xf>
    <xf numFmtId="0" fontId="0" fillId="0" borderId="11" xfId="0" applyFont="1" applyBorder="1" applyAlignment="1">
      <alignment vertical="center"/>
    </xf>
    <xf numFmtId="10" fontId="0" fillId="0" borderId="12" xfId="0" applyNumberFormat="1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0" fillId="0" borderId="14" xfId="0" applyFont="1" applyBorder="1" applyAlignment="1">
      <alignment vertical="center"/>
    </xf>
    <xf numFmtId="0" fontId="0" fillId="0" borderId="15" xfId="0" applyFont="1" applyBorder="1" applyAlignment="1">
      <alignment vertical="center"/>
    </xf>
    <xf numFmtId="0" fontId="0" fillId="0" borderId="16" xfId="0" applyFont="1" applyBorder="1" applyAlignment="1">
      <alignment vertical="center"/>
    </xf>
    <xf numFmtId="0" fontId="0" fillId="0" borderId="14" xfId="0" applyFont="1" applyBorder="1" applyAlignment="1">
      <alignment horizontal="left" vertical="center"/>
    </xf>
    <xf numFmtId="10" fontId="0" fillId="0" borderId="16" xfId="0" applyNumberFormat="1" applyFont="1" applyBorder="1" applyAlignment="1">
      <alignment vertical="center"/>
    </xf>
    <xf numFmtId="0" fontId="0" fillId="0" borderId="15" xfId="0" applyFont="1" applyBorder="1"/>
    <xf numFmtId="0" fontId="0" fillId="0" borderId="17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10" fontId="0" fillId="0" borderId="20" xfId="0" applyNumberFormat="1" applyFont="1" applyBorder="1" applyAlignment="1">
      <alignment horizontal="center" vertical="center"/>
    </xf>
    <xf numFmtId="0" fontId="0" fillId="0" borderId="0" xfId="0" applyFont="1"/>
    <xf numFmtId="0" fontId="0" fillId="0" borderId="2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0" fontId="0" fillId="2" borderId="7" xfId="0" applyFont="1" applyFill="1" applyBorder="1" applyAlignment="1">
      <alignment vertical="center"/>
    </xf>
    <xf numFmtId="0" fontId="0" fillId="2" borderId="11" xfId="0" applyFont="1" applyFill="1" applyBorder="1" applyAlignment="1">
      <alignment vertical="center"/>
    </xf>
    <xf numFmtId="0" fontId="9" fillId="0" borderId="0" xfId="1" applyFont="1" applyAlignment="1">
      <alignment horizontal="centerContinuous" vertical="center"/>
    </xf>
    <xf numFmtId="0" fontId="10" fillId="0" borderId="0" xfId="1" applyFont="1" applyAlignment="1">
      <alignment horizontal="center" vertical="center"/>
    </xf>
    <xf numFmtId="0" fontId="9" fillId="0" borderId="0" xfId="1" applyFont="1" applyAlignment="1">
      <alignment horizontal="left" vertical="center"/>
    </xf>
    <xf numFmtId="0" fontId="11" fillId="0" borderId="24" xfId="1" applyFont="1" applyBorder="1" applyAlignment="1">
      <alignment horizontal="left" vertical="center"/>
    </xf>
    <xf numFmtId="0" fontId="10" fillId="0" borderId="0" xfId="1" applyFont="1"/>
    <xf numFmtId="0" fontId="13" fillId="6" borderId="10" xfId="1" applyFont="1" applyFill="1" applyBorder="1" applyAlignment="1">
      <alignment horizontal="center" vertical="center"/>
    </xf>
    <xf numFmtId="0" fontId="13" fillId="6" borderId="11" xfId="1" applyFont="1" applyFill="1" applyBorder="1" applyAlignment="1">
      <alignment horizontal="center" vertical="center"/>
    </xf>
    <xf numFmtId="0" fontId="13" fillId="6" borderId="12" xfId="1" applyFont="1" applyFill="1" applyBorder="1" applyAlignment="1">
      <alignment horizontal="center" vertical="center"/>
    </xf>
    <xf numFmtId="0" fontId="13" fillId="6" borderId="43" xfId="1" applyFont="1" applyFill="1" applyBorder="1" applyAlignment="1">
      <alignment horizontal="center" vertical="center"/>
    </xf>
    <xf numFmtId="0" fontId="10" fillId="6" borderId="45" xfId="1" applyFont="1" applyFill="1" applyBorder="1" applyAlignment="1">
      <alignment horizontal="center" vertical="center"/>
    </xf>
    <xf numFmtId="0" fontId="10" fillId="6" borderId="11" xfId="1" applyFont="1" applyFill="1" applyBorder="1" applyAlignment="1">
      <alignment horizontal="center" vertical="center"/>
    </xf>
    <xf numFmtId="0" fontId="10" fillId="6" borderId="12" xfId="1" applyFont="1" applyFill="1" applyBorder="1" applyAlignment="1">
      <alignment horizontal="center" vertical="center"/>
    </xf>
    <xf numFmtId="0" fontId="13" fillId="6" borderId="47" xfId="1" applyFont="1" applyFill="1" applyBorder="1" applyAlignment="1">
      <alignment horizontal="center" vertical="center"/>
    </xf>
    <xf numFmtId="0" fontId="13" fillId="6" borderId="48" xfId="1" applyFont="1" applyFill="1" applyBorder="1" applyAlignment="1">
      <alignment horizontal="center" vertical="center"/>
    </xf>
    <xf numFmtId="0" fontId="13" fillId="6" borderId="49" xfId="1" applyFont="1" applyFill="1" applyBorder="1" applyAlignment="1">
      <alignment horizontal="center" vertical="center"/>
    </xf>
    <xf numFmtId="0" fontId="10" fillId="6" borderId="50" xfId="1" applyFont="1" applyFill="1" applyBorder="1" applyAlignment="1">
      <alignment horizontal="center" vertical="center"/>
    </xf>
    <xf numFmtId="0" fontId="10" fillId="6" borderId="48" xfId="1" applyFont="1" applyFill="1" applyBorder="1" applyAlignment="1">
      <alignment horizontal="center" vertical="center"/>
    </xf>
    <xf numFmtId="0" fontId="10" fillId="6" borderId="49" xfId="1" applyFont="1" applyFill="1" applyBorder="1" applyAlignment="1">
      <alignment horizontal="center" vertical="center"/>
    </xf>
    <xf numFmtId="0" fontId="12" fillId="6" borderId="34" xfId="2" applyFont="1" applyFill="1" applyBorder="1" applyAlignment="1">
      <alignment horizontal="centerContinuous" vertical="center" wrapText="1"/>
    </xf>
    <xf numFmtId="0" fontId="9" fillId="6" borderId="43" xfId="2" applyFont="1" applyFill="1" applyBorder="1" applyAlignment="1">
      <alignment horizontal="centerContinuous" vertical="center" wrapText="1"/>
    </xf>
    <xf numFmtId="0" fontId="10" fillId="6" borderId="10" xfId="1" applyFont="1" applyFill="1" applyBorder="1" applyAlignment="1">
      <alignment horizontal="center" vertical="center"/>
    </xf>
    <xf numFmtId="176" fontId="12" fillId="6" borderId="46" xfId="2" applyNumberFormat="1" applyFont="1" applyFill="1" applyBorder="1" applyAlignment="1">
      <alignment horizontal="center" vertical="center" wrapText="1"/>
    </xf>
    <xf numFmtId="0" fontId="13" fillId="6" borderId="63" xfId="1" applyFont="1" applyFill="1" applyBorder="1" applyAlignment="1">
      <alignment horizontal="center" vertical="center"/>
    </xf>
    <xf numFmtId="0" fontId="13" fillId="6" borderId="19" xfId="1" applyFont="1" applyFill="1" applyBorder="1" applyAlignment="1">
      <alignment horizontal="center" vertical="center"/>
    </xf>
    <xf numFmtId="0" fontId="13" fillId="6" borderId="64" xfId="1" applyFont="1" applyFill="1" applyBorder="1" applyAlignment="1">
      <alignment horizontal="center" vertical="center"/>
    </xf>
    <xf numFmtId="0" fontId="10" fillId="6" borderId="47" xfId="1" applyFont="1" applyFill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3" fillId="0" borderId="0" xfId="1" applyFont="1"/>
    <xf numFmtId="0" fontId="14" fillId="0" borderId="0" xfId="1" applyFont="1" applyAlignment="1">
      <alignment horizontal="center" vertical="center"/>
    </xf>
    <xf numFmtId="0" fontId="15" fillId="0" borderId="0" xfId="1" applyFont="1" applyFill="1"/>
    <xf numFmtId="0" fontId="16" fillId="0" borderId="0" xfId="1" applyFont="1" applyAlignment="1">
      <alignment horizontal="center" vertical="center"/>
    </xf>
    <xf numFmtId="0" fontId="17" fillId="0" borderId="0" xfId="1" applyFont="1" applyFill="1"/>
    <xf numFmtId="176" fontId="18" fillId="0" borderId="25" xfId="1" applyNumberFormat="1" applyFont="1" applyBorder="1" applyAlignment="1">
      <alignment horizontal="centerContinuous" vertical="center"/>
    </xf>
    <xf numFmtId="176" fontId="18" fillId="0" borderId="26" xfId="1" applyNumberFormat="1" applyFont="1" applyBorder="1" applyAlignment="1">
      <alignment horizontal="centerContinuous" vertical="center"/>
    </xf>
    <xf numFmtId="176" fontId="18" fillId="0" borderId="32" xfId="1" applyNumberFormat="1" applyFont="1" applyBorder="1" applyAlignment="1">
      <alignment horizontal="centerContinuous" vertical="center"/>
    </xf>
    <xf numFmtId="176" fontId="18" fillId="0" borderId="33" xfId="1" applyNumberFormat="1" applyFont="1" applyBorder="1" applyAlignment="1">
      <alignment horizontal="centerContinuous" vertical="center"/>
    </xf>
    <xf numFmtId="176" fontId="18" fillId="0" borderId="35" xfId="1" applyNumberFormat="1" applyFont="1" applyBorder="1" applyAlignment="1">
      <alignment horizontal="centerContinuous" vertical="center"/>
    </xf>
    <xf numFmtId="176" fontId="18" fillId="0" borderId="24" xfId="1" applyNumberFormat="1" applyFont="1" applyBorder="1" applyAlignment="1">
      <alignment horizontal="centerContinuous" vertical="center"/>
    </xf>
    <xf numFmtId="0" fontId="19" fillId="0" borderId="70" xfId="1" applyFont="1" applyBorder="1" applyAlignment="1">
      <alignment horizontal="centerContinuous" vertical="center"/>
    </xf>
    <xf numFmtId="0" fontId="19" fillId="0" borderId="71" xfId="1" applyFont="1" applyBorder="1" applyAlignment="1">
      <alignment horizontal="centerContinuous" vertical="center"/>
    </xf>
    <xf numFmtId="0" fontId="19" fillId="0" borderId="72" xfId="1" applyFont="1" applyBorder="1" applyAlignment="1">
      <alignment horizontal="centerContinuous" vertical="center"/>
    </xf>
    <xf numFmtId="0" fontId="19" fillId="0" borderId="31" xfId="1" applyFont="1" applyBorder="1" applyAlignment="1">
      <alignment horizontal="centerContinuous" vertical="center"/>
    </xf>
    <xf numFmtId="0" fontId="19" fillId="0" borderId="36" xfId="1" applyFont="1" applyBorder="1" applyAlignment="1">
      <alignment horizontal="centerContinuous" vertical="center"/>
    </xf>
    <xf numFmtId="0" fontId="20" fillId="5" borderId="37" xfId="1" applyFont="1" applyFill="1" applyBorder="1" applyAlignment="1">
      <alignment horizontal="center" vertical="center"/>
    </xf>
    <xf numFmtId="0" fontId="20" fillId="5" borderId="38" xfId="1" applyFont="1" applyFill="1" applyBorder="1" applyAlignment="1">
      <alignment horizontal="center" vertical="center"/>
    </xf>
    <xf numFmtId="0" fontId="20" fillId="5" borderId="73" xfId="1" applyFont="1" applyFill="1" applyBorder="1" applyAlignment="1">
      <alignment horizontal="center" vertical="center"/>
    </xf>
    <xf numFmtId="0" fontId="20" fillId="5" borderId="39" xfId="1" applyFont="1" applyFill="1" applyBorder="1" applyAlignment="1">
      <alignment horizontal="center" vertical="center"/>
    </xf>
    <xf numFmtId="0" fontId="20" fillId="5" borderId="51" xfId="1" applyFont="1" applyFill="1" applyBorder="1" applyAlignment="1">
      <alignment horizontal="center" vertical="center"/>
    </xf>
    <xf numFmtId="0" fontId="20" fillId="5" borderId="65" xfId="1" applyFont="1" applyFill="1" applyBorder="1" applyAlignment="1">
      <alignment horizontal="center" vertical="center"/>
    </xf>
    <xf numFmtId="0" fontId="20" fillId="5" borderId="3" xfId="1" applyFont="1" applyFill="1" applyBorder="1" applyAlignment="1">
      <alignment horizontal="center" vertical="center"/>
    </xf>
    <xf numFmtId="0" fontId="20" fillId="5" borderId="42" xfId="1" applyFont="1" applyFill="1" applyBorder="1" applyAlignment="1">
      <alignment horizontal="center" vertical="center"/>
    </xf>
    <xf numFmtId="0" fontId="20" fillId="5" borderId="41" xfId="1" applyFont="1" applyFill="1" applyBorder="1" applyAlignment="1">
      <alignment horizontal="center" vertical="center"/>
    </xf>
    <xf numFmtId="0" fontId="20" fillId="5" borderId="4" xfId="1" applyFont="1" applyFill="1" applyBorder="1" applyAlignment="1">
      <alignment horizontal="center" vertical="center"/>
    </xf>
    <xf numFmtId="0" fontId="22" fillId="0" borderId="74" xfId="1" applyFont="1" applyFill="1" applyBorder="1" applyAlignment="1">
      <alignment horizontal="center" vertical="center"/>
    </xf>
    <xf numFmtId="0" fontId="22" fillId="0" borderId="11" xfId="1" applyFont="1" applyFill="1" applyBorder="1" applyAlignment="1">
      <alignment horizontal="center" vertical="center"/>
    </xf>
    <xf numFmtId="0" fontId="22" fillId="0" borderId="44" xfId="1" applyFont="1" applyFill="1" applyBorder="1" applyAlignment="1">
      <alignment horizontal="center" vertical="center"/>
    </xf>
    <xf numFmtId="0" fontId="23" fillId="0" borderId="45" xfId="1" applyFont="1" applyFill="1" applyBorder="1" applyAlignment="1">
      <alignment horizontal="center" vertical="center"/>
    </xf>
    <xf numFmtId="0" fontId="23" fillId="0" borderId="11" xfId="1" applyFont="1" applyFill="1" applyBorder="1" applyAlignment="1">
      <alignment horizontal="center" vertical="center"/>
    </xf>
    <xf numFmtId="0" fontId="24" fillId="0" borderId="12" xfId="1" applyFont="1" applyFill="1" applyBorder="1" applyAlignment="1">
      <alignment horizontal="center" vertical="center"/>
    </xf>
    <xf numFmtId="0" fontId="19" fillId="0" borderId="11" xfId="1" applyFont="1" applyFill="1" applyBorder="1" applyAlignment="1">
      <alignment horizontal="center" vertical="center"/>
    </xf>
    <xf numFmtId="0" fontId="19" fillId="0" borderId="44" xfId="1" applyFont="1" applyFill="1" applyBorder="1" applyAlignment="1">
      <alignment horizontal="center" vertical="center"/>
    </xf>
    <xf numFmtId="0" fontId="23" fillId="0" borderId="12" xfId="1" applyFont="1" applyFill="1" applyBorder="1" applyAlignment="1">
      <alignment horizontal="center" vertical="center"/>
    </xf>
    <xf numFmtId="176" fontId="25" fillId="7" borderId="81" xfId="2" applyNumberFormat="1" applyFont="1" applyFill="1" applyBorder="1" applyAlignment="1">
      <alignment horizontal="center" vertical="center" wrapText="1"/>
    </xf>
    <xf numFmtId="0" fontId="25" fillId="0" borderId="82" xfId="1" applyFont="1" applyFill="1" applyBorder="1" applyAlignment="1">
      <alignment horizontal="center" vertical="center"/>
    </xf>
    <xf numFmtId="0" fontId="25" fillId="0" borderId="83" xfId="1" applyFont="1" applyFill="1" applyBorder="1" applyAlignment="1">
      <alignment horizontal="center" vertical="center"/>
    </xf>
    <xf numFmtId="0" fontId="25" fillId="0" borderId="84" xfId="1" applyFont="1" applyFill="1" applyBorder="1" applyAlignment="1">
      <alignment horizontal="center" vertical="center"/>
    </xf>
    <xf numFmtId="0" fontId="26" fillId="0" borderId="50" xfId="1" applyFont="1" applyFill="1" applyBorder="1" applyAlignment="1">
      <alignment horizontal="center" vertical="center"/>
    </xf>
    <xf numFmtId="0" fontId="26" fillId="0" borderId="48" xfId="1" applyFont="1" applyFill="1" applyBorder="1" applyAlignment="1">
      <alignment horizontal="center" vertical="center"/>
    </xf>
    <xf numFmtId="0" fontId="27" fillId="0" borderId="49" xfId="1" applyFont="1" applyFill="1" applyBorder="1" applyAlignment="1">
      <alignment horizontal="center" vertical="center"/>
    </xf>
    <xf numFmtId="0" fontId="22" fillId="0" borderId="87" xfId="1" applyFont="1" applyFill="1" applyBorder="1" applyAlignment="1">
      <alignment horizontal="center" vertical="center"/>
    </xf>
    <xf numFmtId="0" fontId="22" fillId="0" borderId="88" xfId="1" applyFont="1" applyFill="1" applyBorder="1" applyAlignment="1">
      <alignment horizontal="center" vertical="center"/>
    </xf>
    <xf numFmtId="0" fontId="22" fillId="0" borderId="89" xfId="1" applyFont="1" applyFill="1" applyBorder="1" applyAlignment="1">
      <alignment horizontal="center" vertical="center"/>
    </xf>
    <xf numFmtId="0" fontId="23" fillId="0" borderId="52" xfId="1" applyFont="1" applyFill="1" applyBorder="1" applyAlignment="1">
      <alignment horizontal="center" vertical="center"/>
    </xf>
    <xf numFmtId="0" fontId="23" fillId="0" borderId="39" xfId="1" applyFont="1" applyFill="1" applyBorder="1" applyAlignment="1">
      <alignment horizontal="center" vertical="center"/>
    </xf>
    <xf numFmtId="0" fontId="24" fillId="0" borderId="40" xfId="1" applyFont="1" applyFill="1" applyBorder="1" applyAlignment="1">
      <alignment horizontal="center" vertical="center"/>
    </xf>
    <xf numFmtId="176" fontId="25" fillId="8" borderId="81" xfId="3" applyNumberFormat="1" applyFont="1" applyFill="1" applyBorder="1" applyAlignment="1">
      <alignment horizontal="center" vertical="center" wrapText="1"/>
    </xf>
    <xf numFmtId="0" fontId="24" fillId="0" borderId="45" xfId="1" applyFont="1" applyFill="1" applyBorder="1" applyAlignment="1">
      <alignment horizontal="center" vertical="center"/>
    </xf>
    <xf numFmtId="0" fontId="23" fillId="0" borderId="40" xfId="1" applyFont="1" applyFill="1" applyBorder="1" applyAlignment="1">
      <alignment horizontal="center" vertical="center"/>
    </xf>
    <xf numFmtId="0" fontId="22" fillId="0" borderId="75" xfId="1" applyFont="1" applyFill="1" applyBorder="1" applyAlignment="1">
      <alignment horizontal="center" vertical="center"/>
    </xf>
    <xf numFmtId="0" fontId="22" fillId="0" borderId="53" xfId="1" applyFont="1" applyFill="1" applyBorder="1" applyAlignment="1">
      <alignment horizontal="center" vertical="center"/>
    </xf>
    <xf numFmtId="0" fontId="22" fillId="0" borderId="56" xfId="1" applyFont="1" applyFill="1" applyBorder="1" applyAlignment="1">
      <alignment horizontal="center" vertical="center"/>
    </xf>
    <xf numFmtId="0" fontId="22" fillId="0" borderId="44" xfId="1" applyFont="1" applyFill="1" applyBorder="1" applyAlignment="1">
      <alignment vertical="center" wrapText="1"/>
    </xf>
    <xf numFmtId="0" fontId="22" fillId="0" borderId="44" xfId="1" applyFont="1" applyFill="1" applyBorder="1" applyAlignment="1">
      <alignment horizontal="center" vertical="center" wrapText="1"/>
    </xf>
    <xf numFmtId="0" fontId="22" fillId="0" borderId="56" xfId="1" applyFont="1" applyFill="1" applyBorder="1" applyAlignment="1">
      <alignment horizontal="center" vertical="center" wrapText="1"/>
    </xf>
    <xf numFmtId="0" fontId="23" fillId="0" borderId="57" xfId="1" applyFont="1" applyFill="1" applyBorder="1" applyAlignment="1">
      <alignment horizontal="center" vertical="center"/>
    </xf>
    <xf numFmtId="0" fontId="23" fillId="0" borderId="53" xfId="1" applyFont="1" applyFill="1" applyBorder="1" applyAlignment="1">
      <alignment horizontal="center" vertical="center"/>
    </xf>
    <xf numFmtId="0" fontId="23" fillId="0" borderId="54" xfId="1" applyFont="1" applyFill="1" applyBorder="1" applyAlignment="1">
      <alignment horizontal="center" vertical="center"/>
    </xf>
    <xf numFmtId="176" fontId="18" fillId="8" borderId="81" xfId="3" applyNumberFormat="1" applyFont="1" applyFill="1" applyBorder="1" applyAlignment="1">
      <alignment horizontal="center" vertical="center" wrapText="1"/>
    </xf>
    <xf numFmtId="0" fontId="26" fillId="0" borderId="49" xfId="1" applyFont="1" applyFill="1" applyBorder="1" applyAlignment="1">
      <alignment horizontal="center" vertical="center"/>
    </xf>
    <xf numFmtId="0" fontId="22" fillId="0" borderId="78" xfId="1" applyFont="1" applyFill="1" applyBorder="1" applyAlignment="1">
      <alignment horizontal="center" vertical="center"/>
    </xf>
    <xf numFmtId="0" fontId="22" fillId="0" borderId="62" xfId="1" applyFont="1" applyFill="1" applyBorder="1" applyAlignment="1">
      <alignment horizontal="center" vertical="center"/>
    </xf>
    <xf numFmtId="0" fontId="22" fillId="0" borderId="79" xfId="1" applyFont="1" applyFill="1" applyBorder="1" applyAlignment="1">
      <alignment horizontal="center" vertical="center"/>
    </xf>
    <xf numFmtId="176" fontId="25" fillId="7" borderId="58" xfId="2" applyNumberFormat="1" applyFont="1" applyFill="1" applyBorder="1" applyAlignment="1">
      <alignment horizontal="center" vertical="center" wrapText="1"/>
    </xf>
    <xf numFmtId="0" fontId="25" fillId="0" borderId="76" xfId="1" applyFont="1" applyFill="1" applyBorder="1" applyAlignment="1">
      <alignment horizontal="center" vertical="center"/>
    </xf>
    <xf numFmtId="0" fontId="25" fillId="0" borderId="59" xfId="1" applyFont="1" applyFill="1" applyBorder="1" applyAlignment="1">
      <alignment horizontal="center" vertical="center"/>
    </xf>
    <xf numFmtId="0" fontId="25" fillId="0" borderId="60" xfId="1" applyFont="1" applyFill="1" applyBorder="1" applyAlignment="1">
      <alignment horizontal="center" vertical="center"/>
    </xf>
    <xf numFmtId="0" fontId="18" fillId="0" borderId="0" xfId="1" applyFont="1" applyAlignment="1">
      <alignment horizontal="centerContinuous" vertical="center"/>
    </xf>
    <xf numFmtId="0" fontId="23" fillId="0" borderId="0" xfId="1" applyFont="1" applyAlignment="1">
      <alignment horizontal="center" vertical="center"/>
    </xf>
    <xf numFmtId="0" fontId="28" fillId="0" borderId="6" xfId="0" applyFont="1" applyBorder="1" applyAlignment="1">
      <alignment horizontal="left" vertical="center"/>
    </xf>
    <xf numFmtId="0" fontId="19" fillId="0" borderId="1" xfId="1" applyFont="1" applyBorder="1" applyAlignment="1">
      <alignment horizontal="center" vertical="center"/>
    </xf>
    <xf numFmtId="0" fontId="19" fillId="0" borderId="69" xfId="1" applyFont="1" applyBorder="1" applyAlignment="1">
      <alignment horizontal="center" vertical="center"/>
    </xf>
    <xf numFmtId="0" fontId="19" fillId="0" borderId="77" xfId="1" applyFont="1" applyBorder="1" applyAlignment="1">
      <alignment horizontal="center" vertical="center"/>
    </xf>
    <xf numFmtId="0" fontId="19" fillId="0" borderId="30" xfId="1" applyFont="1" applyBorder="1" applyAlignment="1">
      <alignment horizontal="center" vertical="center"/>
    </xf>
    <xf numFmtId="0" fontId="19" fillId="0" borderId="31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Alignment="1">
      <alignment horizontal="left" vertical="center"/>
    </xf>
    <xf numFmtId="0" fontId="11" fillId="0" borderId="0" xfId="1" applyFont="1" applyAlignment="1">
      <alignment horizontal="right" vertical="center"/>
    </xf>
    <xf numFmtId="0" fontId="19" fillId="0" borderId="27" xfId="1" applyFont="1" applyBorder="1" applyAlignment="1">
      <alignment horizontal="center" vertical="center"/>
    </xf>
    <xf numFmtId="0" fontId="19" fillId="0" borderId="28" xfId="1" applyFont="1" applyBorder="1" applyAlignment="1">
      <alignment horizontal="center" vertical="center"/>
    </xf>
    <xf numFmtId="0" fontId="19" fillId="0" borderId="29" xfId="1" applyFont="1" applyBorder="1" applyAlignment="1">
      <alignment horizontal="center" vertical="center"/>
    </xf>
    <xf numFmtId="0" fontId="21" fillId="7" borderId="65" xfId="2" applyFont="1" applyFill="1" applyBorder="1" applyAlignment="1">
      <alignment horizontal="center" vertical="center" wrapText="1"/>
    </xf>
    <xf numFmtId="0" fontId="21" fillId="7" borderId="66" xfId="2" applyFont="1" applyFill="1" applyBorder="1" applyAlignment="1">
      <alignment horizontal="center" vertical="center" wrapText="1"/>
    </xf>
    <xf numFmtId="0" fontId="21" fillId="7" borderId="80" xfId="2" applyFont="1" applyFill="1" applyBorder="1" applyAlignment="1">
      <alignment horizontal="center" vertical="center" wrapText="1"/>
    </xf>
    <xf numFmtId="0" fontId="21" fillId="7" borderId="55" xfId="2" applyFont="1" applyFill="1" applyBorder="1" applyAlignment="1">
      <alignment horizontal="center" vertical="center" wrapText="1"/>
    </xf>
    <xf numFmtId="0" fontId="21" fillId="7" borderId="68" xfId="2" applyFont="1" applyFill="1" applyBorder="1" applyAlignment="1">
      <alignment horizontal="center" vertical="center" wrapText="1"/>
    </xf>
    <xf numFmtId="0" fontId="21" fillId="7" borderId="61" xfId="2" applyFont="1" applyFill="1" applyBorder="1" applyAlignment="1">
      <alignment horizontal="center" vertical="center" wrapText="1"/>
    </xf>
    <xf numFmtId="0" fontId="21" fillId="8" borderId="85" xfId="3" applyFont="1" applyFill="1" applyBorder="1" applyAlignment="1">
      <alignment horizontal="center" vertical="center" wrapText="1"/>
    </xf>
    <xf numFmtId="0" fontId="21" fillId="8" borderId="66" xfId="3" applyFont="1" applyFill="1" applyBorder="1" applyAlignment="1">
      <alignment horizontal="center" vertical="center" wrapText="1"/>
    </xf>
    <xf numFmtId="0" fontId="21" fillId="8" borderId="80" xfId="3" applyFont="1" applyFill="1" applyBorder="1" applyAlignment="1">
      <alignment horizontal="center" vertical="center" wrapText="1"/>
    </xf>
    <xf numFmtId="0" fontId="21" fillId="8" borderId="86" xfId="3" applyFont="1" applyFill="1" applyBorder="1" applyAlignment="1">
      <alignment horizontal="center" vertical="center" wrapText="1"/>
    </xf>
    <xf numFmtId="0" fontId="21" fillId="8" borderId="68" xfId="3" applyFont="1" applyFill="1" applyBorder="1" applyAlignment="1">
      <alignment horizontal="center" vertical="center" wrapText="1"/>
    </xf>
    <xf numFmtId="0" fontId="21" fillId="8" borderId="61" xfId="3" applyFont="1" applyFill="1" applyBorder="1" applyAlignment="1">
      <alignment horizontal="center" vertical="center" wrapText="1"/>
    </xf>
    <xf numFmtId="0" fontId="21" fillId="7" borderId="85" xfId="2" applyFont="1" applyFill="1" applyBorder="1" applyAlignment="1">
      <alignment horizontal="center" vertical="center" wrapText="1"/>
    </xf>
    <xf numFmtId="0" fontId="21" fillId="7" borderId="86" xfId="2" applyFont="1" applyFill="1" applyBorder="1" applyAlignment="1">
      <alignment horizontal="center" vertical="center" wrapText="1"/>
    </xf>
    <xf numFmtId="0" fontId="18" fillId="7" borderId="66" xfId="2" applyFont="1" applyFill="1" applyBorder="1" applyAlignment="1">
      <alignment horizontal="center" vertical="center" wrapText="1"/>
    </xf>
    <xf numFmtId="0" fontId="18" fillId="7" borderId="67" xfId="2" applyFont="1" applyFill="1" applyBorder="1" applyAlignment="1">
      <alignment horizontal="center" vertical="center" wrapText="1"/>
    </xf>
    <xf numFmtId="0" fontId="18" fillId="7" borderId="68" xfId="2" applyFont="1" applyFill="1" applyBorder="1" applyAlignment="1">
      <alignment horizontal="center" vertical="center" wrapText="1"/>
    </xf>
    <xf numFmtId="0" fontId="18" fillId="7" borderId="61" xfId="2" applyFont="1" applyFill="1" applyBorder="1" applyAlignment="1">
      <alignment horizontal="center" vertical="center" wrapText="1"/>
    </xf>
    <xf numFmtId="0" fontId="18" fillId="8" borderId="85" xfId="3" applyFont="1" applyFill="1" applyBorder="1" applyAlignment="1">
      <alignment horizontal="center" vertical="center" wrapText="1"/>
    </xf>
    <xf numFmtId="0" fontId="18" fillId="8" borderId="66" xfId="3" applyFont="1" applyFill="1" applyBorder="1" applyAlignment="1">
      <alignment horizontal="center" vertical="center" wrapText="1"/>
    </xf>
    <xf numFmtId="0" fontId="18" fillId="8" borderId="80" xfId="3" applyFont="1" applyFill="1" applyBorder="1" applyAlignment="1">
      <alignment horizontal="center" vertical="center" wrapText="1"/>
    </xf>
    <xf numFmtId="0" fontId="18" fillId="8" borderId="86" xfId="3" applyFont="1" applyFill="1" applyBorder="1" applyAlignment="1">
      <alignment horizontal="center" vertical="center" wrapText="1"/>
    </xf>
    <xf numFmtId="0" fontId="18" fillId="8" borderId="68" xfId="3" applyFont="1" applyFill="1" applyBorder="1" applyAlignment="1">
      <alignment horizontal="center" vertical="center" wrapText="1"/>
    </xf>
    <xf numFmtId="0" fontId="18" fillId="8" borderId="61" xfId="3" applyFont="1" applyFill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10" fontId="0" fillId="0" borderId="22" xfId="0" applyNumberFormat="1" applyFont="1" applyBorder="1" applyAlignment="1">
      <alignment horizontal="center"/>
    </xf>
    <xf numFmtId="10" fontId="0" fillId="0" borderId="23" xfId="0" applyNumberFormat="1" applyFont="1" applyBorder="1" applyAlignment="1">
      <alignment horizontal="center"/>
    </xf>
    <xf numFmtId="0" fontId="28" fillId="0" borderId="10" xfId="0" applyFont="1" applyBorder="1" applyAlignment="1">
      <alignment horizontal="left" vertical="center"/>
    </xf>
  </cellXfs>
  <cellStyles count="4">
    <cellStyle name="20% - 輔色1 2" xfId="3" xr:uid="{91A47C38-42FF-4137-9F62-559E82425146}"/>
    <cellStyle name="20% - 輔色6 2" xfId="2" xr:uid="{12A5C71E-23AA-450B-9858-14B8AE1F1FF1}"/>
    <cellStyle name="一般" xfId="0" builtinId="0"/>
    <cellStyle name="一般 2" xfId="1" xr:uid="{DA2E73E8-DFF3-4ACD-82E2-F7F6807CF7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456FF-B497-45E7-AF82-F4F66D41946B}">
  <sheetPr>
    <pageSetUpPr fitToPage="1"/>
  </sheetPr>
  <dimension ref="A1:Z88"/>
  <sheetViews>
    <sheetView zoomScale="25" zoomScaleNormal="25" workbookViewId="0">
      <selection activeCell="J29" sqref="J29"/>
    </sheetView>
  </sheetViews>
  <sheetFormatPr defaultRowHeight="18" x14ac:dyDescent="0.35"/>
  <cols>
    <col min="1" max="2" width="40.77734375" style="57" customWidth="1"/>
    <col min="3" max="20" width="40.77734375" style="58" customWidth="1"/>
    <col min="21" max="22" width="0" style="35" hidden="1" customWidth="1"/>
    <col min="23" max="23" width="14.109375" style="35" hidden="1" customWidth="1"/>
    <col min="24" max="25" width="0" style="35" hidden="1" customWidth="1"/>
    <col min="26" max="26" width="14.109375" style="35" hidden="1" customWidth="1"/>
    <col min="27" max="244" width="9.109375" style="35"/>
    <col min="245" max="246" width="6.6640625" style="35" customWidth="1"/>
    <col min="247" max="256" width="9.109375" style="35"/>
    <col min="257" max="258" width="6.6640625" style="35" customWidth="1"/>
    <col min="259" max="263" width="9.109375" style="35"/>
    <col min="264" max="264" width="11.88671875" style="35" customWidth="1"/>
    <col min="265" max="266" width="9.109375" style="35"/>
    <col min="267" max="267" width="11.88671875" style="35" customWidth="1"/>
    <col min="268" max="269" width="9.109375" style="35"/>
    <col min="270" max="270" width="11.109375" style="35" customWidth="1"/>
    <col min="271" max="272" width="9.109375" style="35"/>
    <col min="273" max="273" width="14.109375" style="35" customWidth="1"/>
    <col min="274" max="278" width="9.109375" style="35"/>
    <col min="279" max="279" width="14.109375" style="35" customWidth="1"/>
    <col min="280" max="281" width="9.109375" style="35"/>
    <col min="282" max="282" width="14.109375" style="35" customWidth="1"/>
    <col min="283" max="500" width="9.109375" style="35"/>
    <col min="501" max="502" width="6.6640625" style="35" customWidth="1"/>
    <col min="503" max="512" width="9.109375" style="35"/>
    <col min="513" max="514" width="6.6640625" style="35" customWidth="1"/>
    <col min="515" max="519" width="9.109375" style="35"/>
    <col min="520" max="520" width="11.88671875" style="35" customWidth="1"/>
    <col min="521" max="522" width="9.109375" style="35"/>
    <col min="523" max="523" width="11.88671875" style="35" customWidth="1"/>
    <col min="524" max="525" width="9.109375" style="35"/>
    <col min="526" max="526" width="11.109375" style="35" customWidth="1"/>
    <col min="527" max="528" width="9.109375" style="35"/>
    <col min="529" max="529" width="14.109375" style="35" customWidth="1"/>
    <col min="530" max="534" width="9.109375" style="35"/>
    <col min="535" max="535" width="14.109375" style="35" customWidth="1"/>
    <col min="536" max="537" width="9.109375" style="35"/>
    <col min="538" max="538" width="14.109375" style="35" customWidth="1"/>
    <col min="539" max="756" width="9.109375" style="35"/>
    <col min="757" max="758" width="6.6640625" style="35" customWidth="1"/>
    <col min="759" max="768" width="9.109375" style="35"/>
    <col min="769" max="770" width="6.6640625" style="35" customWidth="1"/>
    <col min="771" max="775" width="9.109375" style="35"/>
    <col min="776" max="776" width="11.88671875" style="35" customWidth="1"/>
    <col min="777" max="778" width="9.109375" style="35"/>
    <col min="779" max="779" width="11.88671875" style="35" customWidth="1"/>
    <col min="780" max="781" width="9.109375" style="35"/>
    <col min="782" max="782" width="11.109375" style="35" customWidth="1"/>
    <col min="783" max="784" width="9.109375" style="35"/>
    <col min="785" max="785" width="14.109375" style="35" customWidth="1"/>
    <col min="786" max="790" width="9.109375" style="35"/>
    <col min="791" max="791" width="14.109375" style="35" customWidth="1"/>
    <col min="792" max="793" width="9.109375" style="35"/>
    <col min="794" max="794" width="14.109375" style="35" customWidth="1"/>
    <col min="795" max="1012" width="9.109375" style="35"/>
    <col min="1013" max="1014" width="6.6640625" style="35" customWidth="1"/>
    <col min="1015" max="1024" width="9.109375" style="35"/>
    <col min="1025" max="1026" width="6.6640625" style="35" customWidth="1"/>
    <col min="1027" max="1031" width="9.109375" style="35"/>
    <col min="1032" max="1032" width="11.88671875" style="35" customWidth="1"/>
    <col min="1033" max="1034" width="9.109375" style="35"/>
    <col min="1035" max="1035" width="11.88671875" style="35" customWidth="1"/>
    <col min="1036" max="1037" width="9.109375" style="35"/>
    <col min="1038" max="1038" width="11.109375" style="35" customWidth="1"/>
    <col min="1039" max="1040" width="9.109375" style="35"/>
    <col min="1041" max="1041" width="14.109375" style="35" customWidth="1"/>
    <col min="1042" max="1046" width="9.109375" style="35"/>
    <col min="1047" max="1047" width="14.109375" style="35" customWidth="1"/>
    <col min="1048" max="1049" width="9.109375" style="35"/>
    <col min="1050" max="1050" width="14.109375" style="35" customWidth="1"/>
    <col min="1051" max="1268" width="9.109375" style="35"/>
    <col min="1269" max="1270" width="6.6640625" style="35" customWidth="1"/>
    <col min="1271" max="1280" width="9.109375" style="35"/>
    <col min="1281" max="1282" width="6.6640625" style="35" customWidth="1"/>
    <col min="1283" max="1287" width="9.109375" style="35"/>
    <col min="1288" max="1288" width="11.88671875" style="35" customWidth="1"/>
    <col min="1289" max="1290" width="9.109375" style="35"/>
    <col min="1291" max="1291" width="11.88671875" style="35" customWidth="1"/>
    <col min="1292" max="1293" width="9.109375" style="35"/>
    <col min="1294" max="1294" width="11.109375" style="35" customWidth="1"/>
    <col min="1295" max="1296" width="9.109375" style="35"/>
    <col min="1297" max="1297" width="14.109375" style="35" customWidth="1"/>
    <col min="1298" max="1302" width="9.109375" style="35"/>
    <col min="1303" max="1303" width="14.109375" style="35" customWidth="1"/>
    <col min="1304" max="1305" width="9.109375" style="35"/>
    <col min="1306" max="1306" width="14.109375" style="35" customWidth="1"/>
    <col min="1307" max="1524" width="9.109375" style="35"/>
    <col min="1525" max="1526" width="6.6640625" style="35" customWidth="1"/>
    <col min="1527" max="1536" width="9.109375" style="35"/>
    <col min="1537" max="1538" width="6.6640625" style="35" customWidth="1"/>
    <col min="1539" max="1543" width="9.109375" style="35"/>
    <col min="1544" max="1544" width="11.88671875" style="35" customWidth="1"/>
    <col min="1545" max="1546" width="9.109375" style="35"/>
    <col min="1547" max="1547" width="11.88671875" style="35" customWidth="1"/>
    <col min="1548" max="1549" width="9.109375" style="35"/>
    <col min="1550" max="1550" width="11.109375" style="35" customWidth="1"/>
    <col min="1551" max="1552" width="9.109375" style="35"/>
    <col min="1553" max="1553" width="14.109375" style="35" customWidth="1"/>
    <col min="1554" max="1558" width="9.109375" style="35"/>
    <col min="1559" max="1559" width="14.109375" style="35" customWidth="1"/>
    <col min="1560" max="1561" width="9.109375" style="35"/>
    <col min="1562" max="1562" width="14.109375" style="35" customWidth="1"/>
    <col min="1563" max="1780" width="9.109375" style="35"/>
    <col min="1781" max="1782" width="6.6640625" style="35" customWidth="1"/>
    <col min="1783" max="1792" width="9.109375" style="35"/>
    <col min="1793" max="1794" width="6.6640625" style="35" customWidth="1"/>
    <col min="1795" max="1799" width="9.109375" style="35"/>
    <col min="1800" max="1800" width="11.88671875" style="35" customWidth="1"/>
    <col min="1801" max="1802" width="9.109375" style="35"/>
    <col min="1803" max="1803" width="11.88671875" style="35" customWidth="1"/>
    <col min="1804" max="1805" width="9.109375" style="35"/>
    <col min="1806" max="1806" width="11.109375" style="35" customWidth="1"/>
    <col min="1807" max="1808" width="9.109375" style="35"/>
    <col min="1809" max="1809" width="14.109375" style="35" customWidth="1"/>
    <col min="1810" max="1814" width="9.109375" style="35"/>
    <col min="1815" max="1815" width="14.109375" style="35" customWidth="1"/>
    <col min="1816" max="1817" width="9.109375" style="35"/>
    <col min="1818" max="1818" width="14.109375" style="35" customWidth="1"/>
    <col min="1819" max="2036" width="9.109375" style="35"/>
    <col min="2037" max="2038" width="6.6640625" style="35" customWidth="1"/>
    <col min="2039" max="2048" width="9.109375" style="35"/>
    <col min="2049" max="2050" width="6.6640625" style="35" customWidth="1"/>
    <col min="2051" max="2055" width="9.109375" style="35"/>
    <col min="2056" max="2056" width="11.88671875" style="35" customWidth="1"/>
    <col min="2057" max="2058" width="9.109375" style="35"/>
    <col min="2059" max="2059" width="11.88671875" style="35" customWidth="1"/>
    <col min="2060" max="2061" width="9.109375" style="35"/>
    <col min="2062" max="2062" width="11.109375" style="35" customWidth="1"/>
    <col min="2063" max="2064" width="9.109375" style="35"/>
    <col min="2065" max="2065" width="14.109375" style="35" customWidth="1"/>
    <col min="2066" max="2070" width="9.109375" style="35"/>
    <col min="2071" max="2071" width="14.109375" style="35" customWidth="1"/>
    <col min="2072" max="2073" width="9.109375" style="35"/>
    <col min="2074" max="2074" width="14.109375" style="35" customWidth="1"/>
    <col min="2075" max="2292" width="9.109375" style="35"/>
    <col min="2293" max="2294" width="6.6640625" style="35" customWidth="1"/>
    <col min="2295" max="2304" width="9.109375" style="35"/>
    <col min="2305" max="2306" width="6.6640625" style="35" customWidth="1"/>
    <col min="2307" max="2311" width="9.109375" style="35"/>
    <col min="2312" max="2312" width="11.88671875" style="35" customWidth="1"/>
    <col min="2313" max="2314" width="9.109375" style="35"/>
    <col min="2315" max="2315" width="11.88671875" style="35" customWidth="1"/>
    <col min="2316" max="2317" width="9.109375" style="35"/>
    <col min="2318" max="2318" width="11.109375" style="35" customWidth="1"/>
    <col min="2319" max="2320" width="9.109375" style="35"/>
    <col min="2321" max="2321" width="14.109375" style="35" customWidth="1"/>
    <col min="2322" max="2326" width="9.109375" style="35"/>
    <col min="2327" max="2327" width="14.109375" style="35" customWidth="1"/>
    <col min="2328" max="2329" width="9.109375" style="35"/>
    <col min="2330" max="2330" width="14.109375" style="35" customWidth="1"/>
    <col min="2331" max="2548" width="9.109375" style="35"/>
    <col min="2549" max="2550" width="6.6640625" style="35" customWidth="1"/>
    <col min="2551" max="2560" width="9.109375" style="35"/>
    <col min="2561" max="2562" width="6.6640625" style="35" customWidth="1"/>
    <col min="2563" max="2567" width="9.109375" style="35"/>
    <col min="2568" max="2568" width="11.88671875" style="35" customWidth="1"/>
    <col min="2569" max="2570" width="9.109375" style="35"/>
    <col min="2571" max="2571" width="11.88671875" style="35" customWidth="1"/>
    <col min="2572" max="2573" width="9.109375" style="35"/>
    <col min="2574" max="2574" width="11.109375" style="35" customWidth="1"/>
    <col min="2575" max="2576" width="9.109375" style="35"/>
    <col min="2577" max="2577" width="14.109375" style="35" customWidth="1"/>
    <col min="2578" max="2582" width="9.109375" style="35"/>
    <col min="2583" max="2583" width="14.109375" style="35" customWidth="1"/>
    <col min="2584" max="2585" width="9.109375" style="35"/>
    <col min="2586" max="2586" width="14.109375" style="35" customWidth="1"/>
    <col min="2587" max="2804" width="9.109375" style="35"/>
    <col min="2805" max="2806" width="6.6640625" style="35" customWidth="1"/>
    <col min="2807" max="2816" width="9.109375" style="35"/>
    <col min="2817" max="2818" width="6.6640625" style="35" customWidth="1"/>
    <col min="2819" max="2823" width="9.109375" style="35"/>
    <col min="2824" max="2824" width="11.88671875" style="35" customWidth="1"/>
    <col min="2825" max="2826" width="9.109375" style="35"/>
    <col min="2827" max="2827" width="11.88671875" style="35" customWidth="1"/>
    <col min="2828" max="2829" width="9.109375" style="35"/>
    <col min="2830" max="2830" width="11.109375" style="35" customWidth="1"/>
    <col min="2831" max="2832" width="9.109375" style="35"/>
    <col min="2833" max="2833" width="14.109375" style="35" customWidth="1"/>
    <col min="2834" max="2838" width="9.109375" style="35"/>
    <col min="2839" max="2839" width="14.109375" style="35" customWidth="1"/>
    <col min="2840" max="2841" width="9.109375" style="35"/>
    <col min="2842" max="2842" width="14.109375" style="35" customWidth="1"/>
    <col min="2843" max="3060" width="9.109375" style="35"/>
    <col min="3061" max="3062" width="6.6640625" style="35" customWidth="1"/>
    <col min="3063" max="3072" width="9.109375" style="35"/>
    <col min="3073" max="3074" width="6.6640625" style="35" customWidth="1"/>
    <col min="3075" max="3079" width="9.109375" style="35"/>
    <col min="3080" max="3080" width="11.88671875" style="35" customWidth="1"/>
    <col min="3081" max="3082" width="9.109375" style="35"/>
    <col min="3083" max="3083" width="11.88671875" style="35" customWidth="1"/>
    <col min="3084" max="3085" width="9.109375" style="35"/>
    <col min="3086" max="3086" width="11.109375" style="35" customWidth="1"/>
    <col min="3087" max="3088" width="9.109375" style="35"/>
    <col min="3089" max="3089" width="14.109375" style="35" customWidth="1"/>
    <col min="3090" max="3094" width="9.109375" style="35"/>
    <col min="3095" max="3095" width="14.109375" style="35" customWidth="1"/>
    <col min="3096" max="3097" width="9.109375" style="35"/>
    <col min="3098" max="3098" width="14.109375" style="35" customWidth="1"/>
    <col min="3099" max="3316" width="9.109375" style="35"/>
    <col min="3317" max="3318" width="6.6640625" style="35" customWidth="1"/>
    <col min="3319" max="3328" width="9.109375" style="35"/>
    <col min="3329" max="3330" width="6.6640625" style="35" customWidth="1"/>
    <col min="3331" max="3335" width="9.109375" style="35"/>
    <col min="3336" max="3336" width="11.88671875" style="35" customWidth="1"/>
    <col min="3337" max="3338" width="9.109375" style="35"/>
    <col min="3339" max="3339" width="11.88671875" style="35" customWidth="1"/>
    <col min="3340" max="3341" width="9.109375" style="35"/>
    <col min="3342" max="3342" width="11.109375" style="35" customWidth="1"/>
    <col min="3343" max="3344" width="9.109375" style="35"/>
    <col min="3345" max="3345" width="14.109375" style="35" customWidth="1"/>
    <col min="3346" max="3350" width="9.109375" style="35"/>
    <col min="3351" max="3351" width="14.109375" style="35" customWidth="1"/>
    <col min="3352" max="3353" width="9.109375" style="35"/>
    <col min="3354" max="3354" width="14.109375" style="35" customWidth="1"/>
    <col min="3355" max="3572" width="9.109375" style="35"/>
    <col min="3573" max="3574" width="6.6640625" style="35" customWidth="1"/>
    <col min="3575" max="3584" width="9.109375" style="35"/>
    <col min="3585" max="3586" width="6.6640625" style="35" customWidth="1"/>
    <col min="3587" max="3591" width="9.109375" style="35"/>
    <col min="3592" max="3592" width="11.88671875" style="35" customWidth="1"/>
    <col min="3593" max="3594" width="9.109375" style="35"/>
    <col min="3595" max="3595" width="11.88671875" style="35" customWidth="1"/>
    <col min="3596" max="3597" width="9.109375" style="35"/>
    <col min="3598" max="3598" width="11.109375" style="35" customWidth="1"/>
    <col min="3599" max="3600" width="9.109375" style="35"/>
    <col min="3601" max="3601" width="14.109375" style="35" customWidth="1"/>
    <col min="3602" max="3606" width="9.109375" style="35"/>
    <col min="3607" max="3607" width="14.109375" style="35" customWidth="1"/>
    <col min="3608" max="3609" width="9.109375" style="35"/>
    <col min="3610" max="3610" width="14.109375" style="35" customWidth="1"/>
    <col min="3611" max="3828" width="9.109375" style="35"/>
    <col min="3829" max="3830" width="6.6640625" style="35" customWidth="1"/>
    <col min="3831" max="3840" width="9.109375" style="35"/>
    <col min="3841" max="3842" width="6.6640625" style="35" customWidth="1"/>
    <col min="3843" max="3847" width="9.109375" style="35"/>
    <col min="3848" max="3848" width="11.88671875" style="35" customWidth="1"/>
    <col min="3849" max="3850" width="9.109375" style="35"/>
    <col min="3851" max="3851" width="11.88671875" style="35" customWidth="1"/>
    <col min="3852" max="3853" width="9.109375" style="35"/>
    <col min="3854" max="3854" width="11.109375" style="35" customWidth="1"/>
    <col min="3855" max="3856" width="9.109375" style="35"/>
    <col min="3857" max="3857" width="14.109375" style="35" customWidth="1"/>
    <col min="3858" max="3862" width="9.109375" style="35"/>
    <col min="3863" max="3863" width="14.109375" style="35" customWidth="1"/>
    <col min="3864" max="3865" width="9.109375" style="35"/>
    <col min="3866" max="3866" width="14.109375" style="35" customWidth="1"/>
    <col min="3867" max="4084" width="9.109375" style="35"/>
    <col min="4085" max="4086" width="6.6640625" style="35" customWidth="1"/>
    <col min="4087" max="4096" width="9.109375" style="35"/>
    <col min="4097" max="4098" width="6.6640625" style="35" customWidth="1"/>
    <col min="4099" max="4103" width="9.109375" style="35"/>
    <col min="4104" max="4104" width="11.88671875" style="35" customWidth="1"/>
    <col min="4105" max="4106" width="9.109375" style="35"/>
    <col min="4107" max="4107" width="11.88671875" style="35" customWidth="1"/>
    <col min="4108" max="4109" width="9.109375" style="35"/>
    <col min="4110" max="4110" width="11.109375" style="35" customWidth="1"/>
    <col min="4111" max="4112" width="9.109375" style="35"/>
    <col min="4113" max="4113" width="14.109375" style="35" customWidth="1"/>
    <col min="4114" max="4118" width="9.109375" style="35"/>
    <col min="4119" max="4119" width="14.109375" style="35" customWidth="1"/>
    <col min="4120" max="4121" width="9.109375" style="35"/>
    <col min="4122" max="4122" width="14.109375" style="35" customWidth="1"/>
    <col min="4123" max="4340" width="9.109375" style="35"/>
    <col min="4341" max="4342" width="6.6640625" style="35" customWidth="1"/>
    <col min="4343" max="4352" width="9.109375" style="35"/>
    <col min="4353" max="4354" width="6.6640625" style="35" customWidth="1"/>
    <col min="4355" max="4359" width="9.109375" style="35"/>
    <col min="4360" max="4360" width="11.88671875" style="35" customWidth="1"/>
    <col min="4361" max="4362" width="9.109375" style="35"/>
    <col min="4363" max="4363" width="11.88671875" style="35" customWidth="1"/>
    <col min="4364" max="4365" width="9.109375" style="35"/>
    <col min="4366" max="4366" width="11.109375" style="35" customWidth="1"/>
    <col min="4367" max="4368" width="9.109375" style="35"/>
    <col min="4369" max="4369" width="14.109375" style="35" customWidth="1"/>
    <col min="4370" max="4374" width="9.109375" style="35"/>
    <col min="4375" max="4375" width="14.109375" style="35" customWidth="1"/>
    <col min="4376" max="4377" width="9.109375" style="35"/>
    <col min="4378" max="4378" width="14.109375" style="35" customWidth="1"/>
    <col min="4379" max="4596" width="9.109375" style="35"/>
    <col min="4597" max="4598" width="6.6640625" style="35" customWidth="1"/>
    <col min="4599" max="4608" width="9.109375" style="35"/>
    <col min="4609" max="4610" width="6.6640625" style="35" customWidth="1"/>
    <col min="4611" max="4615" width="9.109375" style="35"/>
    <col min="4616" max="4616" width="11.88671875" style="35" customWidth="1"/>
    <col min="4617" max="4618" width="9.109375" style="35"/>
    <col min="4619" max="4619" width="11.88671875" style="35" customWidth="1"/>
    <col min="4620" max="4621" width="9.109375" style="35"/>
    <col min="4622" max="4622" width="11.109375" style="35" customWidth="1"/>
    <col min="4623" max="4624" width="9.109375" style="35"/>
    <col min="4625" max="4625" width="14.109375" style="35" customWidth="1"/>
    <col min="4626" max="4630" width="9.109375" style="35"/>
    <col min="4631" max="4631" width="14.109375" style="35" customWidth="1"/>
    <col min="4632" max="4633" width="9.109375" style="35"/>
    <col min="4634" max="4634" width="14.109375" style="35" customWidth="1"/>
    <col min="4635" max="4852" width="9.109375" style="35"/>
    <col min="4853" max="4854" width="6.6640625" style="35" customWidth="1"/>
    <col min="4855" max="4864" width="9.109375" style="35"/>
    <col min="4865" max="4866" width="6.6640625" style="35" customWidth="1"/>
    <col min="4867" max="4871" width="9.109375" style="35"/>
    <col min="4872" max="4872" width="11.88671875" style="35" customWidth="1"/>
    <col min="4873" max="4874" width="9.109375" style="35"/>
    <col min="4875" max="4875" width="11.88671875" style="35" customWidth="1"/>
    <col min="4876" max="4877" width="9.109375" style="35"/>
    <col min="4878" max="4878" width="11.109375" style="35" customWidth="1"/>
    <col min="4879" max="4880" width="9.109375" style="35"/>
    <col min="4881" max="4881" width="14.109375" style="35" customWidth="1"/>
    <col min="4882" max="4886" width="9.109375" style="35"/>
    <col min="4887" max="4887" width="14.109375" style="35" customWidth="1"/>
    <col min="4888" max="4889" width="9.109375" style="35"/>
    <col min="4890" max="4890" width="14.109375" style="35" customWidth="1"/>
    <col min="4891" max="5108" width="9.109375" style="35"/>
    <col min="5109" max="5110" width="6.6640625" style="35" customWidth="1"/>
    <col min="5111" max="5120" width="9.109375" style="35"/>
    <col min="5121" max="5122" width="6.6640625" style="35" customWidth="1"/>
    <col min="5123" max="5127" width="9.109375" style="35"/>
    <col min="5128" max="5128" width="11.88671875" style="35" customWidth="1"/>
    <col min="5129" max="5130" width="9.109375" style="35"/>
    <col min="5131" max="5131" width="11.88671875" style="35" customWidth="1"/>
    <col min="5132" max="5133" width="9.109375" style="35"/>
    <col min="5134" max="5134" width="11.109375" style="35" customWidth="1"/>
    <col min="5135" max="5136" width="9.109375" style="35"/>
    <col min="5137" max="5137" width="14.109375" style="35" customWidth="1"/>
    <col min="5138" max="5142" width="9.109375" style="35"/>
    <col min="5143" max="5143" width="14.109375" style="35" customWidth="1"/>
    <col min="5144" max="5145" width="9.109375" style="35"/>
    <col min="5146" max="5146" width="14.109375" style="35" customWidth="1"/>
    <col min="5147" max="5364" width="9.109375" style="35"/>
    <col min="5365" max="5366" width="6.6640625" style="35" customWidth="1"/>
    <col min="5367" max="5376" width="9.109375" style="35"/>
    <col min="5377" max="5378" width="6.6640625" style="35" customWidth="1"/>
    <col min="5379" max="5383" width="9.109375" style="35"/>
    <col min="5384" max="5384" width="11.88671875" style="35" customWidth="1"/>
    <col min="5385" max="5386" width="9.109375" style="35"/>
    <col min="5387" max="5387" width="11.88671875" style="35" customWidth="1"/>
    <col min="5388" max="5389" width="9.109375" style="35"/>
    <col min="5390" max="5390" width="11.109375" style="35" customWidth="1"/>
    <col min="5391" max="5392" width="9.109375" style="35"/>
    <col min="5393" max="5393" width="14.109375" style="35" customWidth="1"/>
    <col min="5394" max="5398" width="9.109375" style="35"/>
    <col min="5399" max="5399" width="14.109375" style="35" customWidth="1"/>
    <col min="5400" max="5401" width="9.109375" style="35"/>
    <col min="5402" max="5402" width="14.109375" style="35" customWidth="1"/>
    <col min="5403" max="5620" width="9.109375" style="35"/>
    <col min="5621" max="5622" width="6.6640625" style="35" customWidth="1"/>
    <col min="5623" max="5632" width="9.109375" style="35"/>
    <col min="5633" max="5634" width="6.6640625" style="35" customWidth="1"/>
    <col min="5635" max="5639" width="9.109375" style="35"/>
    <col min="5640" max="5640" width="11.88671875" style="35" customWidth="1"/>
    <col min="5641" max="5642" width="9.109375" style="35"/>
    <col min="5643" max="5643" width="11.88671875" style="35" customWidth="1"/>
    <col min="5644" max="5645" width="9.109375" style="35"/>
    <col min="5646" max="5646" width="11.109375" style="35" customWidth="1"/>
    <col min="5647" max="5648" width="9.109375" style="35"/>
    <col min="5649" max="5649" width="14.109375" style="35" customWidth="1"/>
    <col min="5650" max="5654" width="9.109375" style="35"/>
    <col min="5655" max="5655" width="14.109375" style="35" customWidth="1"/>
    <col min="5656" max="5657" width="9.109375" style="35"/>
    <col min="5658" max="5658" width="14.109375" style="35" customWidth="1"/>
    <col min="5659" max="5876" width="9.109375" style="35"/>
    <col min="5877" max="5878" width="6.6640625" style="35" customWidth="1"/>
    <col min="5879" max="5888" width="9.109375" style="35"/>
    <col min="5889" max="5890" width="6.6640625" style="35" customWidth="1"/>
    <col min="5891" max="5895" width="9.109375" style="35"/>
    <col min="5896" max="5896" width="11.88671875" style="35" customWidth="1"/>
    <col min="5897" max="5898" width="9.109375" style="35"/>
    <col min="5899" max="5899" width="11.88671875" style="35" customWidth="1"/>
    <col min="5900" max="5901" width="9.109375" style="35"/>
    <col min="5902" max="5902" width="11.109375" style="35" customWidth="1"/>
    <col min="5903" max="5904" width="9.109375" style="35"/>
    <col min="5905" max="5905" width="14.109375" style="35" customWidth="1"/>
    <col min="5906" max="5910" width="9.109375" style="35"/>
    <col min="5911" max="5911" width="14.109375" style="35" customWidth="1"/>
    <col min="5912" max="5913" width="9.109375" style="35"/>
    <col min="5914" max="5914" width="14.109375" style="35" customWidth="1"/>
    <col min="5915" max="6132" width="9.109375" style="35"/>
    <col min="6133" max="6134" width="6.6640625" style="35" customWidth="1"/>
    <col min="6135" max="6144" width="9.109375" style="35"/>
    <col min="6145" max="6146" width="6.6640625" style="35" customWidth="1"/>
    <col min="6147" max="6151" width="9.109375" style="35"/>
    <col min="6152" max="6152" width="11.88671875" style="35" customWidth="1"/>
    <col min="6153" max="6154" width="9.109375" style="35"/>
    <col min="6155" max="6155" width="11.88671875" style="35" customWidth="1"/>
    <col min="6156" max="6157" width="9.109375" style="35"/>
    <col min="6158" max="6158" width="11.109375" style="35" customWidth="1"/>
    <col min="6159" max="6160" width="9.109375" style="35"/>
    <col min="6161" max="6161" width="14.109375" style="35" customWidth="1"/>
    <col min="6162" max="6166" width="9.109375" style="35"/>
    <col min="6167" max="6167" width="14.109375" style="35" customWidth="1"/>
    <col min="6168" max="6169" width="9.109375" style="35"/>
    <col min="6170" max="6170" width="14.109375" style="35" customWidth="1"/>
    <col min="6171" max="6388" width="9.109375" style="35"/>
    <col min="6389" max="6390" width="6.6640625" style="35" customWidth="1"/>
    <col min="6391" max="6400" width="9.109375" style="35"/>
    <col min="6401" max="6402" width="6.6640625" style="35" customWidth="1"/>
    <col min="6403" max="6407" width="9.109375" style="35"/>
    <col min="6408" max="6408" width="11.88671875" style="35" customWidth="1"/>
    <col min="6409" max="6410" width="9.109375" style="35"/>
    <col min="6411" max="6411" width="11.88671875" style="35" customWidth="1"/>
    <col min="6412" max="6413" width="9.109375" style="35"/>
    <col min="6414" max="6414" width="11.109375" style="35" customWidth="1"/>
    <col min="6415" max="6416" width="9.109375" style="35"/>
    <col min="6417" max="6417" width="14.109375" style="35" customWidth="1"/>
    <col min="6418" max="6422" width="9.109375" style="35"/>
    <col min="6423" max="6423" width="14.109375" style="35" customWidth="1"/>
    <col min="6424" max="6425" width="9.109375" style="35"/>
    <col min="6426" max="6426" width="14.109375" style="35" customWidth="1"/>
    <col min="6427" max="6644" width="9.109375" style="35"/>
    <col min="6645" max="6646" width="6.6640625" style="35" customWidth="1"/>
    <col min="6647" max="6656" width="9.109375" style="35"/>
    <col min="6657" max="6658" width="6.6640625" style="35" customWidth="1"/>
    <col min="6659" max="6663" width="9.109375" style="35"/>
    <col min="6664" max="6664" width="11.88671875" style="35" customWidth="1"/>
    <col min="6665" max="6666" width="9.109375" style="35"/>
    <col min="6667" max="6667" width="11.88671875" style="35" customWidth="1"/>
    <col min="6668" max="6669" width="9.109375" style="35"/>
    <col min="6670" max="6670" width="11.109375" style="35" customWidth="1"/>
    <col min="6671" max="6672" width="9.109375" style="35"/>
    <col min="6673" max="6673" width="14.109375" style="35" customWidth="1"/>
    <col min="6674" max="6678" width="9.109375" style="35"/>
    <col min="6679" max="6679" width="14.109375" style="35" customWidth="1"/>
    <col min="6680" max="6681" width="9.109375" style="35"/>
    <col min="6682" max="6682" width="14.109375" style="35" customWidth="1"/>
    <col min="6683" max="6900" width="9.109375" style="35"/>
    <col min="6901" max="6902" width="6.6640625" style="35" customWidth="1"/>
    <col min="6903" max="6912" width="9.109375" style="35"/>
    <col min="6913" max="6914" width="6.6640625" style="35" customWidth="1"/>
    <col min="6915" max="6919" width="9.109375" style="35"/>
    <col min="6920" max="6920" width="11.88671875" style="35" customWidth="1"/>
    <col min="6921" max="6922" width="9.109375" style="35"/>
    <col min="6923" max="6923" width="11.88671875" style="35" customWidth="1"/>
    <col min="6924" max="6925" width="9.109375" style="35"/>
    <col min="6926" max="6926" width="11.109375" style="35" customWidth="1"/>
    <col min="6927" max="6928" width="9.109375" style="35"/>
    <col min="6929" max="6929" width="14.109375" style="35" customWidth="1"/>
    <col min="6930" max="6934" width="9.109375" style="35"/>
    <col min="6935" max="6935" width="14.109375" style="35" customWidth="1"/>
    <col min="6936" max="6937" width="9.109375" style="35"/>
    <col min="6938" max="6938" width="14.109375" style="35" customWidth="1"/>
    <col min="6939" max="7156" width="9.109375" style="35"/>
    <col min="7157" max="7158" width="6.6640625" style="35" customWidth="1"/>
    <col min="7159" max="7168" width="9.109375" style="35"/>
    <col min="7169" max="7170" width="6.6640625" style="35" customWidth="1"/>
    <col min="7171" max="7175" width="9.109375" style="35"/>
    <col min="7176" max="7176" width="11.88671875" style="35" customWidth="1"/>
    <col min="7177" max="7178" width="9.109375" style="35"/>
    <col min="7179" max="7179" width="11.88671875" style="35" customWidth="1"/>
    <col min="7180" max="7181" width="9.109375" style="35"/>
    <col min="7182" max="7182" width="11.109375" style="35" customWidth="1"/>
    <col min="7183" max="7184" width="9.109375" style="35"/>
    <col min="7185" max="7185" width="14.109375" style="35" customWidth="1"/>
    <col min="7186" max="7190" width="9.109375" style="35"/>
    <col min="7191" max="7191" width="14.109375" style="35" customWidth="1"/>
    <col min="7192" max="7193" width="9.109375" style="35"/>
    <col min="7194" max="7194" width="14.109375" style="35" customWidth="1"/>
    <col min="7195" max="7412" width="9.109375" style="35"/>
    <col min="7413" max="7414" width="6.6640625" style="35" customWidth="1"/>
    <col min="7415" max="7424" width="9.109375" style="35"/>
    <col min="7425" max="7426" width="6.6640625" style="35" customWidth="1"/>
    <col min="7427" max="7431" width="9.109375" style="35"/>
    <col min="7432" max="7432" width="11.88671875" style="35" customWidth="1"/>
    <col min="7433" max="7434" width="9.109375" style="35"/>
    <col min="7435" max="7435" width="11.88671875" style="35" customWidth="1"/>
    <col min="7436" max="7437" width="9.109375" style="35"/>
    <col min="7438" max="7438" width="11.109375" style="35" customWidth="1"/>
    <col min="7439" max="7440" width="9.109375" style="35"/>
    <col min="7441" max="7441" width="14.109375" style="35" customWidth="1"/>
    <col min="7442" max="7446" width="9.109375" style="35"/>
    <col min="7447" max="7447" width="14.109375" style="35" customWidth="1"/>
    <col min="7448" max="7449" width="9.109375" style="35"/>
    <col min="7450" max="7450" width="14.109375" style="35" customWidth="1"/>
    <col min="7451" max="7668" width="9.109375" style="35"/>
    <col min="7669" max="7670" width="6.6640625" style="35" customWidth="1"/>
    <col min="7671" max="7680" width="9.109375" style="35"/>
    <col min="7681" max="7682" width="6.6640625" style="35" customWidth="1"/>
    <col min="7683" max="7687" width="9.109375" style="35"/>
    <col min="7688" max="7688" width="11.88671875" style="35" customWidth="1"/>
    <col min="7689" max="7690" width="9.109375" style="35"/>
    <col min="7691" max="7691" width="11.88671875" style="35" customWidth="1"/>
    <col min="7692" max="7693" width="9.109375" style="35"/>
    <col min="7694" max="7694" width="11.109375" style="35" customWidth="1"/>
    <col min="7695" max="7696" width="9.109375" style="35"/>
    <col min="7697" max="7697" width="14.109375" style="35" customWidth="1"/>
    <col min="7698" max="7702" width="9.109375" style="35"/>
    <col min="7703" max="7703" width="14.109375" style="35" customWidth="1"/>
    <col min="7704" max="7705" width="9.109375" style="35"/>
    <col min="7706" max="7706" width="14.109375" style="35" customWidth="1"/>
    <col min="7707" max="7924" width="9.109375" style="35"/>
    <col min="7925" max="7926" width="6.6640625" style="35" customWidth="1"/>
    <col min="7927" max="7936" width="9.109375" style="35"/>
    <col min="7937" max="7938" width="6.6640625" style="35" customWidth="1"/>
    <col min="7939" max="7943" width="9.109375" style="35"/>
    <col min="7944" max="7944" width="11.88671875" style="35" customWidth="1"/>
    <col min="7945" max="7946" width="9.109375" style="35"/>
    <col min="7947" max="7947" width="11.88671875" style="35" customWidth="1"/>
    <col min="7948" max="7949" width="9.109375" style="35"/>
    <col min="7950" max="7950" width="11.109375" style="35" customWidth="1"/>
    <col min="7951" max="7952" width="9.109375" style="35"/>
    <col min="7953" max="7953" width="14.109375" style="35" customWidth="1"/>
    <col min="7954" max="7958" width="9.109375" style="35"/>
    <col min="7959" max="7959" width="14.109375" style="35" customWidth="1"/>
    <col min="7960" max="7961" width="9.109375" style="35"/>
    <col min="7962" max="7962" width="14.109375" style="35" customWidth="1"/>
    <col min="7963" max="8180" width="9.109375" style="35"/>
    <col min="8181" max="8182" width="6.6640625" style="35" customWidth="1"/>
    <col min="8183" max="8192" width="9.109375" style="35"/>
    <col min="8193" max="8194" width="6.6640625" style="35" customWidth="1"/>
    <col min="8195" max="8199" width="9.109375" style="35"/>
    <col min="8200" max="8200" width="11.88671875" style="35" customWidth="1"/>
    <col min="8201" max="8202" width="9.109375" style="35"/>
    <col min="8203" max="8203" width="11.88671875" style="35" customWidth="1"/>
    <col min="8204" max="8205" width="9.109375" style="35"/>
    <col min="8206" max="8206" width="11.109375" style="35" customWidth="1"/>
    <col min="8207" max="8208" width="9.109375" style="35"/>
    <col min="8209" max="8209" width="14.109375" style="35" customWidth="1"/>
    <col min="8210" max="8214" width="9.109375" style="35"/>
    <col min="8215" max="8215" width="14.109375" style="35" customWidth="1"/>
    <col min="8216" max="8217" width="9.109375" style="35"/>
    <col min="8218" max="8218" width="14.109375" style="35" customWidth="1"/>
    <col min="8219" max="8436" width="9.109375" style="35"/>
    <col min="8437" max="8438" width="6.6640625" style="35" customWidth="1"/>
    <col min="8439" max="8448" width="9.109375" style="35"/>
    <col min="8449" max="8450" width="6.6640625" style="35" customWidth="1"/>
    <col min="8451" max="8455" width="9.109375" style="35"/>
    <col min="8456" max="8456" width="11.88671875" style="35" customWidth="1"/>
    <col min="8457" max="8458" width="9.109375" style="35"/>
    <col min="8459" max="8459" width="11.88671875" style="35" customWidth="1"/>
    <col min="8460" max="8461" width="9.109375" style="35"/>
    <col min="8462" max="8462" width="11.109375" style="35" customWidth="1"/>
    <col min="8463" max="8464" width="9.109375" style="35"/>
    <col min="8465" max="8465" width="14.109375" style="35" customWidth="1"/>
    <col min="8466" max="8470" width="9.109375" style="35"/>
    <col min="8471" max="8471" width="14.109375" style="35" customWidth="1"/>
    <col min="8472" max="8473" width="9.109375" style="35"/>
    <col min="8474" max="8474" width="14.109375" style="35" customWidth="1"/>
    <col min="8475" max="8692" width="9.109375" style="35"/>
    <col min="8693" max="8694" width="6.6640625" style="35" customWidth="1"/>
    <col min="8695" max="8704" width="9.109375" style="35"/>
    <col min="8705" max="8706" width="6.6640625" style="35" customWidth="1"/>
    <col min="8707" max="8711" width="9.109375" style="35"/>
    <col min="8712" max="8712" width="11.88671875" style="35" customWidth="1"/>
    <col min="8713" max="8714" width="9.109375" style="35"/>
    <col min="8715" max="8715" width="11.88671875" style="35" customWidth="1"/>
    <col min="8716" max="8717" width="9.109375" style="35"/>
    <col min="8718" max="8718" width="11.109375" style="35" customWidth="1"/>
    <col min="8719" max="8720" width="9.109375" style="35"/>
    <col min="8721" max="8721" width="14.109375" style="35" customWidth="1"/>
    <col min="8722" max="8726" width="9.109375" style="35"/>
    <col min="8727" max="8727" width="14.109375" style="35" customWidth="1"/>
    <col min="8728" max="8729" width="9.109375" style="35"/>
    <col min="8730" max="8730" width="14.109375" style="35" customWidth="1"/>
    <col min="8731" max="8948" width="9.109375" style="35"/>
    <col min="8949" max="8950" width="6.6640625" style="35" customWidth="1"/>
    <col min="8951" max="8960" width="9.109375" style="35"/>
    <col min="8961" max="8962" width="6.6640625" style="35" customWidth="1"/>
    <col min="8963" max="8967" width="9.109375" style="35"/>
    <col min="8968" max="8968" width="11.88671875" style="35" customWidth="1"/>
    <col min="8969" max="8970" width="9.109375" style="35"/>
    <col min="8971" max="8971" width="11.88671875" style="35" customWidth="1"/>
    <col min="8972" max="8973" width="9.109375" style="35"/>
    <col min="8974" max="8974" width="11.109375" style="35" customWidth="1"/>
    <col min="8975" max="8976" width="9.109375" style="35"/>
    <col min="8977" max="8977" width="14.109375" style="35" customWidth="1"/>
    <col min="8978" max="8982" width="9.109375" style="35"/>
    <col min="8983" max="8983" width="14.109375" style="35" customWidth="1"/>
    <col min="8984" max="8985" width="9.109375" style="35"/>
    <col min="8986" max="8986" width="14.109375" style="35" customWidth="1"/>
    <col min="8987" max="9204" width="9.109375" style="35"/>
    <col min="9205" max="9206" width="6.6640625" style="35" customWidth="1"/>
    <col min="9207" max="9216" width="9.109375" style="35"/>
    <col min="9217" max="9218" width="6.6640625" style="35" customWidth="1"/>
    <col min="9219" max="9223" width="9.109375" style="35"/>
    <col min="9224" max="9224" width="11.88671875" style="35" customWidth="1"/>
    <col min="9225" max="9226" width="9.109375" style="35"/>
    <col min="9227" max="9227" width="11.88671875" style="35" customWidth="1"/>
    <col min="9228" max="9229" width="9.109375" style="35"/>
    <col min="9230" max="9230" width="11.109375" style="35" customWidth="1"/>
    <col min="9231" max="9232" width="9.109375" style="35"/>
    <col min="9233" max="9233" width="14.109375" style="35" customWidth="1"/>
    <col min="9234" max="9238" width="9.109375" style="35"/>
    <col min="9239" max="9239" width="14.109375" style="35" customWidth="1"/>
    <col min="9240" max="9241" width="9.109375" style="35"/>
    <col min="9242" max="9242" width="14.109375" style="35" customWidth="1"/>
    <col min="9243" max="9460" width="9.109375" style="35"/>
    <col min="9461" max="9462" width="6.6640625" style="35" customWidth="1"/>
    <col min="9463" max="9472" width="9.109375" style="35"/>
    <col min="9473" max="9474" width="6.6640625" style="35" customWidth="1"/>
    <col min="9475" max="9479" width="9.109375" style="35"/>
    <col min="9480" max="9480" width="11.88671875" style="35" customWidth="1"/>
    <col min="9481" max="9482" width="9.109375" style="35"/>
    <col min="9483" max="9483" width="11.88671875" style="35" customWidth="1"/>
    <col min="9484" max="9485" width="9.109375" style="35"/>
    <col min="9486" max="9486" width="11.109375" style="35" customWidth="1"/>
    <col min="9487" max="9488" width="9.109375" style="35"/>
    <col min="9489" max="9489" width="14.109375" style="35" customWidth="1"/>
    <col min="9490" max="9494" width="9.109375" style="35"/>
    <col min="9495" max="9495" width="14.109375" style="35" customWidth="1"/>
    <col min="9496" max="9497" width="9.109375" style="35"/>
    <col min="9498" max="9498" width="14.109375" style="35" customWidth="1"/>
    <col min="9499" max="9716" width="9.109375" style="35"/>
    <col min="9717" max="9718" width="6.6640625" style="35" customWidth="1"/>
    <col min="9719" max="9728" width="9.109375" style="35"/>
    <col min="9729" max="9730" width="6.6640625" style="35" customWidth="1"/>
    <col min="9731" max="9735" width="9.109375" style="35"/>
    <col min="9736" max="9736" width="11.88671875" style="35" customWidth="1"/>
    <col min="9737" max="9738" width="9.109375" style="35"/>
    <col min="9739" max="9739" width="11.88671875" style="35" customWidth="1"/>
    <col min="9740" max="9741" width="9.109375" style="35"/>
    <col min="9742" max="9742" width="11.109375" style="35" customWidth="1"/>
    <col min="9743" max="9744" width="9.109375" style="35"/>
    <col min="9745" max="9745" width="14.109375" style="35" customWidth="1"/>
    <col min="9746" max="9750" width="9.109375" style="35"/>
    <col min="9751" max="9751" width="14.109375" style="35" customWidth="1"/>
    <col min="9752" max="9753" width="9.109375" style="35"/>
    <col min="9754" max="9754" width="14.109375" style="35" customWidth="1"/>
    <col min="9755" max="9972" width="9.109375" style="35"/>
    <col min="9973" max="9974" width="6.6640625" style="35" customWidth="1"/>
    <col min="9975" max="9984" width="9.109375" style="35"/>
    <col min="9985" max="9986" width="6.6640625" style="35" customWidth="1"/>
    <col min="9987" max="9991" width="9.109375" style="35"/>
    <col min="9992" max="9992" width="11.88671875" style="35" customWidth="1"/>
    <col min="9993" max="9994" width="9.109375" style="35"/>
    <col min="9995" max="9995" width="11.88671875" style="35" customWidth="1"/>
    <col min="9996" max="9997" width="9.109375" style="35"/>
    <col min="9998" max="9998" width="11.109375" style="35" customWidth="1"/>
    <col min="9999" max="10000" width="9.109375" style="35"/>
    <col min="10001" max="10001" width="14.109375" style="35" customWidth="1"/>
    <col min="10002" max="10006" width="9.109375" style="35"/>
    <col min="10007" max="10007" width="14.109375" style="35" customWidth="1"/>
    <col min="10008" max="10009" width="9.109375" style="35"/>
    <col min="10010" max="10010" width="14.109375" style="35" customWidth="1"/>
    <col min="10011" max="10228" width="9.109375" style="35"/>
    <col min="10229" max="10230" width="6.6640625" style="35" customWidth="1"/>
    <col min="10231" max="10240" width="9.109375" style="35"/>
    <col min="10241" max="10242" width="6.6640625" style="35" customWidth="1"/>
    <col min="10243" max="10247" width="9.109375" style="35"/>
    <col min="10248" max="10248" width="11.88671875" style="35" customWidth="1"/>
    <col min="10249" max="10250" width="9.109375" style="35"/>
    <col min="10251" max="10251" width="11.88671875" style="35" customWidth="1"/>
    <col min="10252" max="10253" width="9.109375" style="35"/>
    <col min="10254" max="10254" width="11.109375" style="35" customWidth="1"/>
    <col min="10255" max="10256" width="9.109375" style="35"/>
    <col min="10257" max="10257" width="14.109375" style="35" customWidth="1"/>
    <col min="10258" max="10262" width="9.109375" style="35"/>
    <col min="10263" max="10263" width="14.109375" style="35" customWidth="1"/>
    <col min="10264" max="10265" width="9.109375" style="35"/>
    <col min="10266" max="10266" width="14.109375" style="35" customWidth="1"/>
    <col min="10267" max="10484" width="9.109375" style="35"/>
    <col min="10485" max="10486" width="6.6640625" style="35" customWidth="1"/>
    <col min="10487" max="10496" width="9.109375" style="35"/>
    <col min="10497" max="10498" width="6.6640625" style="35" customWidth="1"/>
    <col min="10499" max="10503" width="9.109375" style="35"/>
    <col min="10504" max="10504" width="11.88671875" style="35" customWidth="1"/>
    <col min="10505" max="10506" width="9.109375" style="35"/>
    <col min="10507" max="10507" width="11.88671875" style="35" customWidth="1"/>
    <col min="10508" max="10509" width="9.109375" style="35"/>
    <col min="10510" max="10510" width="11.109375" style="35" customWidth="1"/>
    <col min="10511" max="10512" width="9.109375" style="35"/>
    <col min="10513" max="10513" width="14.109375" style="35" customWidth="1"/>
    <col min="10514" max="10518" width="9.109375" style="35"/>
    <col min="10519" max="10519" width="14.109375" style="35" customWidth="1"/>
    <col min="10520" max="10521" width="9.109375" style="35"/>
    <col min="10522" max="10522" width="14.109375" style="35" customWidth="1"/>
    <col min="10523" max="10740" width="9.109375" style="35"/>
    <col min="10741" max="10742" width="6.6640625" style="35" customWidth="1"/>
    <col min="10743" max="10752" width="9.109375" style="35"/>
    <col min="10753" max="10754" width="6.6640625" style="35" customWidth="1"/>
    <col min="10755" max="10759" width="9.109375" style="35"/>
    <col min="10760" max="10760" width="11.88671875" style="35" customWidth="1"/>
    <col min="10761" max="10762" width="9.109375" style="35"/>
    <col min="10763" max="10763" width="11.88671875" style="35" customWidth="1"/>
    <col min="10764" max="10765" width="9.109375" style="35"/>
    <col min="10766" max="10766" width="11.109375" style="35" customWidth="1"/>
    <col min="10767" max="10768" width="9.109375" style="35"/>
    <col min="10769" max="10769" width="14.109375" style="35" customWidth="1"/>
    <col min="10770" max="10774" width="9.109375" style="35"/>
    <col min="10775" max="10775" width="14.109375" style="35" customWidth="1"/>
    <col min="10776" max="10777" width="9.109375" style="35"/>
    <col min="10778" max="10778" width="14.109375" style="35" customWidth="1"/>
    <col min="10779" max="10996" width="9.109375" style="35"/>
    <col min="10997" max="10998" width="6.6640625" style="35" customWidth="1"/>
    <col min="10999" max="11008" width="9.109375" style="35"/>
    <col min="11009" max="11010" width="6.6640625" style="35" customWidth="1"/>
    <col min="11011" max="11015" width="9.109375" style="35"/>
    <col min="11016" max="11016" width="11.88671875" style="35" customWidth="1"/>
    <col min="11017" max="11018" width="9.109375" style="35"/>
    <col min="11019" max="11019" width="11.88671875" style="35" customWidth="1"/>
    <col min="11020" max="11021" width="9.109375" style="35"/>
    <col min="11022" max="11022" width="11.109375" style="35" customWidth="1"/>
    <col min="11023" max="11024" width="9.109375" style="35"/>
    <col min="11025" max="11025" width="14.109375" style="35" customWidth="1"/>
    <col min="11026" max="11030" width="9.109375" style="35"/>
    <col min="11031" max="11031" width="14.109375" style="35" customWidth="1"/>
    <col min="11032" max="11033" width="9.109375" style="35"/>
    <col min="11034" max="11034" width="14.109375" style="35" customWidth="1"/>
    <col min="11035" max="11252" width="9.109375" style="35"/>
    <col min="11253" max="11254" width="6.6640625" style="35" customWidth="1"/>
    <col min="11255" max="11264" width="9.109375" style="35"/>
    <col min="11265" max="11266" width="6.6640625" style="35" customWidth="1"/>
    <col min="11267" max="11271" width="9.109375" style="35"/>
    <col min="11272" max="11272" width="11.88671875" style="35" customWidth="1"/>
    <col min="11273" max="11274" width="9.109375" style="35"/>
    <col min="11275" max="11275" width="11.88671875" style="35" customWidth="1"/>
    <col min="11276" max="11277" width="9.109375" style="35"/>
    <col min="11278" max="11278" width="11.109375" style="35" customWidth="1"/>
    <col min="11279" max="11280" width="9.109375" style="35"/>
    <col min="11281" max="11281" width="14.109375" style="35" customWidth="1"/>
    <col min="11282" max="11286" width="9.109375" style="35"/>
    <col min="11287" max="11287" width="14.109375" style="35" customWidth="1"/>
    <col min="11288" max="11289" width="9.109375" style="35"/>
    <col min="11290" max="11290" width="14.109375" style="35" customWidth="1"/>
    <col min="11291" max="11508" width="9.109375" style="35"/>
    <col min="11509" max="11510" width="6.6640625" style="35" customWidth="1"/>
    <col min="11511" max="11520" width="9.109375" style="35"/>
    <col min="11521" max="11522" width="6.6640625" style="35" customWidth="1"/>
    <col min="11523" max="11527" width="9.109375" style="35"/>
    <col min="11528" max="11528" width="11.88671875" style="35" customWidth="1"/>
    <col min="11529" max="11530" width="9.109375" style="35"/>
    <col min="11531" max="11531" width="11.88671875" style="35" customWidth="1"/>
    <col min="11532" max="11533" width="9.109375" style="35"/>
    <col min="11534" max="11534" width="11.109375" style="35" customWidth="1"/>
    <col min="11535" max="11536" width="9.109375" style="35"/>
    <col min="11537" max="11537" width="14.109375" style="35" customWidth="1"/>
    <col min="11538" max="11542" width="9.109375" style="35"/>
    <col min="11543" max="11543" width="14.109375" style="35" customWidth="1"/>
    <col min="11544" max="11545" width="9.109375" style="35"/>
    <col min="11546" max="11546" width="14.109375" style="35" customWidth="1"/>
    <col min="11547" max="11764" width="9.109375" style="35"/>
    <col min="11765" max="11766" width="6.6640625" style="35" customWidth="1"/>
    <col min="11767" max="11776" width="9.109375" style="35"/>
    <col min="11777" max="11778" width="6.6640625" style="35" customWidth="1"/>
    <col min="11779" max="11783" width="9.109375" style="35"/>
    <col min="11784" max="11784" width="11.88671875" style="35" customWidth="1"/>
    <col min="11785" max="11786" width="9.109375" style="35"/>
    <col min="11787" max="11787" width="11.88671875" style="35" customWidth="1"/>
    <col min="11788" max="11789" width="9.109375" style="35"/>
    <col min="11790" max="11790" width="11.109375" style="35" customWidth="1"/>
    <col min="11791" max="11792" width="9.109375" style="35"/>
    <col min="11793" max="11793" width="14.109375" style="35" customWidth="1"/>
    <col min="11794" max="11798" width="9.109375" style="35"/>
    <col min="11799" max="11799" width="14.109375" style="35" customWidth="1"/>
    <col min="11800" max="11801" width="9.109375" style="35"/>
    <col min="11802" max="11802" width="14.109375" style="35" customWidth="1"/>
    <col min="11803" max="12020" width="9.109375" style="35"/>
    <col min="12021" max="12022" width="6.6640625" style="35" customWidth="1"/>
    <col min="12023" max="12032" width="9.109375" style="35"/>
    <col min="12033" max="12034" width="6.6640625" style="35" customWidth="1"/>
    <col min="12035" max="12039" width="9.109375" style="35"/>
    <col min="12040" max="12040" width="11.88671875" style="35" customWidth="1"/>
    <col min="12041" max="12042" width="9.109375" style="35"/>
    <col min="12043" max="12043" width="11.88671875" style="35" customWidth="1"/>
    <col min="12044" max="12045" width="9.109375" style="35"/>
    <col min="12046" max="12046" width="11.109375" style="35" customWidth="1"/>
    <col min="12047" max="12048" width="9.109375" style="35"/>
    <col min="12049" max="12049" width="14.109375" style="35" customWidth="1"/>
    <col min="12050" max="12054" width="9.109375" style="35"/>
    <col min="12055" max="12055" width="14.109375" style="35" customWidth="1"/>
    <col min="12056" max="12057" width="9.109375" style="35"/>
    <col min="12058" max="12058" width="14.109375" style="35" customWidth="1"/>
    <col min="12059" max="12276" width="9.109375" style="35"/>
    <col min="12277" max="12278" width="6.6640625" style="35" customWidth="1"/>
    <col min="12279" max="12288" width="9.109375" style="35"/>
    <col min="12289" max="12290" width="6.6640625" style="35" customWidth="1"/>
    <col min="12291" max="12295" width="9.109375" style="35"/>
    <col min="12296" max="12296" width="11.88671875" style="35" customWidth="1"/>
    <col min="12297" max="12298" width="9.109375" style="35"/>
    <col min="12299" max="12299" width="11.88671875" style="35" customWidth="1"/>
    <col min="12300" max="12301" width="9.109375" style="35"/>
    <col min="12302" max="12302" width="11.109375" style="35" customWidth="1"/>
    <col min="12303" max="12304" width="9.109375" style="35"/>
    <col min="12305" max="12305" width="14.109375" style="35" customWidth="1"/>
    <col min="12306" max="12310" width="9.109375" style="35"/>
    <col min="12311" max="12311" width="14.109375" style="35" customWidth="1"/>
    <col min="12312" max="12313" width="9.109375" style="35"/>
    <col min="12314" max="12314" width="14.109375" style="35" customWidth="1"/>
    <col min="12315" max="12532" width="9.109375" style="35"/>
    <col min="12533" max="12534" width="6.6640625" style="35" customWidth="1"/>
    <col min="12535" max="12544" width="9.109375" style="35"/>
    <col min="12545" max="12546" width="6.6640625" style="35" customWidth="1"/>
    <col min="12547" max="12551" width="9.109375" style="35"/>
    <col min="12552" max="12552" width="11.88671875" style="35" customWidth="1"/>
    <col min="12553" max="12554" width="9.109375" style="35"/>
    <col min="12555" max="12555" width="11.88671875" style="35" customWidth="1"/>
    <col min="12556" max="12557" width="9.109375" style="35"/>
    <col min="12558" max="12558" width="11.109375" style="35" customWidth="1"/>
    <col min="12559" max="12560" width="9.109375" style="35"/>
    <col min="12561" max="12561" width="14.109375" style="35" customWidth="1"/>
    <col min="12562" max="12566" width="9.109375" style="35"/>
    <col min="12567" max="12567" width="14.109375" style="35" customWidth="1"/>
    <col min="12568" max="12569" width="9.109375" style="35"/>
    <col min="12570" max="12570" width="14.109375" style="35" customWidth="1"/>
    <col min="12571" max="12788" width="9.109375" style="35"/>
    <col min="12789" max="12790" width="6.6640625" style="35" customWidth="1"/>
    <col min="12791" max="12800" width="9.109375" style="35"/>
    <col min="12801" max="12802" width="6.6640625" style="35" customWidth="1"/>
    <col min="12803" max="12807" width="9.109375" style="35"/>
    <col min="12808" max="12808" width="11.88671875" style="35" customWidth="1"/>
    <col min="12809" max="12810" width="9.109375" style="35"/>
    <col min="12811" max="12811" width="11.88671875" style="35" customWidth="1"/>
    <col min="12812" max="12813" width="9.109375" style="35"/>
    <col min="12814" max="12814" width="11.109375" style="35" customWidth="1"/>
    <col min="12815" max="12816" width="9.109375" style="35"/>
    <col min="12817" max="12817" width="14.109375" style="35" customWidth="1"/>
    <col min="12818" max="12822" width="9.109375" style="35"/>
    <col min="12823" max="12823" width="14.109375" style="35" customWidth="1"/>
    <col min="12824" max="12825" width="9.109375" style="35"/>
    <col min="12826" max="12826" width="14.109375" style="35" customWidth="1"/>
    <col min="12827" max="13044" width="9.109375" style="35"/>
    <col min="13045" max="13046" width="6.6640625" style="35" customWidth="1"/>
    <col min="13047" max="13056" width="9.109375" style="35"/>
    <col min="13057" max="13058" width="6.6640625" style="35" customWidth="1"/>
    <col min="13059" max="13063" width="9.109375" style="35"/>
    <col min="13064" max="13064" width="11.88671875" style="35" customWidth="1"/>
    <col min="13065" max="13066" width="9.109375" style="35"/>
    <col min="13067" max="13067" width="11.88671875" style="35" customWidth="1"/>
    <col min="13068" max="13069" width="9.109375" style="35"/>
    <col min="13070" max="13070" width="11.109375" style="35" customWidth="1"/>
    <col min="13071" max="13072" width="9.109375" style="35"/>
    <col min="13073" max="13073" width="14.109375" style="35" customWidth="1"/>
    <col min="13074" max="13078" width="9.109375" style="35"/>
    <col min="13079" max="13079" width="14.109375" style="35" customWidth="1"/>
    <col min="13080" max="13081" width="9.109375" style="35"/>
    <col min="13082" max="13082" width="14.109375" style="35" customWidth="1"/>
    <col min="13083" max="13300" width="9.109375" style="35"/>
    <col min="13301" max="13302" width="6.6640625" style="35" customWidth="1"/>
    <col min="13303" max="13312" width="9.109375" style="35"/>
    <col min="13313" max="13314" width="6.6640625" style="35" customWidth="1"/>
    <col min="13315" max="13319" width="9.109375" style="35"/>
    <col min="13320" max="13320" width="11.88671875" style="35" customWidth="1"/>
    <col min="13321" max="13322" width="9.109375" style="35"/>
    <col min="13323" max="13323" width="11.88671875" style="35" customWidth="1"/>
    <col min="13324" max="13325" width="9.109375" style="35"/>
    <col min="13326" max="13326" width="11.109375" style="35" customWidth="1"/>
    <col min="13327" max="13328" width="9.109375" style="35"/>
    <col min="13329" max="13329" width="14.109375" style="35" customWidth="1"/>
    <col min="13330" max="13334" width="9.109375" style="35"/>
    <col min="13335" max="13335" width="14.109375" style="35" customWidth="1"/>
    <col min="13336" max="13337" width="9.109375" style="35"/>
    <col min="13338" max="13338" width="14.109375" style="35" customWidth="1"/>
    <col min="13339" max="13556" width="9.109375" style="35"/>
    <col min="13557" max="13558" width="6.6640625" style="35" customWidth="1"/>
    <col min="13559" max="13568" width="9.109375" style="35"/>
    <col min="13569" max="13570" width="6.6640625" style="35" customWidth="1"/>
    <col min="13571" max="13575" width="9.109375" style="35"/>
    <col min="13576" max="13576" width="11.88671875" style="35" customWidth="1"/>
    <col min="13577" max="13578" width="9.109375" style="35"/>
    <col min="13579" max="13579" width="11.88671875" style="35" customWidth="1"/>
    <col min="13580" max="13581" width="9.109375" style="35"/>
    <col min="13582" max="13582" width="11.109375" style="35" customWidth="1"/>
    <col min="13583" max="13584" width="9.109375" style="35"/>
    <col min="13585" max="13585" width="14.109375" style="35" customWidth="1"/>
    <col min="13586" max="13590" width="9.109375" style="35"/>
    <col min="13591" max="13591" width="14.109375" style="35" customWidth="1"/>
    <col min="13592" max="13593" width="9.109375" style="35"/>
    <col min="13594" max="13594" width="14.109375" style="35" customWidth="1"/>
    <col min="13595" max="13812" width="9.109375" style="35"/>
    <col min="13813" max="13814" width="6.6640625" style="35" customWidth="1"/>
    <col min="13815" max="13824" width="9.109375" style="35"/>
    <col min="13825" max="13826" width="6.6640625" style="35" customWidth="1"/>
    <col min="13827" max="13831" width="9.109375" style="35"/>
    <col min="13832" max="13832" width="11.88671875" style="35" customWidth="1"/>
    <col min="13833" max="13834" width="9.109375" style="35"/>
    <col min="13835" max="13835" width="11.88671875" style="35" customWidth="1"/>
    <col min="13836" max="13837" width="9.109375" style="35"/>
    <col min="13838" max="13838" width="11.109375" style="35" customWidth="1"/>
    <col min="13839" max="13840" width="9.109375" style="35"/>
    <col min="13841" max="13841" width="14.109375" style="35" customWidth="1"/>
    <col min="13842" max="13846" width="9.109375" style="35"/>
    <col min="13847" max="13847" width="14.109375" style="35" customWidth="1"/>
    <col min="13848" max="13849" width="9.109375" style="35"/>
    <col min="13850" max="13850" width="14.109375" style="35" customWidth="1"/>
    <col min="13851" max="14068" width="9.109375" style="35"/>
    <col min="14069" max="14070" width="6.6640625" style="35" customWidth="1"/>
    <col min="14071" max="14080" width="9.109375" style="35"/>
    <col min="14081" max="14082" width="6.6640625" style="35" customWidth="1"/>
    <col min="14083" max="14087" width="9.109375" style="35"/>
    <col min="14088" max="14088" width="11.88671875" style="35" customWidth="1"/>
    <col min="14089" max="14090" width="9.109375" style="35"/>
    <col min="14091" max="14091" width="11.88671875" style="35" customWidth="1"/>
    <col min="14092" max="14093" width="9.109375" style="35"/>
    <col min="14094" max="14094" width="11.109375" style="35" customWidth="1"/>
    <col min="14095" max="14096" width="9.109375" style="35"/>
    <col min="14097" max="14097" width="14.109375" style="35" customWidth="1"/>
    <col min="14098" max="14102" width="9.109375" style="35"/>
    <col min="14103" max="14103" width="14.109375" style="35" customWidth="1"/>
    <col min="14104" max="14105" width="9.109375" style="35"/>
    <col min="14106" max="14106" width="14.109375" style="35" customWidth="1"/>
    <col min="14107" max="14324" width="9.109375" style="35"/>
    <col min="14325" max="14326" width="6.6640625" style="35" customWidth="1"/>
    <col min="14327" max="14336" width="9.109375" style="35"/>
    <col min="14337" max="14338" width="6.6640625" style="35" customWidth="1"/>
    <col min="14339" max="14343" width="9.109375" style="35"/>
    <col min="14344" max="14344" width="11.88671875" style="35" customWidth="1"/>
    <col min="14345" max="14346" width="9.109375" style="35"/>
    <col min="14347" max="14347" width="11.88671875" style="35" customWidth="1"/>
    <col min="14348" max="14349" width="9.109375" style="35"/>
    <col min="14350" max="14350" width="11.109375" style="35" customWidth="1"/>
    <col min="14351" max="14352" width="9.109375" style="35"/>
    <col min="14353" max="14353" width="14.109375" style="35" customWidth="1"/>
    <col min="14354" max="14358" width="9.109375" style="35"/>
    <col min="14359" max="14359" width="14.109375" style="35" customWidth="1"/>
    <col min="14360" max="14361" width="9.109375" style="35"/>
    <col min="14362" max="14362" width="14.109375" style="35" customWidth="1"/>
    <col min="14363" max="14580" width="9.109375" style="35"/>
    <col min="14581" max="14582" width="6.6640625" style="35" customWidth="1"/>
    <col min="14583" max="14592" width="9.109375" style="35"/>
    <col min="14593" max="14594" width="6.6640625" style="35" customWidth="1"/>
    <col min="14595" max="14599" width="9.109375" style="35"/>
    <col min="14600" max="14600" width="11.88671875" style="35" customWidth="1"/>
    <col min="14601" max="14602" width="9.109375" style="35"/>
    <col min="14603" max="14603" width="11.88671875" style="35" customWidth="1"/>
    <col min="14604" max="14605" width="9.109375" style="35"/>
    <col min="14606" max="14606" width="11.109375" style="35" customWidth="1"/>
    <col min="14607" max="14608" width="9.109375" style="35"/>
    <col min="14609" max="14609" width="14.109375" style="35" customWidth="1"/>
    <col min="14610" max="14614" width="9.109375" style="35"/>
    <col min="14615" max="14615" width="14.109375" style="35" customWidth="1"/>
    <col min="14616" max="14617" width="9.109375" style="35"/>
    <col min="14618" max="14618" width="14.109375" style="35" customWidth="1"/>
    <col min="14619" max="14836" width="9.109375" style="35"/>
    <col min="14837" max="14838" width="6.6640625" style="35" customWidth="1"/>
    <col min="14839" max="14848" width="9.109375" style="35"/>
    <col min="14849" max="14850" width="6.6640625" style="35" customWidth="1"/>
    <col min="14851" max="14855" width="9.109375" style="35"/>
    <col min="14856" max="14856" width="11.88671875" style="35" customWidth="1"/>
    <col min="14857" max="14858" width="9.109375" style="35"/>
    <col min="14859" max="14859" width="11.88671875" style="35" customWidth="1"/>
    <col min="14860" max="14861" width="9.109375" style="35"/>
    <col min="14862" max="14862" width="11.109375" style="35" customWidth="1"/>
    <col min="14863" max="14864" width="9.109375" style="35"/>
    <col min="14865" max="14865" width="14.109375" style="35" customWidth="1"/>
    <col min="14866" max="14870" width="9.109375" style="35"/>
    <col min="14871" max="14871" width="14.109375" style="35" customWidth="1"/>
    <col min="14872" max="14873" width="9.109375" style="35"/>
    <col min="14874" max="14874" width="14.109375" style="35" customWidth="1"/>
    <col min="14875" max="15092" width="9.109375" style="35"/>
    <col min="15093" max="15094" width="6.6640625" style="35" customWidth="1"/>
    <col min="15095" max="15104" width="9.109375" style="35"/>
    <col min="15105" max="15106" width="6.6640625" style="35" customWidth="1"/>
    <col min="15107" max="15111" width="9.109375" style="35"/>
    <col min="15112" max="15112" width="11.88671875" style="35" customWidth="1"/>
    <col min="15113" max="15114" width="9.109375" style="35"/>
    <col min="15115" max="15115" width="11.88671875" style="35" customWidth="1"/>
    <col min="15116" max="15117" width="9.109375" style="35"/>
    <col min="15118" max="15118" width="11.109375" style="35" customWidth="1"/>
    <col min="15119" max="15120" width="9.109375" style="35"/>
    <col min="15121" max="15121" width="14.109375" style="35" customWidth="1"/>
    <col min="15122" max="15126" width="9.109375" style="35"/>
    <col min="15127" max="15127" width="14.109375" style="35" customWidth="1"/>
    <col min="15128" max="15129" width="9.109375" style="35"/>
    <col min="15130" max="15130" width="14.109375" style="35" customWidth="1"/>
    <col min="15131" max="15348" width="9.109375" style="35"/>
    <col min="15349" max="15350" width="6.6640625" style="35" customWidth="1"/>
    <col min="15351" max="15360" width="9.109375" style="35"/>
    <col min="15361" max="15362" width="6.6640625" style="35" customWidth="1"/>
    <col min="15363" max="15367" width="9.109375" style="35"/>
    <col min="15368" max="15368" width="11.88671875" style="35" customWidth="1"/>
    <col min="15369" max="15370" width="9.109375" style="35"/>
    <col min="15371" max="15371" width="11.88671875" style="35" customWidth="1"/>
    <col min="15372" max="15373" width="9.109375" style="35"/>
    <col min="15374" max="15374" width="11.109375" style="35" customWidth="1"/>
    <col min="15375" max="15376" width="9.109375" style="35"/>
    <col min="15377" max="15377" width="14.109375" style="35" customWidth="1"/>
    <col min="15378" max="15382" width="9.109375" style="35"/>
    <col min="15383" max="15383" width="14.109375" style="35" customWidth="1"/>
    <col min="15384" max="15385" width="9.109375" style="35"/>
    <col min="15386" max="15386" width="14.109375" style="35" customWidth="1"/>
    <col min="15387" max="15604" width="9.109375" style="35"/>
    <col min="15605" max="15606" width="6.6640625" style="35" customWidth="1"/>
    <col min="15607" max="15616" width="9.109375" style="35"/>
    <col min="15617" max="15618" width="6.6640625" style="35" customWidth="1"/>
    <col min="15619" max="15623" width="9.109375" style="35"/>
    <col min="15624" max="15624" width="11.88671875" style="35" customWidth="1"/>
    <col min="15625" max="15626" width="9.109375" style="35"/>
    <col min="15627" max="15627" width="11.88671875" style="35" customWidth="1"/>
    <col min="15628" max="15629" width="9.109375" style="35"/>
    <col min="15630" max="15630" width="11.109375" style="35" customWidth="1"/>
    <col min="15631" max="15632" width="9.109375" style="35"/>
    <col min="15633" max="15633" width="14.109375" style="35" customWidth="1"/>
    <col min="15634" max="15638" width="9.109375" style="35"/>
    <col min="15639" max="15639" width="14.109375" style="35" customWidth="1"/>
    <col min="15640" max="15641" width="9.109375" style="35"/>
    <col min="15642" max="15642" width="14.109375" style="35" customWidth="1"/>
    <col min="15643" max="15860" width="9.109375" style="35"/>
    <col min="15861" max="15862" width="6.6640625" style="35" customWidth="1"/>
    <col min="15863" max="15872" width="9.109375" style="35"/>
    <col min="15873" max="15874" width="6.6640625" style="35" customWidth="1"/>
    <col min="15875" max="15879" width="9.109375" style="35"/>
    <col min="15880" max="15880" width="11.88671875" style="35" customWidth="1"/>
    <col min="15881" max="15882" width="9.109375" style="35"/>
    <col min="15883" max="15883" width="11.88671875" style="35" customWidth="1"/>
    <col min="15884" max="15885" width="9.109375" style="35"/>
    <col min="15886" max="15886" width="11.109375" style="35" customWidth="1"/>
    <col min="15887" max="15888" width="9.109375" style="35"/>
    <col min="15889" max="15889" width="14.109375" style="35" customWidth="1"/>
    <col min="15890" max="15894" width="9.109375" style="35"/>
    <col min="15895" max="15895" width="14.109375" style="35" customWidth="1"/>
    <col min="15896" max="15897" width="9.109375" style="35"/>
    <col min="15898" max="15898" width="14.109375" style="35" customWidth="1"/>
    <col min="15899" max="16116" width="9.109375" style="35"/>
    <col min="16117" max="16118" width="6.6640625" style="35" customWidth="1"/>
    <col min="16119" max="16128" width="9.109375" style="35"/>
    <col min="16129" max="16130" width="6.6640625" style="35" customWidth="1"/>
    <col min="16131" max="16135" width="9.109375" style="35"/>
    <col min="16136" max="16136" width="11.88671875" style="35" customWidth="1"/>
    <col min="16137" max="16138" width="9.109375" style="35"/>
    <col min="16139" max="16139" width="11.88671875" style="35" customWidth="1"/>
    <col min="16140" max="16141" width="9.109375" style="35"/>
    <col min="16142" max="16142" width="11.109375" style="35" customWidth="1"/>
    <col min="16143" max="16144" width="9.109375" style="35"/>
    <col min="16145" max="16145" width="14.109375" style="35" customWidth="1"/>
    <col min="16146" max="16150" width="9.109375" style="35"/>
    <col min="16151" max="16151" width="14.109375" style="35" customWidth="1"/>
    <col min="16152" max="16153" width="9.109375" style="35"/>
    <col min="16154" max="16154" width="14.109375" style="35" customWidth="1"/>
    <col min="16155" max="16372" width="9.109375" style="35"/>
    <col min="16373" max="16374" width="6.6640625" style="35" customWidth="1"/>
    <col min="16375" max="16384" width="9.109375" style="35"/>
  </cols>
  <sheetData>
    <row r="1" spans="1:26" s="128" customFormat="1" ht="49.8" customHeight="1" x14ac:dyDescent="0.25">
      <c r="A1" s="127"/>
      <c r="B1" s="127"/>
      <c r="C1" s="127" t="s">
        <v>36</v>
      </c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</row>
    <row r="2" spans="1:26" s="32" customFormat="1" x14ac:dyDescent="0.25">
      <c r="A2" s="31"/>
      <c r="B2" s="31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s="32" customFormat="1" ht="16.2" customHeight="1" thickBot="1" x14ac:dyDescent="0.3">
      <c r="A3" s="135"/>
      <c r="B3" s="135"/>
      <c r="C3" s="136"/>
      <c r="D3" s="136"/>
      <c r="E3" s="136"/>
      <c r="F3" s="136"/>
      <c r="G3" s="136"/>
      <c r="H3" s="136"/>
      <c r="I3" s="136"/>
      <c r="J3" s="136"/>
      <c r="K3" s="136"/>
      <c r="L3" s="137"/>
      <c r="M3" s="137"/>
      <c r="N3" s="137"/>
      <c r="O3" s="137"/>
      <c r="P3" s="137"/>
      <c r="Q3" s="137"/>
      <c r="R3" s="137"/>
      <c r="S3" s="137"/>
      <c r="T3" s="137"/>
      <c r="U3" s="34"/>
      <c r="V3" s="34"/>
      <c r="W3" s="34"/>
      <c r="X3" s="34"/>
      <c r="Y3" s="34"/>
      <c r="Z3" s="34"/>
    </row>
    <row r="4" spans="1:26" s="59" customFormat="1" ht="40.049999999999997" customHeight="1" x14ac:dyDescent="0.25">
      <c r="A4" s="63">
        <f>SUM(B59,B67,B77,B18,B27,B38,B51,B88)</f>
        <v>0</v>
      </c>
      <c r="B4" s="64"/>
      <c r="C4" s="138" t="s">
        <v>37</v>
      </c>
      <c r="D4" s="139"/>
      <c r="E4" s="139"/>
      <c r="F4" s="139"/>
      <c r="G4" s="139"/>
      <c r="H4" s="139"/>
      <c r="I4" s="139"/>
      <c r="J4" s="139"/>
      <c r="K4" s="140"/>
      <c r="L4" s="139" t="s">
        <v>37</v>
      </c>
      <c r="M4" s="139"/>
      <c r="N4" s="139"/>
      <c r="O4" s="139"/>
      <c r="P4" s="139"/>
      <c r="Q4" s="139"/>
      <c r="R4" s="139"/>
      <c r="S4" s="139"/>
      <c r="T4" s="140"/>
      <c r="U4" s="133"/>
      <c r="V4" s="133"/>
      <c r="W4" s="133"/>
      <c r="X4" s="133"/>
      <c r="Y4" s="133"/>
      <c r="Z4" s="134"/>
    </row>
    <row r="5" spans="1:26" s="59" customFormat="1" ht="40.049999999999997" customHeight="1" thickBot="1" x14ac:dyDescent="0.3">
      <c r="A5" s="65"/>
      <c r="B5" s="66"/>
      <c r="C5" s="130" t="s">
        <v>38</v>
      </c>
      <c r="D5" s="131"/>
      <c r="E5" s="131"/>
      <c r="F5" s="131"/>
      <c r="G5" s="131"/>
      <c r="H5" s="131"/>
      <c r="I5" s="131"/>
      <c r="J5" s="131"/>
      <c r="K5" s="132"/>
      <c r="L5" s="131" t="s">
        <v>39</v>
      </c>
      <c r="M5" s="131"/>
      <c r="N5" s="131"/>
      <c r="O5" s="131"/>
      <c r="P5" s="131"/>
      <c r="Q5" s="131"/>
      <c r="R5" s="131"/>
      <c r="S5" s="131"/>
      <c r="T5" s="132"/>
      <c r="U5" s="133"/>
      <c r="V5" s="133"/>
      <c r="W5" s="133"/>
      <c r="X5" s="133"/>
      <c r="Y5" s="133"/>
      <c r="Z5" s="134"/>
    </row>
    <row r="6" spans="1:26" s="61" customFormat="1" ht="40.049999999999997" customHeight="1" x14ac:dyDescent="0.25">
      <c r="A6" s="67"/>
      <c r="B6" s="68"/>
      <c r="C6" s="69" t="s">
        <v>40</v>
      </c>
      <c r="D6" s="70"/>
      <c r="E6" s="71"/>
      <c r="F6" s="69" t="s">
        <v>41</v>
      </c>
      <c r="G6" s="70"/>
      <c r="H6" s="71"/>
      <c r="I6" s="69" t="s">
        <v>42</v>
      </c>
      <c r="J6" s="70"/>
      <c r="K6" s="71"/>
      <c r="L6" s="69" t="s">
        <v>43</v>
      </c>
      <c r="M6" s="70"/>
      <c r="N6" s="71"/>
      <c r="O6" s="69" t="s">
        <v>44</v>
      </c>
      <c r="P6" s="70"/>
      <c r="Q6" s="71"/>
      <c r="R6" s="69" t="s">
        <v>45</v>
      </c>
      <c r="S6" s="70"/>
      <c r="T6" s="71"/>
      <c r="U6" s="72" t="s">
        <v>46</v>
      </c>
      <c r="V6" s="73"/>
      <c r="W6" s="73"/>
      <c r="X6" s="73" t="s">
        <v>47</v>
      </c>
      <c r="Y6" s="73"/>
      <c r="Z6" s="73"/>
    </row>
    <row r="7" spans="1:26" ht="40.049999999999997" customHeight="1" x14ac:dyDescent="0.3">
      <c r="A7" s="74" t="s">
        <v>48</v>
      </c>
      <c r="B7" s="75" t="s">
        <v>49</v>
      </c>
      <c r="C7" s="76" t="s">
        <v>50</v>
      </c>
      <c r="D7" s="77" t="s">
        <v>51</v>
      </c>
      <c r="E7" s="78" t="s">
        <v>52</v>
      </c>
      <c r="F7" s="76" t="s">
        <v>50</v>
      </c>
      <c r="G7" s="77" t="s">
        <v>51</v>
      </c>
      <c r="H7" s="78" t="s">
        <v>52</v>
      </c>
      <c r="I7" s="76" t="s">
        <v>50</v>
      </c>
      <c r="J7" s="77" t="s">
        <v>51</v>
      </c>
      <c r="K7" s="78" t="s">
        <v>52</v>
      </c>
      <c r="L7" s="79" t="s">
        <v>50</v>
      </c>
      <c r="M7" s="80" t="s">
        <v>51</v>
      </c>
      <c r="N7" s="81" t="s">
        <v>52</v>
      </c>
      <c r="O7" s="79" t="s">
        <v>50</v>
      </c>
      <c r="P7" s="80" t="s">
        <v>51</v>
      </c>
      <c r="Q7" s="81" t="s">
        <v>52</v>
      </c>
      <c r="R7" s="79" t="s">
        <v>50</v>
      </c>
      <c r="S7" s="80" t="s">
        <v>51</v>
      </c>
      <c r="T7" s="81" t="s">
        <v>52</v>
      </c>
      <c r="U7" s="82" t="s">
        <v>50</v>
      </c>
      <c r="V7" s="80" t="s">
        <v>51</v>
      </c>
      <c r="W7" s="83" t="s">
        <v>52</v>
      </c>
      <c r="X7" s="82" t="s">
        <v>50</v>
      </c>
      <c r="Y7" s="80" t="s">
        <v>51</v>
      </c>
      <c r="Z7" s="83" t="s">
        <v>52</v>
      </c>
    </row>
    <row r="8" spans="1:26" s="60" customFormat="1" ht="40.049999999999997" customHeight="1" x14ac:dyDescent="0.35">
      <c r="A8" s="141" t="s">
        <v>53</v>
      </c>
      <c r="B8" s="144" t="s">
        <v>54</v>
      </c>
      <c r="C8" s="84" t="s">
        <v>55</v>
      </c>
      <c r="D8" s="85">
        <v>4</v>
      </c>
      <c r="E8" s="86" t="s">
        <v>56</v>
      </c>
      <c r="F8" s="84" t="s">
        <v>57</v>
      </c>
      <c r="G8" s="85">
        <v>7</v>
      </c>
      <c r="H8" s="86" t="s">
        <v>56</v>
      </c>
      <c r="I8" s="84" t="s">
        <v>58</v>
      </c>
      <c r="J8" s="85">
        <v>6</v>
      </c>
      <c r="K8" s="86" t="s">
        <v>56</v>
      </c>
      <c r="L8" s="84" t="s">
        <v>59</v>
      </c>
      <c r="M8" s="85">
        <v>6</v>
      </c>
      <c r="N8" s="86" t="s">
        <v>56</v>
      </c>
      <c r="O8" s="84" t="s">
        <v>60</v>
      </c>
      <c r="P8" s="85">
        <v>6</v>
      </c>
      <c r="Q8" s="86" t="s">
        <v>56</v>
      </c>
      <c r="R8" s="84"/>
      <c r="S8" s="85"/>
      <c r="T8" s="86"/>
      <c r="U8" s="87"/>
      <c r="V8" s="88"/>
      <c r="W8" s="89"/>
      <c r="X8" s="87"/>
      <c r="Y8" s="88"/>
      <c r="Z8" s="89"/>
    </row>
    <row r="9" spans="1:26" s="60" customFormat="1" ht="40.049999999999997" customHeight="1" x14ac:dyDescent="0.35">
      <c r="A9" s="142"/>
      <c r="B9" s="145"/>
      <c r="C9" s="84" t="s">
        <v>61</v>
      </c>
      <c r="D9" s="85">
        <v>2</v>
      </c>
      <c r="E9" s="86" t="s">
        <v>6</v>
      </c>
      <c r="F9" s="84" t="s">
        <v>62</v>
      </c>
      <c r="G9" s="85">
        <v>13</v>
      </c>
      <c r="H9" s="86" t="s">
        <v>6</v>
      </c>
      <c r="I9" s="84" t="s">
        <v>63</v>
      </c>
      <c r="J9" s="85">
        <v>7</v>
      </c>
      <c r="K9" s="86" t="s">
        <v>56</v>
      </c>
      <c r="L9" s="84" t="s">
        <v>64</v>
      </c>
      <c r="M9" s="85">
        <v>11</v>
      </c>
      <c r="N9" s="86" t="s">
        <v>56</v>
      </c>
      <c r="O9" s="84" t="s">
        <v>65</v>
      </c>
      <c r="P9" s="85">
        <v>8</v>
      </c>
      <c r="Q9" s="86" t="s">
        <v>56</v>
      </c>
      <c r="R9" s="84"/>
      <c r="S9" s="85"/>
      <c r="T9" s="86"/>
      <c r="U9" s="87"/>
      <c r="V9" s="88"/>
      <c r="W9" s="89"/>
      <c r="X9" s="87"/>
      <c r="Y9" s="88"/>
      <c r="Z9" s="89"/>
    </row>
    <row r="10" spans="1:26" s="60" customFormat="1" ht="40.049999999999997" customHeight="1" x14ac:dyDescent="0.35">
      <c r="A10" s="142"/>
      <c r="B10" s="145"/>
      <c r="C10" s="84" t="s">
        <v>66</v>
      </c>
      <c r="D10" s="85">
        <v>5</v>
      </c>
      <c r="E10" s="86" t="s">
        <v>6</v>
      </c>
      <c r="F10" s="84" t="s">
        <v>67</v>
      </c>
      <c r="G10" s="85">
        <v>1</v>
      </c>
      <c r="H10" s="86" t="s">
        <v>6</v>
      </c>
      <c r="I10" s="84" t="s">
        <v>68</v>
      </c>
      <c r="J10" s="85">
        <v>10</v>
      </c>
      <c r="K10" s="86" t="s">
        <v>56</v>
      </c>
      <c r="L10" s="84" t="s">
        <v>69</v>
      </c>
      <c r="M10" s="85">
        <v>3</v>
      </c>
      <c r="N10" s="86" t="s">
        <v>56</v>
      </c>
      <c r="O10" s="84" t="s">
        <v>47</v>
      </c>
      <c r="P10" s="85">
        <v>5</v>
      </c>
      <c r="Q10" s="86" t="s">
        <v>56</v>
      </c>
      <c r="R10" s="84"/>
      <c r="S10" s="85"/>
      <c r="T10" s="86"/>
      <c r="U10" s="87"/>
      <c r="V10" s="88"/>
      <c r="W10" s="89"/>
      <c r="X10" s="87"/>
      <c r="Y10" s="88"/>
      <c r="Z10" s="89"/>
    </row>
    <row r="11" spans="1:26" s="60" customFormat="1" ht="40.049999999999997" customHeight="1" x14ac:dyDescent="0.35">
      <c r="A11" s="142"/>
      <c r="B11" s="145"/>
      <c r="C11" s="84" t="s">
        <v>70</v>
      </c>
      <c r="D11" s="85">
        <v>9</v>
      </c>
      <c r="E11" s="86" t="s">
        <v>6</v>
      </c>
      <c r="F11" s="84" t="s">
        <v>71</v>
      </c>
      <c r="G11" s="85">
        <v>6</v>
      </c>
      <c r="H11" s="86" t="s">
        <v>6</v>
      </c>
      <c r="I11" s="84" t="s">
        <v>72</v>
      </c>
      <c r="J11" s="85">
        <v>18</v>
      </c>
      <c r="K11" s="86" t="s">
        <v>56</v>
      </c>
      <c r="L11" s="84" t="s">
        <v>73</v>
      </c>
      <c r="M11" s="85">
        <v>5</v>
      </c>
      <c r="N11" s="86" t="s">
        <v>56</v>
      </c>
      <c r="O11" s="84" t="s">
        <v>46</v>
      </c>
      <c r="P11" s="85">
        <v>5</v>
      </c>
      <c r="Q11" s="86" t="s">
        <v>56</v>
      </c>
      <c r="R11" s="84"/>
      <c r="S11" s="85"/>
      <c r="T11" s="86"/>
      <c r="U11" s="87"/>
      <c r="V11" s="88"/>
      <c r="W11" s="89"/>
      <c r="X11" s="87"/>
      <c r="Y11" s="88"/>
      <c r="Z11" s="89"/>
    </row>
    <row r="12" spans="1:26" s="60" customFormat="1" ht="40.049999999999997" customHeight="1" x14ac:dyDescent="0.35">
      <c r="A12" s="142"/>
      <c r="B12" s="145"/>
      <c r="C12" s="84" t="s">
        <v>74</v>
      </c>
      <c r="D12" s="85">
        <v>7</v>
      </c>
      <c r="E12" s="86" t="s">
        <v>6</v>
      </c>
      <c r="F12" s="84" t="s">
        <v>75</v>
      </c>
      <c r="G12" s="85">
        <v>11</v>
      </c>
      <c r="H12" s="86" t="s">
        <v>6</v>
      </c>
      <c r="I12" s="84" t="s">
        <v>76</v>
      </c>
      <c r="J12" s="85">
        <v>4</v>
      </c>
      <c r="K12" s="86" t="s">
        <v>56</v>
      </c>
      <c r="L12" s="84" t="s">
        <v>77</v>
      </c>
      <c r="M12" s="85">
        <v>2</v>
      </c>
      <c r="N12" s="86" t="s">
        <v>56</v>
      </c>
      <c r="O12" s="84" t="s">
        <v>78</v>
      </c>
      <c r="P12" s="85">
        <v>10</v>
      </c>
      <c r="Q12" s="86" t="s">
        <v>56</v>
      </c>
      <c r="R12" s="84"/>
      <c r="S12" s="85"/>
      <c r="T12" s="86"/>
      <c r="U12" s="87"/>
      <c r="V12" s="88"/>
      <c r="W12" s="89"/>
      <c r="X12" s="87"/>
      <c r="Y12" s="88"/>
      <c r="Z12" s="89"/>
    </row>
    <row r="13" spans="1:26" s="60" customFormat="1" ht="40.049999999999997" customHeight="1" x14ac:dyDescent="0.35">
      <c r="A13" s="142"/>
      <c r="B13" s="145"/>
      <c r="C13" s="84" t="s">
        <v>79</v>
      </c>
      <c r="D13" s="85">
        <v>7</v>
      </c>
      <c r="E13" s="86" t="s">
        <v>6</v>
      </c>
      <c r="F13" s="84" t="s">
        <v>80</v>
      </c>
      <c r="G13" s="85">
        <v>9</v>
      </c>
      <c r="H13" s="86" t="s">
        <v>6</v>
      </c>
      <c r="I13" s="84"/>
      <c r="J13" s="85"/>
      <c r="K13" s="86"/>
      <c r="L13" s="84" t="s">
        <v>81</v>
      </c>
      <c r="M13" s="85">
        <v>8</v>
      </c>
      <c r="N13" s="86" t="s">
        <v>56</v>
      </c>
      <c r="O13" s="84" t="s">
        <v>82</v>
      </c>
      <c r="P13" s="85">
        <v>7</v>
      </c>
      <c r="Q13" s="86" t="s">
        <v>56</v>
      </c>
      <c r="R13" s="84"/>
      <c r="S13" s="90"/>
      <c r="T13" s="91"/>
      <c r="U13" s="87"/>
      <c r="V13" s="88"/>
      <c r="W13" s="89"/>
      <c r="X13" s="87"/>
      <c r="Y13" s="88"/>
      <c r="Z13" s="89"/>
    </row>
    <row r="14" spans="1:26" s="60" customFormat="1" ht="40.049999999999997" customHeight="1" x14ac:dyDescent="0.35">
      <c r="A14" s="142"/>
      <c r="B14" s="145"/>
      <c r="C14" s="84" t="s">
        <v>83</v>
      </c>
      <c r="D14" s="85">
        <v>6</v>
      </c>
      <c r="E14" s="86" t="s">
        <v>6</v>
      </c>
      <c r="F14" s="84"/>
      <c r="G14" s="85"/>
      <c r="H14" s="86"/>
      <c r="I14" s="84"/>
      <c r="J14" s="85"/>
      <c r="K14" s="86"/>
      <c r="L14" s="84" t="s">
        <v>84</v>
      </c>
      <c r="M14" s="85">
        <v>8</v>
      </c>
      <c r="N14" s="86" t="s">
        <v>56</v>
      </c>
      <c r="O14" s="84" t="s">
        <v>85</v>
      </c>
      <c r="P14" s="85">
        <v>10</v>
      </c>
      <c r="Q14" s="86" t="s">
        <v>56</v>
      </c>
      <c r="R14" s="84"/>
      <c r="S14" s="85"/>
      <c r="T14" s="86"/>
      <c r="U14" s="87"/>
      <c r="V14" s="88"/>
      <c r="W14" s="92"/>
      <c r="X14" s="87"/>
      <c r="Y14" s="88"/>
      <c r="Z14" s="89"/>
    </row>
    <row r="15" spans="1:26" s="60" customFormat="1" ht="40.049999999999997" customHeight="1" x14ac:dyDescent="0.35">
      <c r="A15" s="142"/>
      <c r="B15" s="145"/>
      <c r="C15" s="84" t="s">
        <v>86</v>
      </c>
      <c r="D15" s="85">
        <v>2</v>
      </c>
      <c r="E15" s="86" t="s">
        <v>6</v>
      </c>
      <c r="F15" s="84"/>
      <c r="G15" s="85"/>
      <c r="H15" s="86"/>
      <c r="I15" s="84"/>
      <c r="J15" s="85"/>
      <c r="K15" s="86"/>
      <c r="L15" s="84" t="s">
        <v>87</v>
      </c>
      <c r="M15" s="85">
        <v>4</v>
      </c>
      <c r="N15" s="86" t="s">
        <v>56</v>
      </c>
      <c r="O15" s="84" t="s">
        <v>88</v>
      </c>
      <c r="P15" s="85">
        <v>6</v>
      </c>
      <c r="Q15" s="86" t="s">
        <v>56</v>
      </c>
      <c r="R15" s="84"/>
      <c r="S15" s="85"/>
      <c r="T15" s="86"/>
      <c r="U15" s="87"/>
      <c r="V15" s="88"/>
      <c r="W15" s="92"/>
      <c r="X15" s="87"/>
      <c r="Y15" s="88"/>
      <c r="Z15" s="92"/>
    </row>
    <row r="16" spans="1:26" s="60" customFormat="1" ht="40.049999999999997" customHeight="1" x14ac:dyDescent="0.35">
      <c r="A16" s="142"/>
      <c r="B16" s="145"/>
      <c r="C16" s="84" t="s">
        <v>89</v>
      </c>
      <c r="D16" s="85">
        <v>1</v>
      </c>
      <c r="E16" s="86" t="s">
        <v>6</v>
      </c>
      <c r="F16" s="84"/>
      <c r="G16" s="85"/>
      <c r="H16" s="86"/>
      <c r="I16" s="84"/>
      <c r="J16" s="85"/>
      <c r="K16" s="86"/>
      <c r="L16" s="84" t="s">
        <v>90</v>
      </c>
      <c r="M16" s="85">
        <v>6</v>
      </c>
      <c r="N16" s="86" t="s">
        <v>56</v>
      </c>
      <c r="O16" s="84"/>
      <c r="P16" s="85"/>
      <c r="Q16" s="86"/>
      <c r="R16" s="84"/>
      <c r="S16" s="85"/>
      <c r="T16" s="86"/>
      <c r="U16" s="87"/>
      <c r="V16" s="88"/>
      <c r="W16" s="92"/>
      <c r="X16" s="87"/>
      <c r="Y16" s="88"/>
      <c r="Z16" s="92"/>
    </row>
    <row r="17" spans="1:26" s="60" customFormat="1" ht="40.049999999999997" customHeight="1" x14ac:dyDescent="0.35">
      <c r="A17" s="142"/>
      <c r="B17" s="146"/>
      <c r="C17" s="84"/>
      <c r="D17" s="85"/>
      <c r="E17" s="86"/>
      <c r="F17" s="84"/>
      <c r="G17" s="85"/>
      <c r="H17" s="86"/>
      <c r="I17" s="84"/>
      <c r="J17" s="85"/>
      <c r="K17" s="86"/>
      <c r="L17" s="84" t="s">
        <v>91</v>
      </c>
      <c r="M17" s="85">
        <v>3</v>
      </c>
      <c r="N17" s="86" t="s">
        <v>56</v>
      </c>
      <c r="O17" s="84"/>
      <c r="P17" s="85"/>
      <c r="Q17" s="86"/>
      <c r="R17" s="84"/>
      <c r="S17" s="85"/>
      <c r="T17" s="86"/>
      <c r="U17" s="87"/>
      <c r="V17" s="88"/>
      <c r="W17" s="92"/>
      <c r="X17" s="87"/>
      <c r="Y17" s="88"/>
      <c r="Z17" s="92"/>
    </row>
    <row r="18" spans="1:26" s="62" customFormat="1" ht="40.049999999999997" customHeight="1" thickBot="1" x14ac:dyDescent="0.45">
      <c r="A18" s="143"/>
      <c r="B18" s="93"/>
      <c r="C18" s="94"/>
      <c r="D18" s="95">
        <f>SUM(D8:D17)</f>
        <v>43</v>
      </c>
      <c r="E18" s="96" t="s">
        <v>92</v>
      </c>
      <c r="F18" s="94"/>
      <c r="G18" s="95">
        <f>SUM(G8:G17)</f>
        <v>47</v>
      </c>
      <c r="H18" s="96" t="s">
        <v>93</v>
      </c>
      <c r="I18" s="94"/>
      <c r="J18" s="95">
        <f>SUM(J8:J17)</f>
        <v>45</v>
      </c>
      <c r="K18" s="96" t="s">
        <v>94</v>
      </c>
      <c r="L18" s="94"/>
      <c r="M18" s="95">
        <f>SUM(M8:M17)</f>
        <v>56</v>
      </c>
      <c r="N18" s="96" t="s">
        <v>95</v>
      </c>
      <c r="O18" s="94"/>
      <c r="P18" s="95">
        <f>SUM(P8:P17)</f>
        <v>57</v>
      </c>
      <c r="Q18" s="96" t="s">
        <v>96</v>
      </c>
      <c r="R18" s="94"/>
      <c r="S18" s="95">
        <f>SUM(S8:S17)</f>
        <v>0</v>
      </c>
      <c r="T18" s="96"/>
      <c r="U18" s="97"/>
      <c r="V18" s="98">
        <f>SUM(V8:V17)</f>
        <v>0</v>
      </c>
      <c r="W18" s="99"/>
      <c r="X18" s="97"/>
      <c r="Y18" s="98">
        <f>SUM(Y8:Y17)</f>
        <v>0</v>
      </c>
      <c r="Z18" s="99"/>
    </row>
    <row r="19" spans="1:26" s="60" customFormat="1" ht="40.049999999999997" customHeight="1" x14ac:dyDescent="0.35">
      <c r="A19" s="147" t="s">
        <v>97</v>
      </c>
      <c r="B19" s="150" t="s">
        <v>98</v>
      </c>
      <c r="C19" s="100" t="s">
        <v>55</v>
      </c>
      <c r="D19" s="101">
        <v>13</v>
      </c>
      <c r="E19" s="102" t="s">
        <v>99</v>
      </c>
      <c r="F19" s="100" t="s">
        <v>86</v>
      </c>
      <c r="G19" s="101">
        <v>7</v>
      </c>
      <c r="H19" s="102" t="s">
        <v>7</v>
      </c>
      <c r="I19" s="100" t="s">
        <v>63</v>
      </c>
      <c r="J19" s="101">
        <v>13</v>
      </c>
      <c r="K19" s="102" t="s">
        <v>99</v>
      </c>
      <c r="L19" s="100" t="s">
        <v>89</v>
      </c>
      <c r="M19" s="101">
        <v>13</v>
      </c>
      <c r="N19" s="102" t="s">
        <v>99</v>
      </c>
      <c r="O19" s="100" t="s">
        <v>59</v>
      </c>
      <c r="P19" s="101">
        <v>9</v>
      </c>
      <c r="Q19" s="102" t="s">
        <v>99</v>
      </c>
      <c r="R19" s="100" t="s">
        <v>87</v>
      </c>
      <c r="S19" s="101">
        <v>7</v>
      </c>
      <c r="T19" s="102" t="s">
        <v>99</v>
      </c>
      <c r="U19" s="103"/>
      <c r="V19" s="104"/>
      <c r="W19" s="105"/>
      <c r="X19" s="103"/>
      <c r="Y19" s="104"/>
      <c r="Z19" s="105"/>
    </row>
    <row r="20" spans="1:26" s="60" customFormat="1" ht="40.049999999999997" customHeight="1" x14ac:dyDescent="0.35">
      <c r="A20" s="148"/>
      <c r="B20" s="151"/>
      <c r="C20" s="84" t="s">
        <v>61</v>
      </c>
      <c r="D20" s="85">
        <v>3</v>
      </c>
      <c r="E20" s="86" t="s">
        <v>7</v>
      </c>
      <c r="F20" s="84" t="s">
        <v>57</v>
      </c>
      <c r="G20" s="85">
        <v>6</v>
      </c>
      <c r="H20" s="86" t="s">
        <v>7</v>
      </c>
      <c r="I20" s="84" t="s">
        <v>68</v>
      </c>
      <c r="J20" s="85">
        <v>14</v>
      </c>
      <c r="K20" s="86" t="s">
        <v>7</v>
      </c>
      <c r="L20" s="84" t="s">
        <v>75</v>
      </c>
      <c r="M20" s="85">
        <v>17</v>
      </c>
      <c r="N20" s="86" t="s">
        <v>99</v>
      </c>
      <c r="O20" s="84" t="s">
        <v>64</v>
      </c>
      <c r="P20" s="85">
        <v>9</v>
      </c>
      <c r="Q20" s="86" t="s">
        <v>99</v>
      </c>
      <c r="R20" s="84" t="s">
        <v>90</v>
      </c>
      <c r="S20" s="85">
        <v>13</v>
      </c>
      <c r="T20" s="86" t="s">
        <v>99</v>
      </c>
      <c r="U20" s="87"/>
      <c r="V20" s="88"/>
      <c r="W20" s="89"/>
      <c r="X20" s="87"/>
      <c r="Y20" s="88"/>
      <c r="Z20" s="89"/>
    </row>
    <row r="21" spans="1:26" s="60" customFormat="1" ht="40.049999999999997" customHeight="1" x14ac:dyDescent="0.35">
      <c r="A21" s="148"/>
      <c r="B21" s="151"/>
      <c r="C21" s="84" t="s">
        <v>66</v>
      </c>
      <c r="D21" s="85">
        <v>1</v>
      </c>
      <c r="E21" s="86" t="s">
        <v>7</v>
      </c>
      <c r="F21" s="84" t="s">
        <v>62</v>
      </c>
      <c r="G21" s="85">
        <v>5</v>
      </c>
      <c r="H21" s="86" t="s">
        <v>7</v>
      </c>
      <c r="I21" s="84" t="s">
        <v>80</v>
      </c>
      <c r="J21" s="85">
        <v>11</v>
      </c>
      <c r="K21" s="86" t="s">
        <v>7</v>
      </c>
      <c r="L21" s="84" t="s">
        <v>72</v>
      </c>
      <c r="M21" s="85">
        <v>17</v>
      </c>
      <c r="N21" s="86" t="s">
        <v>99</v>
      </c>
      <c r="O21" s="84" t="s">
        <v>69</v>
      </c>
      <c r="P21" s="85">
        <v>2</v>
      </c>
      <c r="Q21" s="86" t="s">
        <v>99</v>
      </c>
      <c r="R21" s="84" t="s">
        <v>47</v>
      </c>
      <c r="S21" s="85">
        <v>7</v>
      </c>
      <c r="T21" s="86" t="s">
        <v>99</v>
      </c>
      <c r="U21" s="87"/>
      <c r="V21" s="88"/>
      <c r="W21" s="89"/>
      <c r="X21" s="87"/>
      <c r="Y21" s="88"/>
      <c r="Z21" s="89"/>
    </row>
    <row r="22" spans="1:26" s="60" customFormat="1" ht="40.049999999999997" customHeight="1" x14ac:dyDescent="0.35">
      <c r="A22" s="148"/>
      <c r="B22" s="151"/>
      <c r="C22" s="84" t="s">
        <v>70</v>
      </c>
      <c r="D22" s="85">
        <v>4</v>
      </c>
      <c r="E22" s="86" t="s">
        <v>7</v>
      </c>
      <c r="F22" s="84" t="s">
        <v>67</v>
      </c>
      <c r="G22" s="85">
        <v>8</v>
      </c>
      <c r="H22" s="86" t="s">
        <v>7</v>
      </c>
      <c r="I22" s="84" t="s">
        <v>76</v>
      </c>
      <c r="J22" s="85">
        <v>11</v>
      </c>
      <c r="K22" s="86" t="s">
        <v>7</v>
      </c>
      <c r="L22" s="84"/>
      <c r="M22" s="85"/>
      <c r="N22" s="86"/>
      <c r="O22" s="84" t="s">
        <v>73</v>
      </c>
      <c r="P22" s="85">
        <v>10</v>
      </c>
      <c r="Q22" s="86" t="s">
        <v>99</v>
      </c>
      <c r="R22" s="84" t="s">
        <v>46</v>
      </c>
      <c r="S22" s="85">
        <v>7</v>
      </c>
      <c r="T22" s="86" t="s">
        <v>99</v>
      </c>
      <c r="U22" s="87"/>
      <c r="V22" s="88"/>
      <c r="W22" s="89"/>
      <c r="X22" s="87"/>
      <c r="Y22" s="88"/>
      <c r="Z22" s="89"/>
    </row>
    <row r="23" spans="1:26" s="60" customFormat="1" ht="40.049999999999997" customHeight="1" x14ac:dyDescent="0.35">
      <c r="A23" s="148"/>
      <c r="B23" s="151"/>
      <c r="C23" s="84" t="s">
        <v>74</v>
      </c>
      <c r="D23" s="85">
        <v>8</v>
      </c>
      <c r="E23" s="86" t="s">
        <v>7</v>
      </c>
      <c r="F23" s="84" t="s">
        <v>71</v>
      </c>
      <c r="G23" s="85">
        <v>8</v>
      </c>
      <c r="H23" s="86" t="s">
        <v>7</v>
      </c>
      <c r="I23" s="84"/>
      <c r="J23" s="85"/>
      <c r="K23" s="86"/>
      <c r="L23" s="84"/>
      <c r="M23" s="85"/>
      <c r="N23" s="86"/>
      <c r="O23" s="84" t="s">
        <v>81</v>
      </c>
      <c r="P23" s="85">
        <v>14</v>
      </c>
      <c r="Q23" s="86" t="s">
        <v>99</v>
      </c>
      <c r="R23" s="84" t="s">
        <v>78</v>
      </c>
      <c r="S23" s="85">
        <v>3</v>
      </c>
      <c r="T23" s="86" t="s">
        <v>99</v>
      </c>
      <c r="U23" s="87"/>
      <c r="V23" s="88"/>
      <c r="W23" s="89"/>
      <c r="X23" s="87"/>
      <c r="Y23" s="88"/>
      <c r="Z23" s="89"/>
    </row>
    <row r="24" spans="1:26" s="60" customFormat="1" ht="40.049999999999997" customHeight="1" x14ac:dyDescent="0.35">
      <c r="A24" s="148"/>
      <c r="B24" s="151"/>
      <c r="C24" s="84" t="s">
        <v>79</v>
      </c>
      <c r="D24" s="85">
        <v>13</v>
      </c>
      <c r="E24" s="86" t="s">
        <v>7</v>
      </c>
      <c r="F24" s="84" t="s">
        <v>58</v>
      </c>
      <c r="G24" s="85">
        <v>10</v>
      </c>
      <c r="H24" s="86" t="s">
        <v>7</v>
      </c>
      <c r="I24" s="84"/>
      <c r="J24" s="85"/>
      <c r="K24" s="86"/>
      <c r="L24" s="84"/>
      <c r="M24" s="85"/>
      <c r="N24" s="86"/>
      <c r="O24" s="84" t="s">
        <v>84</v>
      </c>
      <c r="P24" s="85">
        <v>4</v>
      </c>
      <c r="Q24" s="86" t="s">
        <v>99</v>
      </c>
      <c r="R24" s="84" t="s">
        <v>85</v>
      </c>
      <c r="S24" s="85">
        <v>3</v>
      </c>
      <c r="T24" s="86" t="s">
        <v>99</v>
      </c>
      <c r="U24" s="87"/>
      <c r="V24" s="88"/>
      <c r="W24" s="89"/>
      <c r="X24" s="87"/>
      <c r="Y24" s="88"/>
      <c r="Z24" s="89"/>
    </row>
    <row r="25" spans="1:26" s="60" customFormat="1" ht="40.049999999999997" customHeight="1" x14ac:dyDescent="0.35">
      <c r="A25" s="148"/>
      <c r="B25" s="151"/>
      <c r="C25" s="84" t="s">
        <v>83</v>
      </c>
      <c r="D25" s="85">
        <v>6</v>
      </c>
      <c r="E25" s="86" t="s">
        <v>7</v>
      </c>
      <c r="F25" s="84"/>
      <c r="G25" s="85"/>
      <c r="H25" s="86"/>
      <c r="I25" s="84"/>
      <c r="J25" s="85"/>
      <c r="K25" s="86"/>
      <c r="L25" s="84"/>
      <c r="M25" s="85"/>
      <c r="N25" s="86"/>
      <c r="O25" s="84"/>
      <c r="P25" s="85"/>
      <c r="Q25" s="86"/>
      <c r="R25" s="84" t="s">
        <v>88</v>
      </c>
      <c r="S25" s="85">
        <v>5</v>
      </c>
      <c r="T25" s="86" t="s">
        <v>99</v>
      </c>
      <c r="U25" s="87"/>
      <c r="V25" s="88"/>
      <c r="W25" s="89"/>
      <c r="X25" s="87"/>
      <c r="Y25" s="88"/>
      <c r="Z25" s="89"/>
    </row>
    <row r="26" spans="1:26" s="60" customFormat="1" ht="40.049999999999997" customHeight="1" x14ac:dyDescent="0.35">
      <c r="A26" s="148"/>
      <c r="B26" s="152"/>
      <c r="C26" s="84"/>
      <c r="D26" s="85"/>
      <c r="E26" s="86"/>
      <c r="F26" s="84"/>
      <c r="G26" s="85"/>
      <c r="H26" s="86"/>
      <c r="I26" s="84"/>
      <c r="J26" s="85"/>
      <c r="K26" s="86"/>
      <c r="L26" s="84"/>
      <c r="M26" s="85"/>
      <c r="N26" s="86"/>
      <c r="O26" s="84"/>
      <c r="P26" s="85"/>
      <c r="Q26" s="86"/>
      <c r="R26" s="84" t="s">
        <v>100</v>
      </c>
      <c r="S26" s="85">
        <v>1</v>
      </c>
      <c r="T26" s="86" t="s">
        <v>99</v>
      </c>
      <c r="U26" s="87"/>
      <c r="V26" s="88"/>
      <c r="W26" s="89"/>
      <c r="X26" s="87"/>
      <c r="Y26" s="88"/>
      <c r="Z26" s="92"/>
    </row>
    <row r="27" spans="1:26" s="62" customFormat="1" ht="40.049999999999997" customHeight="1" thickBot="1" x14ac:dyDescent="0.45">
      <c r="A27" s="149"/>
      <c r="B27" s="106"/>
      <c r="C27" s="94"/>
      <c r="D27" s="95">
        <f>SUM(D19:D26)</f>
        <v>48</v>
      </c>
      <c r="E27" s="96" t="s">
        <v>101</v>
      </c>
      <c r="F27" s="94"/>
      <c r="G27" s="95">
        <f>SUM(G19:G26)</f>
        <v>44</v>
      </c>
      <c r="H27" s="96" t="s">
        <v>102</v>
      </c>
      <c r="I27" s="94"/>
      <c r="J27" s="95">
        <f>SUM(J19:J26)</f>
        <v>49</v>
      </c>
      <c r="K27" s="96" t="s">
        <v>103</v>
      </c>
      <c r="L27" s="94"/>
      <c r="M27" s="95">
        <f>SUM(M19:M26)</f>
        <v>47</v>
      </c>
      <c r="N27" s="96" t="s">
        <v>104</v>
      </c>
      <c r="O27" s="94"/>
      <c r="P27" s="95">
        <f>SUM(P19:P26)</f>
        <v>48</v>
      </c>
      <c r="Q27" s="96" t="s">
        <v>105</v>
      </c>
      <c r="R27" s="94"/>
      <c r="S27" s="95">
        <f>SUM(S19:S26)</f>
        <v>46</v>
      </c>
      <c r="T27" s="96" t="s">
        <v>106</v>
      </c>
      <c r="U27" s="97"/>
      <c r="V27" s="98">
        <f>SUM(V19:V26)</f>
        <v>0</v>
      </c>
      <c r="W27" s="99"/>
      <c r="X27" s="97"/>
      <c r="Y27" s="98">
        <f>SUM(Y19:Y26)</f>
        <v>0</v>
      </c>
      <c r="Z27" s="99"/>
    </row>
    <row r="28" spans="1:26" s="60" customFormat="1" ht="40.049999999999997" customHeight="1" x14ac:dyDescent="0.35">
      <c r="A28" s="153" t="s">
        <v>107</v>
      </c>
      <c r="B28" s="154" t="s">
        <v>108</v>
      </c>
      <c r="C28" s="100" t="s">
        <v>55</v>
      </c>
      <c r="D28" s="101">
        <v>13</v>
      </c>
      <c r="E28" s="102" t="s">
        <v>109</v>
      </c>
      <c r="F28" s="100" t="s">
        <v>66</v>
      </c>
      <c r="G28" s="101">
        <v>4</v>
      </c>
      <c r="H28" s="102" t="s">
        <v>109</v>
      </c>
      <c r="I28" s="100" t="s">
        <v>79</v>
      </c>
      <c r="J28" s="101">
        <v>8</v>
      </c>
      <c r="K28" s="102" t="s">
        <v>109</v>
      </c>
      <c r="L28" s="100" t="s">
        <v>59</v>
      </c>
      <c r="M28" s="101">
        <v>6</v>
      </c>
      <c r="N28" s="102" t="s">
        <v>109</v>
      </c>
      <c r="O28" s="100" t="s">
        <v>65</v>
      </c>
      <c r="P28" s="101">
        <v>2</v>
      </c>
      <c r="Q28" s="102" t="s">
        <v>109</v>
      </c>
      <c r="R28" s="100"/>
      <c r="S28" s="101"/>
      <c r="T28" s="102"/>
      <c r="U28" s="103"/>
      <c r="V28" s="104"/>
      <c r="W28" s="105"/>
      <c r="X28" s="103"/>
      <c r="Y28" s="104"/>
      <c r="Z28" s="105"/>
    </row>
    <row r="29" spans="1:26" s="60" customFormat="1" ht="40.049999999999997" customHeight="1" x14ac:dyDescent="0.35">
      <c r="A29" s="142"/>
      <c r="B29" s="145"/>
      <c r="C29" s="84" t="s">
        <v>61</v>
      </c>
      <c r="D29" s="85">
        <v>6</v>
      </c>
      <c r="E29" s="86" t="s">
        <v>109</v>
      </c>
      <c r="F29" s="84" t="s">
        <v>83</v>
      </c>
      <c r="G29" s="85">
        <v>8</v>
      </c>
      <c r="H29" s="86" t="s">
        <v>8</v>
      </c>
      <c r="I29" s="84" t="s">
        <v>58</v>
      </c>
      <c r="J29" s="85">
        <v>6</v>
      </c>
      <c r="K29" s="86" t="s">
        <v>109</v>
      </c>
      <c r="L29" s="84" t="s">
        <v>64</v>
      </c>
      <c r="M29" s="85">
        <v>7</v>
      </c>
      <c r="N29" s="86" t="s">
        <v>8</v>
      </c>
      <c r="O29" s="84" t="s">
        <v>47</v>
      </c>
      <c r="P29" s="85">
        <v>2</v>
      </c>
      <c r="Q29" s="86" t="s">
        <v>8</v>
      </c>
      <c r="R29" s="84"/>
      <c r="S29" s="85"/>
      <c r="T29" s="86"/>
      <c r="U29" s="87"/>
      <c r="V29" s="88"/>
      <c r="W29" s="89"/>
      <c r="X29" s="87"/>
      <c r="Y29" s="88"/>
      <c r="Z29" s="89"/>
    </row>
    <row r="30" spans="1:26" s="60" customFormat="1" ht="40.049999999999997" customHeight="1" x14ac:dyDescent="0.35">
      <c r="A30" s="142"/>
      <c r="B30" s="145"/>
      <c r="C30" s="84" t="s">
        <v>70</v>
      </c>
      <c r="D30" s="85">
        <v>7</v>
      </c>
      <c r="E30" s="86" t="s">
        <v>109</v>
      </c>
      <c r="F30" s="84" t="s">
        <v>86</v>
      </c>
      <c r="G30" s="85">
        <v>6</v>
      </c>
      <c r="H30" s="86" t="s">
        <v>109</v>
      </c>
      <c r="I30" s="84" t="s">
        <v>63</v>
      </c>
      <c r="J30" s="85">
        <v>4</v>
      </c>
      <c r="K30" s="86" t="s">
        <v>109</v>
      </c>
      <c r="L30" s="84" t="s">
        <v>73</v>
      </c>
      <c r="M30" s="85">
        <v>2</v>
      </c>
      <c r="N30" s="86" t="s">
        <v>8</v>
      </c>
      <c r="O30" s="84" t="s">
        <v>46</v>
      </c>
      <c r="P30" s="85">
        <v>2</v>
      </c>
      <c r="Q30" s="86" t="s">
        <v>8</v>
      </c>
      <c r="R30" s="84"/>
      <c r="S30" s="85"/>
      <c r="T30" s="86"/>
      <c r="U30" s="87"/>
      <c r="V30" s="88"/>
      <c r="W30" s="89"/>
      <c r="X30" s="87"/>
      <c r="Y30" s="88"/>
      <c r="Z30" s="89"/>
    </row>
    <row r="31" spans="1:26" s="60" customFormat="1" ht="40.049999999999997" customHeight="1" x14ac:dyDescent="0.35">
      <c r="A31" s="142"/>
      <c r="B31" s="145"/>
      <c r="C31" s="84" t="s">
        <v>74</v>
      </c>
      <c r="D31" s="85">
        <v>12</v>
      </c>
      <c r="E31" s="86" t="s">
        <v>109</v>
      </c>
      <c r="F31" s="84" t="s">
        <v>57</v>
      </c>
      <c r="G31" s="85">
        <v>14</v>
      </c>
      <c r="H31" s="86" t="s">
        <v>8</v>
      </c>
      <c r="I31" s="84" t="s">
        <v>68</v>
      </c>
      <c r="J31" s="85">
        <v>11</v>
      </c>
      <c r="K31" s="86" t="s">
        <v>8</v>
      </c>
      <c r="L31" s="84" t="s">
        <v>77</v>
      </c>
      <c r="M31" s="85">
        <v>1</v>
      </c>
      <c r="N31" s="86" t="s">
        <v>8</v>
      </c>
      <c r="O31" s="84" t="s">
        <v>78</v>
      </c>
      <c r="P31" s="85">
        <v>7</v>
      </c>
      <c r="Q31" s="86" t="s">
        <v>8</v>
      </c>
      <c r="R31" s="84"/>
      <c r="S31" s="85"/>
      <c r="T31" s="86"/>
      <c r="U31" s="87"/>
      <c r="V31" s="88"/>
      <c r="W31" s="89"/>
      <c r="X31" s="87"/>
      <c r="Y31" s="88"/>
      <c r="Z31" s="92"/>
    </row>
    <row r="32" spans="1:26" s="60" customFormat="1" ht="40.049999999999997" customHeight="1" x14ac:dyDescent="0.35">
      <c r="A32" s="142"/>
      <c r="B32" s="145"/>
      <c r="C32" s="84" t="s">
        <v>72</v>
      </c>
      <c r="D32" s="85">
        <v>13</v>
      </c>
      <c r="E32" s="86" t="s">
        <v>109</v>
      </c>
      <c r="F32" s="84" t="s">
        <v>62</v>
      </c>
      <c r="G32" s="85">
        <v>5</v>
      </c>
      <c r="H32" s="86" t="s">
        <v>8</v>
      </c>
      <c r="I32" s="84" t="s">
        <v>89</v>
      </c>
      <c r="J32" s="85">
        <v>10</v>
      </c>
      <c r="K32" s="86" t="s">
        <v>8</v>
      </c>
      <c r="L32" s="84" t="s">
        <v>81</v>
      </c>
      <c r="M32" s="85">
        <v>4</v>
      </c>
      <c r="N32" s="86" t="s">
        <v>8</v>
      </c>
      <c r="O32" s="84" t="s">
        <v>82</v>
      </c>
      <c r="P32" s="85">
        <v>7</v>
      </c>
      <c r="Q32" s="86" t="s">
        <v>8</v>
      </c>
      <c r="R32" s="84"/>
      <c r="S32" s="85"/>
      <c r="T32" s="86"/>
      <c r="U32" s="87"/>
      <c r="V32" s="88"/>
      <c r="W32" s="89"/>
      <c r="X32" s="87"/>
      <c r="Y32" s="88"/>
      <c r="Z32" s="92"/>
    </row>
    <row r="33" spans="1:26" s="60" customFormat="1" ht="40.049999999999997" customHeight="1" x14ac:dyDescent="0.35">
      <c r="A33" s="142"/>
      <c r="B33" s="145"/>
      <c r="C33" s="84"/>
      <c r="D33" s="85"/>
      <c r="E33" s="86"/>
      <c r="F33" s="84" t="s">
        <v>67</v>
      </c>
      <c r="G33" s="85">
        <v>11</v>
      </c>
      <c r="H33" s="86" t="s">
        <v>8</v>
      </c>
      <c r="I33" s="84" t="s">
        <v>75</v>
      </c>
      <c r="J33" s="85">
        <v>4</v>
      </c>
      <c r="K33" s="86" t="s">
        <v>8</v>
      </c>
      <c r="L33" s="84" t="s">
        <v>87</v>
      </c>
      <c r="M33" s="85">
        <v>5</v>
      </c>
      <c r="N33" s="86" t="s">
        <v>8</v>
      </c>
      <c r="O33" s="84" t="s">
        <v>100</v>
      </c>
      <c r="P33" s="85">
        <v>3</v>
      </c>
      <c r="Q33" s="86" t="s">
        <v>8</v>
      </c>
      <c r="R33" s="84"/>
      <c r="S33" s="85"/>
      <c r="T33" s="86"/>
      <c r="U33" s="87"/>
      <c r="V33" s="88"/>
      <c r="W33" s="89"/>
      <c r="X33" s="87"/>
      <c r="Y33" s="88"/>
      <c r="Z33" s="92"/>
    </row>
    <row r="34" spans="1:26" s="60" customFormat="1" ht="40.049999999999997" customHeight="1" x14ac:dyDescent="0.35">
      <c r="A34" s="142"/>
      <c r="B34" s="145"/>
      <c r="C34" s="84"/>
      <c r="D34" s="85"/>
      <c r="E34" s="86"/>
      <c r="F34" s="84" t="s">
        <v>71</v>
      </c>
      <c r="G34" s="85">
        <v>2</v>
      </c>
      <c r="H34" s="86" t="s">
        <v>8</v>
      </c>
      <c r="I34" s="84" t="s">
        <v>80</v>
      </c>
      <c r="J34" s="85">
        <v>8</v>
      </c>
      <c r="K34" s="86" t="s">
        <v>8</v>
      </c>
      <c r="L34" s="84" t="s">
        <v>90</v>
      </c>
      <c r="M34" s="85">
        <v>13</v>
      </c>
      <c r="N34" s="86" t="s">
        <v>8</v>
      </c>
      <c r="O34" s="84" t="s">
        <v>110</v>
      </c>
      <c r="P34" s="85">
        <v>1</v>
      </c>
      <c r="Q34" s="86" t="s">
        <v>8</v>
      </c>
      <c r="R34" s="84"/>
      <c r="S34" s="85"/>
      <c r="T34" s="86"/>
      <c r="U34" s="87"/>
      <c r="V34" s="88"/>
      <c r="W34" s="89"/>
      <c r="X34" s="87"/>
      <c r="Y34" s="88"/>
      <c r="Z34" s="92"/>
    </row>
    <row r="35" spans="1:26" s="60" customFormat="1" ht="40.049999999999997" customHeight="1" x14ac:dyDescent="0.35">
      <c r="A35" s="142"/>
      <c r="B35" s="145"/>
      <c r="C35" s="84"/>
      <c r="D35" s="85"/>
      <c r="E35" s="86"/>
      <c r="F35" s="84"/>
      <c r="G35" s="85"/>
      <c r="H35" s="86"/>
      <c r="I35" s="84"/>
      <c r="J35" s="85"/>
      <c r="K35" s="86"/>
      <c r="L35" s="84" t="s">
        <v>60</v>
      </c>
      <c r="M35" s="85">
        <v>5</v>
      </c>
      <c r="N35" s="86" t="s">
        <v>8</v>
      </c>
      <c r="O35" s="84" t="s">
        <v>85</v>
      </c>
      <c r="P35" s="85">
        <v>8</v>
      </c>
      <c r="Q35" s="86" t="s">
        <v>8</v>
      </c>
      <c r="R35" s="84"/>
      <c r="S35" s="85"/>
      <c r="T35" s="86"/>
      <c r="U35" s="87"/>
      <c r="V35" s="88"/>
      <c r="W35" s="89"/>
      <c r="X35" s="87"/>
      <c r="Y35" s="88"/>
      <c r="Z35" s="92"/>
    </row>
    <row r="36" spans="1:26" s="60" customFormat="1" ht="40.049999999999997" customHeight="1" x14ac:dyDescent="0.35">
      <c r="A36" s="142"/>
      <c r="B36" s="145"/>
      <c r="C36" s="84"/>
      <c r="D36" s="85"/>
      <c r="E36" s="86"/>
      <c r="F36" s="84"/>
      <c r="G36" s="85"/>
      <c r="H36" s="86"/>
      <c r="I36" s="84"/>
      <c r="J36" s="85"/>
      <c r="K36" s="86"/>
      <c r="L36" s="84"/>
      <c r="M36" s="85"/>
      <c r="N36" s="86"/>
      <c r="O36" s="84" t="s">
        <v>88</v>
      </c>
      <c r="P36" s="85">
        <v>2</v>
      </c>
      <c r="Q36" s="86" t="s">
        <v>8</v>
      </c>
      <c r="R36" s="84"/>
      <c r="S36" s="85"/>
      <c r="T36" s="86"/>
      <c r="U36" s="87"/>
      <c r="V36" s="88"/>
      <c r="W36" s="89"/>
      <c r="X36" s="87"/>
      <c r="Y36" s="88"/>
      <c r="Z36" s="92"/>
    </row>
    <row r="37" spans="1:26" s="60" customFormat="1" ht="40.049999999999997" customHeight="1" x14ac:dyDescent="0.35">
      <c r="A37" s="142"/>
      <c r="B37" s="146"/>
      <c r="C37" s="84"/>
      <c r="D37" s="85"/>
      <c r="E37" s="86"/>
      <c r="F37" s="84"/>
      <c r="G37" s="85"/>
      <c r="H37" s="86"/>
      <c r="I37" s="84"/>
      <c r="J37" s="85"/>
      <c r="K37" s="86"/>
      <c r="L37" s="84"/>
      <c r="M37" s="85"/>
      <c r="N37" s="86"/>
      <c r="O37" s="84" t="s">
        <v>91</v>
      </c>
      <c r="P37" s="85">
        <v>5</v>
      </c>
      <c r="Q37" s="86" t="s">
        <v>8</v>
      </c>
      <c r="R37" s="84"/>
      <c r="S37" s="85"/>
      <c r="T37" s="86"/>
      <c r="U37" s="107"/>
      <c r="V37" s="88"/>
      <c r="W37" s="89"/>
      <c r="X37" s="87"/>
      <c r="Y37" s="88"/>
      <c r="Z37" s="92"/>
    </row>
    <row r="38" spans="1:26" s="62" customFormat="1" ht="40.049999999999997" customHeight="1" thickBot="1" x14ac:dyDescent="0.45">
      <c r="A38" s="143"/>
      <c r="B38" s="93"/>
      <c r="C38" s="94"/>
      <c r="D38" s="95">
        <f>SUM(D28:D37)</f>
        <v>51</v>
      </c>
      <c r="E38" s="96" t="s">
        <v>111</v>
      </c>
      <c r="F38" s="94"/>
      <c r="G38" s="95">
        <f>SUM(G28:G37)</f>
        <v>50</v>
      </c>
      <c r="H38" s="96" t="s">
        <v>112</v>
      </c>
      <c r="I38" s="94"/>
      <c r="J38" s="95">
        <f>SUM(J28:J37)</f>
        <v>51</v>
      </c>
      <c r="K38" s="96" t="s">
        <v>113</v>
      </c>
      <c r="L38" s="94"/>
      <c r="M38" s="95">
        <f>SUM(M28:M37)</f>
        <v>43</v>
      </c>
      <c r="N38" s="96" t="s">
        <v>114</v>
      </c>
      <c r="O38" s="94"/>
      <c r="P38" s="95">
        <f>SUM(P28:P37)</f>
        <v>39</v>
      </c>
      <c r="Q38" s="96" t="s">
        <v>115</v>
      </c>
      <c r="R38" s="94"/>
      <c r="S38" s="95">
        <f>SUM(S28:S37)</f>
        <v>0</v>
      </c>
      <c r="T38" s="96"/>
      <c r="U38" s="97"/>
      <c r="V38" s="98">
        <f>SUM(V28:V37)</f>
        <v>0</v>
      </c>
      <c r="W38" s="99"/>
      <c r="X38" s="97"/>
      <c r="Y38" s="98">
        <f>SUM(Y28:Y37)</f>
        <v>0</v>
      </c>
      <c r="Z38" s="99"/>
    </row>
    <row r="39" spans="1:26" s="60" customFormat="1" ht="40.049999999999997" customHeight="1" x14ac:dyDescent="0.35">
      <c r="A39" s="159" t="s">
        <v>116</v>
      </c>
      <c r="B39" s="162" t="s">
        <v>117</v>
      </c>
      <c r="C39" s="100" t="s">
        <v>70</v>
      </c>
      <c r="D39" s="101">
        <v>10</v>
      </c>
      <c r="E39" s="102" t="s">
        <v>118</v>
      </c>
      <c r="F39" s="100" t="s">
        <v>76</v>
      </c>
      <c r="G39" s="101">
        <v>3</v>
      </c>
      <c r="H39" s="102" t="s">
        <v>119</v>
      </c>
      <c r="I39" s="100" t="s">
        <v>59</v>
      </c>
      <c r="J39" s="101">
        <v>10</v>
      </c>
      <c r="K39" s="102" t="s">
        <v>120</v>
      </c>
      <c r="L39" s="100" t="s">
        <v>66</v>
      </c>
      <c r="M39" s="101">
        <v>7</v>
      </c>
      <c r="N39" s="102" t="s">
        <v>121</v>
      </c>
      <c r="O39" s="100"/>
      <c r="P39" s="101"/>
      <c r="Q39" s="102"/>
      <c r="R39" s="100"/>
      <c r="S39" s="101"/>
      <c r="T39" s="102"/>
      <c r="U39" s="103"/>
      <c r="V39" s="104"/>
      <c r="W39" s="108"/>
      <c r="X39" s="103"/>
      <c r="Y39" s="104"/>
      <c r="Z39" s="108"/>
    </row>
    <row r="40" spans="1:26" s="60" customFormat="1" ht="40.049999999999997" customHeight="1" x14ac:dyDescent="0.35">
      <c r="A40" s="160"/>
      <c r="B40" s="163"/>
      <c r="C40" s="84" t="s">
        <v>74</v>
      </c>
      <c r="D40" s="85">
        <v>5</v>
      </c>
      <c r="E40" s="86" t="s">
        <v>118</v>
      </c>
      <c r="F40" s="84" t="s">
        <v>85</v>
      </c>
      <c r="G40" s="85">
        <v>4</v>
      </c>
      <c r="H40" s="86" t="s">
        <v>119</v>
      </c>
      <c r="I40" s="84" t="s">
        <v>64</v>
      </c>
      <c r="J40" s="85">
        <v>9</v>
      </c>
      <c r="K40" s="86" t="s">
        <v>120</v>
      </c>
      <c r="L40" s="84" t="s">
        <v>79</v>
      </c>
      <c r="M40" s="85">
        <v>4</v>
      </c>
      <c r="N40" s="86" t="s">
        <v>121</v>
      </c>
      <c r="O40" s="84"/>
      <c r="P40" s="85"/>
      <c r="Q40" s="86"/>
      <c r="R40" s="84"/>
      <c r="S40" s="85"/>
      <c r="T40" s="86"/>
      <c r="U40" s="87"/>
      <c r="V40" s="88"/>
      <c r="W40" s="92"/>
      <c r="X40" s="87"/>
      <c r="Y40" s="88"/>
      <c r="Z40" s="92"/>
    </row>
    <row r="41" spans="1:26" s="60" customFormat="1" ht="40.049999999999997" customHeight="1" x14ac:dyDescent="0.35">
      <c r="A41" s="160"/>
      <c r="B41" s="163"/>
      <c r="C41" s="84" t="s">
        <v>57</v>
      </c>
      <c r="D41" s="85">
        <v>8</v>
      </c>
      <c r="E41" s="86" t="s">
        <v>118</v>
      </c>
      <c r="F41" s="84" t="s">
        <v>88</v>
      </c>
      <c r="G41" s="85">
        <v>6</v>
      </c>
      <c r="H41" s="86" t="s">
        <v>119</v>
      </c>
      <c r="I41" s="84" t="s">
        <v>81</v>
      </c>
      <c r="J41" s="85">
        <v>7</v>
      </c>
      <c r="K41" s="86" t="s">
        <v>120</v>
      </c>
      <c r="L41" s="84" t="s">
        <v>86</v>
      </c>
      <c r="M41" s="85">
        <v>5</v>
      </c>
      <c r="N41" s="86" t="s">
        <v>121</v>
      </c>
      <c r="O41" s="84"/>
      <c r="P41" s="85"/>
      <c r="Q41" s="86"/>
      <c r="R41" s="84"/>
      <c r="S41" s="85"/>
      <c r="T41" s="86"/>
      <c r="U41" s="87"/>
      <c r="V41" s="88"/>
      <c r="W41" s="92"/>
      <c r="X41" s="87"/>
      <c r="Y41" s="88"/>
      <c r="Z41" s="92"/>
    </row>
    <row r="42" spans="1:26" s="60" customFormat="1" ht="40.049999999999997" customHeight="1" x14ac:dyDescent="0.35">
      <c r="A42" s="160"/>
      <c r="B42" s="163"/>
      <c r="C42" s="84" t="s">
        <v>62</v>
      </c>
      <c r="D42" s="85">
        <v>8</v>
      </c>
      <c r="E42" s="86" t="s">
        <v>118</v>
      </c>
      <c r="F42" s="84" t="s">
        <v>69</v>
      </c>
      <c r="G42" s="85">
        <v>1</v>
      </c>
      <c r="H42" s="86" t="s">
        <v>122</v>
      </c>
      <c r="I42" s="84" t="s">
        <v>84</v>
      </c>
      <c r="J42" s="85">
        <v>1</v>
      </c>
      <c r="K42" s="86" t="s">
        <v>11</v>
      </c>
      <c r="L42" s="84" t="s">
        <v>71</v>
      </c>
      <c r="M42" s="85">
        <v>7</v>
      </c>
      <c r="N42" s="86" t="s">
        <v>14</v>
      </c>
      <c r="O42" s="84"/>
      <c r="P42" s="85"/>
      <c r="Q42" s="86"/>
      <c r="R42" s="84"/>
      <c r="S42" s="85"/>
      <c r="T42" s="86"/>
      <c r="U42" s="87"/>
      <c r="V42" s="88"/>
      <c r="W42" s="92"/>
      <c r="X42" s="87"/>
      <c r="Y42" s="88"/>
      <c r="Z42" s="92"/>
    </row>
    <row r="43" spans="1:26" s="60" customFormat="1" ht="40.049999999999997" customHeight="1" x14ac:dyDescent="0.35">
      <c r="A43" s="160"/>
      <c r="B43" s="163"/>
      <c r="C43" s="84" t="s">
        <v>67</v>
      </c>
      <c r="D43" s="85">
        <v>10</v>
      </c>
      <c r="E43" s="86" t="s">
        <v>118</v>
      </c>
      <c r="F43" s="84" t="s">
        <v>73</v>
      </c>
      <c r="G43" s="85">
        <v>2</v>
      </c>
      <c r="H43" s="86" t="s">
        <v>122</v>
      </c>
      <c r="I43" s="84" t="s">
        <v>87</v>
      </c>
      <c r="J43" s="85">
        <v>4</v>
      </c>
      <c r="K43" s="86" t="s">
        <v>11</v>
      </c>
      <c r="L43" s="84" t="s">
        <v>58</v>
      </c>
      <c r="M43" s="85">
        <v>4</v>
      </c>
      <c r="N43" s="86" t="s">
        <v>123</v>
      </c>
      <c r="O43" s="84"/>
      <c r="P43" s="85"/>
      <c r="Q43" s="86"/>
      <c r="R43" s="84"/>
      <c r="S43" s="85"/>
      <c r="T43" s="86"/>
      <c r="U43" s="87"/>
      <c r="V43" s="88"/>
      <c r="W43" s="92"/>
      <c r="X43" s="87"/>
      <c r="Y43" s="88"/>
      <c r="Z43" s="92"/>
    </row>
    <row r="44" spans="1:26" s="60" customFormat="1" ht="40.049999999999997" customHeight="1" x14ac:dyDescent="0.35">
      <c r="A44" s="160"/>
      <c r="B44" s="163"/>
      <c r="C44" s="84"/>
      <c r="D44" s="85"/>
      <c r="E44" s="86"/>
      <c r="F44" s="84" t="s">
        <v>77</v>
      </c>
      <c r="G44" s="85">
        <v>1</v>
      </c>
      <c r="H44" s="86" t="s">
        <v>122</v>
      </c>
      <c r="I44" s="84" t="s">
        <v>47</v>
      </c>
      <c r="J44" s="85">
        <v>2</v>
      </c>
      <c r="K44" s="86" t="s">
        <v>11</v>
      </c>
      <c r="L44" s="84"/>
      <c r="M44" s="85"/>
      <c r="N44" s="86"/>
      <c r="O44" s="84"/>
      <c r="P44" s="85"/>
      <c r="Q44" s="86"/>
      <c r="R44" s="84"/>
      <c r="S44" s="85"/>
      <c r="T44" s="86"/>
      <c r="U44" s="87"/>
      <c r="V44" s="88"/>
      <c r="W44" s="92"/>
      <c r="X44" s="87"/>
      <c r="Y44" s="88"/>
      <c r="Z44" s="92"/>
    </row>
    <row r="45" spans="1:26" s="60" customFormat="1" ht="40.049999999999997" customHeight="1" x14ac:dyDescent="0.35">
      <c r="A45" s="160"/>
      <c r="B45" s="163"/>
      <c r="C45" s="84"/>
      <c r="D45" s="85"/>
      <c r="E45" s="86"/>
      <c r="F45" s="84" t="s">
        <v>90</v>
      </c>
      <c r="G45" s="85">
        <v>6</v>
      </c>
      <c r="H45" s="86" t="s">
        <v>122</v>
      </c>
      <c r="I45" s="84" t="s">
        <v>46</v>
      </c>
      <c r="J45" s="85">
        <v>4</v>
      </c>
      <c r="K45" s="86" t="s">
        <v>11</v>
      </c>
      <c r="L45" s="84"/>
      <c r="M45" s="85"/>
      <c r="N45" s="86"/>
      <c r="O45" s="84"/>
      <c r="P45" s="85"/>
      <c r="Q45" s="86"/>
      <c r="R45" s="84"/>
      <c r="S45" s="85"/>
      <c r="T45" s="86"/>
      <c r="U45" s="87"/>
      <c r="V45" s="88"/>
      <c r="W45" s="92"/>
      <c r="X45" s="87"/>
      <c r="Y45" s="88"/>
      <c r="Z45" s="92"/>
    </row>
    <row r="46" spans="1:26" s="60" customFormat="1" ht="40.049999999999997" customHeight="1" x14ac:dyDescent="0.35">
      <c r="A46" s="160"/>
      <c r="B46" s="163"/>
      <c r="C46" s="84"/>
      <c r="D46" s="85"/>
      <c r="E46" s="86"/>
      <c r="F46" s="84" t="s">
        <v>60</v>
      </c>
      <c r="G46" s="85">
        <v>4</v>
      </c>
      <c r="H46" s="86" t="s">
        <v>122</v>
      </c>
      <c r="I46" s="84" t="s">
        <v>85</v>
      </c>
      <c r="J46" s="85">
        <v>6</v>
      </c>
      <c r="K46" s="86" t="s">
        <v>11</v>
      </c>
      <c r="L46" s="84"/>
      <c r="M46" s="85"/>
      <c r="N46" s="86"/>
      <c r="O46" s="84"/>
      <c r="P46" s="85"/>
      <c r="Q46" s="86"/>
      <c r="R46" s="84"/>
      <c r="S46" s="85"/>
      <c r="T46" s="86"/>
      <c r="U46" s="87"/>
      <c r="V46" s="88"/>
      <c r="W46" s="92"/>
      <c r="X46" s="87"/>
      <c r="Y46" s="88"/>
      <c r="Z46" s="92"/>
    </row>
    <row r="47" spans="1:26" s="60" customFormat="1" ht="40.049999999999997" customHeight="1" x14ac:dyDescent="0.35">
      <c r="A47" s="160"/>
      <c r="B47" s="163"/>
      <c r="C47" s="109"/>
      <c r="D47" s="110"/>
      <c r="E47" s="111"/>
      <c r="F47" s="84" t="s">
        <v>65</v>
      </c>
      <c r="G47" s="85">
        <v>6</v>
      </c>
      <c r="H47" s="86" t="s">
        <v>122</v>
      </c>
      <c r="I47" s="84" t="s">
        <v>88</v>
      </c>
      <c r="J47" s="85">
        <v>7</v>
      </c>
      <c r="K47" s="86" t="s">
        <v>11</v>
      </c>
      <c r="L47" s="84"/>
      <c r="M47" s="85"/>
      <c r="N47" s="86"/>
      <c r="O47" s="84"/>
      <c r="P47" s="85"/>
      <c r="Q47" s="86"/>
      <c r="R47" s="84"/>
      <c r="S47" s="85"/>
      <c r="T47" s="86"/>
      <c r="U47" s="87"/>
      <c r="V47" s="88"/>
      <c r="W47" s="92"/>
      <c r="X47" s="87"/>
      <c r="Y47" s="88"/>
      <c r="Z47" s="92"/>
    </row>
    <row r="48" spans="1:26" s="60" customFormat="1" ht="40.049999999999997" customHeight="1" x14ac:dyDescent="0.35">
      <c r="A48" s="160"/>
      <c r="B48" s="163"/>
      <c r="C48" s="84"/>
      <c r="D48" s="85"/>
      <c r="E48" s="112"/>
      <c r="F48" s="84" t="s">
        <v>78</v>
      </c>
      <c r="G48" s="85">
        <v>4</v>
      </c>
      <c r="H48" s="86" t="s">
        <v>122</v>
      </c>
      <c r="I48" s="84"/>
      <c r="J48" s="85"/>
      <c r="K48" s="86"/>
      <c r="L48" s="84"/>
      <c r="M48" s="85"/>
      <c r="N48" s="86"/>
      <c r="O48" s="84"/>
      <c r="P48" s="85"/>
      <c r="Q48" s="86"/>
      <c r="R48" s="84"/>
      <c r="S48" s="85"/>
      <c r="T48" s="86"/>
      <c r="U48" s="87"/>
      <c r="V48" s="88"/>
      <c r="W48" s="92"/>
      <c r="X48" s="87"/>
      <c r="Y48" s="88"/>
      <c r="Z48" s="92"/>
    </row>
    <row r="49" spans="1:26" s="60" customFormat="1" ht="40.049999999999997" customHeight="1" x14ac:dyDescent="0.35">
      <c r="A49" s="160"/>
      <c r="B49" s="163"/>
      <c r="C49" s="84"/>
      <c r="D49" s="85"/>
      <c r="E49" s="113"/>
      <c r="F49" s="84" t="s">
        <v>82</v>
      </c>
      <c r="G49" s="85">
        <v>1</v>
      </c>
      <c r="H49" s="86" t="s">
        <v>122</v>
      </c>
      <c r="I49" s="84"/>
      <c r="J49" s="85"/>
      <c r="K49" s="86"/>
      <c r="L49" s="84"/>
      <c r="M49" s="85"/>
      <c r="N49" s="86"/>
      <c r="O49" s="84"/>
      <c r="P49" s="85"/>
      <c r="Q49" s="86"/>
      <c r="R49" s="84"/>
      <c r="S49" s="85"/>
      <c r="T49" s="86"/>
      <c r="U49" s="87"/>
      <c r="V49" s="88"/>
      <c r="W49" s="92"/>
      <c r="X49" s="87"/>
      <c r="Y49" s="88"/>
      <c r="Z49" s="92"/>
    </row>
    <row r="50" spans="1:26" s="60" customFormat="1" ht="40.049999999999997" customHeight="1" x14ac:dyDescent="0.35">
      <c r="A50" s="160"/>
      <c r="B50" s="164"/>
      <c r="C50" s="109"/>
      <c r="D50" s="110"/>
      <c r="E50" s="114"/>
      <c r="F50" s="109" t="s">
        <v>124</v>
      </c>
      <c r="G50" s="110">
        <v>5</v>
      </c>
      <c r="H50" s="111" t="s">
        <v>122</v>
      </c>
      <c r="I50" s="109"/>
      <c r="J50" s="110"/>
      <c r="K50" s="111"/>
      <c r="L50" s="109"/>
      <c r="M50" s="110"/>
      <c r="N50" s="111"/>
      <c r="O50" s="109"/>
      <c r="P50" s="110"/>
      <c r="Q50" s="111"/>
      <c r="R50" s="109"/>
      <c r="S50" s="110"/>
      <c r="T50" s="111"/>
      <c r="U50" s="115"/>
      <c r="V50" s="116"/>
      <c r="W50" s="117"/>
      <c r="X50" s="115"/>
      <c r="Y50" s="116"/>
      <c r="Z50" s="117"/>
    </row>
    <row r="51" spans="1:26" s="62" customFormat="1" ht="40.049999999999997" customHeight="1" thickBot="1" x14ac:dyDescent="0.45">
      <c r="A51" s="161"/>
      <c r="B51" s="118"/>
      <c r="C51" s="94"/>
      <c r="D51" s="95">
        <f>SUM(D39:D50)</f>
        <v>41</v>
      </c>
      <c r="E51" s="96" t="s">
        <v>125</v>
      </c>
      <c r="F51" s="94"/>
      <c r="G51" s="95">
        <f>SUM(G39:G50)</f>
        <v>43</v>
      </c>
      <c r="H51" s="96" t="s">
        <v>126</v>
      </c>
      <c r="I51" s="94"/>
      <c r="J51" s="95">
        <f>SUM(J39:J49)</f>
        <v>50</v>
      </c>
      <c r="K51" s="96" t="s">
        <v>127</v>
      </c>
      <c r="L51" s="94"/>
      <c r="M51" s="95">
        <f>SUM(M39:M49)</f>
        <v>27</v>
      </c>
      <c r="N51" s="96" t="s">
        <v>128</v>
      </c>
      <c r="O51" s="94"/>
      <c r="P51" s="95">
        <f>SUM(P39:P49)</f>
        <v>0</v>
      </c>
      <c r="Q51" s="96"/>
      <c r="R51" s="94"/>
      <c r="S51" s="95"/>
      <c r="T51" s="96"/>
      <c r="U51" s="97"/>
      <c r="V51" s="98"/>
      <c r="W51" s="119"/>
      <c r="X51" s="97"/>
      <c r="Y51" s="98"/>
      <c r="Z51" s="119"/>
    </row>
    <row r="52" spans="1:26" s="60" customFormat="1" ht="40.049999999999997" customHeight="1" x14ac:dyDescent="0.35">
      <c r="A52" s="153" t="s">
        <v>129</v>
      </c>
      <c r="B52" s="154" t="s">
        <v>130</v>
      </c>
      <c r="C52" s="100" t="s">
        <v>57</v>
      </c>
      <c r="D52" s="101">
        <v>10</v>
      </c>
      <c r="E52" s="102" t="s">
        <v>131</v>
      </c>
      <c r="F52" s="100" t="s">
        <v>58</v>
      </c>
      <c r="G52" s="101">
        <v>10</v>
      </c>
      <c r="H52" s="102" t="s">
        <v>131</v>
      </c>
      <c r="I52" s="100" t="s">
        <v>55</v>
      </c>
      <c r="J52" s="101">
        <v>9</v>
      </c>
      <c r="K52" s="102" t="s">
        <v>132</v>
      </c>
      <c r="L52" s="100" t="s">
        <v>66</v>
      </c>
      <c r="M52" s="101">
        <v>10</v>
      </c>
      <c r="N52" s="102" t="s">
        <v>133</v>
      </c>
      <c r="O52" s="100" t="s">
        <v>84</v>
      </c>
      <c r="P52" s="101">
        <v>10</v>
      </c>
      <c r="Q52" s="102" t="s">
        <v>134</v>
      </c>
      <c r="R52" s="100"/>
      <c r="S52" s="101"/>
      <c r="T52" s="102"/>
      <c r="U52" s="103"/>
      <c r="V52" s="104"/>
      <c r="W52" s="108"/>
      <c r="X52" s="103"/>
      <c r="Y52" s="104"/>
      <c r="Z52" s="108"/>
    </row>
    <row r="53" spans="1:26" s="60" customFormat="1" ht="40.049999999999997" customHeight="1" x14ac:dyDescent="0.35">
      <c r="A53" s="142"/>
      <c r="B53" s="145"/>
      <c r="C53" s="84" t="s">
        <v>62</v>
      </c>
      <c r="D53" s="85">
        <v>9</v>
      </c>
      <c r="E53" s="86" t="s">
        <v>131</v>
      </c>
      <c r="F53" s="84" t="s">
        <v>89</v>
      </c>
      <c r="G53" s="85">
        <v>6</v>
      </c>
      <c r="H53" s="86" t="s">
        <v>131</v>
      </c>
      <c r="I53" s="84" t="s">
        <v>61</v>
      </c>
      <c r="J53" s="85">
        <v>5</v>
      </c>
      <c r="K53" s="86" t="s">
        <v>132</v>
      </c>
      <c r="L53" s="84" t="s">
        <v>69</v>
      </c>
      <c r="M53" s="85">
        <v>6</v>
      </c>
      <c r="N53" s="86" t="s">
        <v>135</v>
      </c>
      <c r="O53" s="84" t="s">
        <v>87</v>
      </c>
      <c r="P53" s="85">
        <v>8</v>
      </c>
      <c r="Q53" s="86" t="s">
        <v>134</v>
      </c>
      <c r="R53" s="84"/>
      <c r="S53" s="85"/>
      <c r="T53" s="86"/>
      <c r="U53" s="87"/>
      <c r="V53" s="88"/>
      <c r="W53" s="92"/>
      <c r="X53" s="87"/>
      <c r="Y53" s="88"/>
      <c r="Z53" s="92"/>
    </row>
    <row r="54" spans="1:26" s="60" customFormat="1" ht="40.049999999999997" customHeight="1" x14ac:dyDescent="0.35">
      <c r="A54" s="142"/>
      <c r="B54" s="145"/>
      <c r="C54" s="84" t="s">
        <v>67</v>
      </c>
      <c r="D54" s="85">
        <v>16</v>
      </c>
      <c r="E54" s="86" t="s">
        <v>131</v>
      </c>
      <c r="F54" s="84" t="s">
        <v>75</v>
      </c>
      <c r="G54" s="85">
        <v>9</v>
      </c>
      <c r="H54" s="86" t="s">
        <v>10</v>
      </c>
      <c r="I54" s="84" t="s">
        <v>59</v>
      </c>
      <c r="J54" s="85">
        <v>6</v>
      </c>
      <c r="K54" s="86" t="s">
        <v>136</v>
      </c>
      <c r="L54" s="84" t="s">
        <v>79</v>
      </c>
      <c r="M54" s="85">
        <v>1</v>
      </c>
      <c r="N54" s="86" t="s">
        <v>137</v>
      </c>
      <c r="O54" s="84"/>
      <c r="P54" s="85"/>
      <c r="Q54" s="86"/>
      <c r="R54" s="84"/>
      <c r="S54" s="85"/>
      <c r="T54" s="86"/>
      <c r="U54" s="87"/>
      <c r="V54" s="88"/>
      <c r="W54" s="92"/>
      <c r="X54" s="87"/>
      <c r="Y54" s="88"/>
      <c r="Z54" s="92"/>
    </row>
    <row r="55" spans="1:26" s="60" customFormat="1" ht="40.049999999999997" customHeight="1" x14ac:dyDescent="0.35">
      <c r="A55" s="142"/>
      <c r="B55" s="145"/>
      <c r="C55" s="84" t="s">
        <v>71</v>
      </c>
      <c r="D55" s="85">
        <v>10</v>
      </c>
      <c r="E55" s="86" t="s">
        <v>131</v>
      </c>
      <c r="F55" s="84" t="s">
        <v>80</v>
      </c>
      <c r="G55" s="85">
        <v>10</v>
      </c>
      <c r="H55" s="86" t="s">
        <v>10</v>
      </c>
      <c r="I55" s="84" t="s">
        <v>64</v>
      </c>
      <c r="J55" s="85">
        <v>1</v>
      </c>
      <c r="K55" s="86" t="s">
        <v>136</v>
      </c>
      <c r="L55" s="84" t="s">
        <v>83</v>
      </c>
      <c r="M55" s="85">
        <v>8</v>
      </c>
      <c r="N55" s="86" t="s">
        <v>137</v>
      </c>
      <c r="O55" s="84"/>
      <c r="P55" s="85"/>
      <c r="Q55" s="86"/>
      <c r="R55" s="84"/>
      <c r="S55" s="85"/>
      <c r="T55" s="86"/>
      <c r="U55" s="87"/>
      <c r="V55" s="88"/>
      <c r="W55" s="92"/>
      <c r="X55" s="87"/>
      <c r="Y55" s="88"/>
      <c r="Z55" s="92"/>
    </row>
    <row r="56" spans="1:26" s="60" customFormat="1" ht="40.049999999999997" customHeight="1" x14ac:dyDescent="0.35">
      <c r="A56" s="142"/>
      <c r="B56" s="145"/>
      <c r="C56" s="84" t="s">
        <v>65</v>
      </c>
      <c r="D56" s="85">
        <v>3</v>
      </c>
      <c r="E56" s="86" t="s">
        <v>138</v>
      </c>
      <c r="F56" s="84" t="s">
        <v>72</v>
      </c>
      <c r="G56" s="85">
        <v>11</v>
      </c>
      <c r="H56" s="86" t="s">
        <v>10</v>
      </c>
      <c r="I56" s="84"/>
      <c r="J56" s="85"/>
      <c r="K56" s="86"/>
      <c r="L56" s="84" t="s">
        <v>86</v>
      </c>
      <c r="M56" s="85">
        <v>3</v>
      </c>
      <c r="N56" s="86" t="s">
        <v>137</v>
      </c>
      <c r="O56" s="84"/>
      <c r="P56" s="85"/>
      <c r="Q56" s="86"/>
      <c r="R56" s="84"/>
      <c r="S56" s="85"/>
      <c r="T56" s="86"/>
      <c r="U56" s="87"/>
      <c r="V56" s="88"/>
      <c r="W56" s="92"/>
      <c r="X56" s="87"/>
      <c r="Y56" s="88"/>
      <c r="Z56" s="92"/>
    </row>
    <row r="57" spans="1:26" s="60" customFormat="1" ht="40.049999999999997" customHeight="1" x14ac:dyDescent="0.35">
      <c r="A57" s="142"/>
      <c r="B57" s="145"/>
      <c r="C57" s="84" t="s">
        <v>82</v>
      </c>
      <c r="D57" s="85">
        <v>1</v>
      </c>
      <c r="E57" s="86" t="s">
        <v>138</v>
      </c>
      <c r="F57" s="84" t="s">
        <v>91</v>
      </c>
      <c r="G57" s="85">
        <v>4</v>
      </c>
      <c r="H57" s="86" t="s">
        <v>138</v>
      </c>
      <c r="I57" s="84"/>
      <c r="J57" s="85"/>
      <c r="K57" s="86"/>
      <c r="L57" s="84"/>
      <c r="M57" s="85"/>
      <c r="N57" s="86"/>
      <c r="O57" s="84"/>
      <c r="P57" s="85"/>
      <c r="Q57" s="86"/>
      <c r="R57" s="84"/>
      <c r="S57" s="85"/>
      <c r="T57" s="86"/>
      <c r="U57" s="87"/>
      <c r="V57" s="88"/>
      <c r="W57" s="92"/>
      <c r="X57" s="87"/>
      <c r="Y57" s="88"/>
      <c r="Z57" s="92"/>
    </row>
    <row r="58" spans="1:26" s="60" customFormat="1" ht="40.049999999999997" customHeight="1" x14ac:dyDescent="0.35">
      <c r="A58" s="142"/>
      <c r="B58" s="146"/>
      <c r="C58" s="84"/>
      <c r="D58" s="85"/>
      <c r="E58" s="86"/>
      <c r="F58" s="84"/>
      <c r="G58" s="85"/>
      <c r="H58" s="86"/>
      <c r="I58" s="84"/>
      <c r="J58" s="85"/>
      <c r="K58" s="86"/>
      <c r="L58" s="84"/>
      <c r="M58" s="85"/>
      <c r="N58" s="86"/>
      <c r="O58" s="84"/>
      <c r="P58" s="85"/>
      <c r="Q58" s="86"/>
      <c r="R58" s="84"/>
      <c r="S58" s="85"/>
      <c r="T58" s="86"/>
      <c r="U58" s="87"/>
      <c r="V58" s="88"/>
      <c r="W58" s="92"/>
      <c r="X58" s="87"/>
      <c r="Y58" s="88"/>
      <c r="Z58" s="92"/>
    </row>
    <row r="59" spans="1:26" s="62" customFormat="1" ht="40.049999999999997" customHeight="1" thickBot="1" x14ac:dyDescent="0.45">
      <c r="A59" s="143"/>
      <c r="B59" s="93"/>
      <c r="C59" s="94"/>
      <c r="D59" s="95">
        <f>SUM(D52:D58)</f>
        <v>49</v>
      </c>
      <c r="E59" s="96" t="s">
        <v>139</v>
      </c>
      <c r="F59" s="94"/>
      <c r="G59" s="95">
        <f>SUM(G52:G58)</f>
        <v>50</v>
      </c>
      <c r="H59" s="96" t="s">
        <v>140</v>
      </c>
      <c r="I59" s="94"/>
      <c r="J59" s="95">
        <f>SUM(J52:J58)</f>
        <v>21</v>
      </c>
      <c r="K59" s="96" t="s">
        <v>141</v>
      </c>
      <c r="L59" s="94"/>
      <c r="M59" s="95">
        <f>SUM(M52:M58)</f>
        <v>28</v>
      </c>
      <c r="N59" s="96" t="s">
        <v>142</v>
      </c>
      <c r="O59" s="94"/>
      <c r="P59" s="95">
        <f>SUM(P52:P58)</f>
        <v>18</v>
      </c>
      <c r="Q59" s="96" t="s">
        <v>143</v>
      </c>
      <c r="R59" s="94"/>
      <c r="S59" s="95"/>
      <c r="T59" s="96"/>
      <c r="U59" s="97"/>
      <c r="V59" s="98"/>
      <c r="W59" s="119"/>
      <c r="X59" s="97"/>
      <c r="Y59" s="98"/>
      <c r="Z59" s="119"/>
    </row>
    <row r="60" spans="1:26" s="60" customFormat="1" ht="40.049999999999997" customHeight="1" x14ac:dyDescent="0.35">
      <c r="A60" s="147" t="s">
        <v>144</v>
      </c>
      <c r="B60" s="150" t="s">
        <v>145</v>
      </c>
      <c r="C60" s="100" t="s">
        <v>55</v>
      </c>
      <c r="D60" s="101">
        <v>21</v>
      </c>
      <c r="E60" s="102" t="s">
        <v>146</v>
      </c>
      <c r="F60" s="100" t="s">
        <v>79</v>
      </c>
      <c r="G60" s="101">
        <v>7</v>
      </c>
      <c r="H60" s="102" t="s">
        <v>146</v>
      </c>
      <c r="I60" s="100" t="s">
        <v>67</v>
      </c>
      <c r="J60" s="101">
        <v>7</v>
      </c>
      <c r="K60" s="102" t="s">
        <v>146</v>
      </c>
      <c r="L60" s="100" t="s">
        <v>68</v>
      </c>
      <c r="M60" s="101">
        <v>10</v>
      </c>
      <c r="N60" s="102" t="s">
        <v>146</v>
      </c>
      <c r="O60" s="100" t="s">
        <v>90</v>
      </c>
      <c r="P60" s="101">
        <v>18</v>
      </c>
      <c r="Q60" s="102" t="s">
        <v>16</v>
      </c>
      <c r="R60" s="100" t="s">
        <v>60</v>
      </c>
      <c r="S60" s="101">
        <v>13</v>
      </c>
      <c r="T60" s="102" t="s">
        <v>16</v>
      </c>
      <c r="U60" s="103"/>
      <c r="V60" s="104"/>
      <c r="W60" s="108"/>
      <c r="X60" s="103"/>
      <c r="Y60" s="104"/>
      <c r="Z60" s="108"/>
    </row>
    <row r="61" spans="1:26" s="60" customFormat="1" ht="40.049999999999997" customHeight="1" x14ac:dyDescent="0.35">
      <c r="A61" s="148"/>
      <c r="B61" s="151"/>
      <c r="C61" s="84" t="s">
        <v>61</v>
      </c>
      <c r="D61" s="85">
        <v>12</v>
      </c>
      <c r="E61" s="86" t="s">
        <v>147</v>
      </c>
      <c r="F61" s="84" t="s">
        <v>83</v>
      </c>
      <c r="G61" s="85">
        <v>10</v>
      </c>
      <c r="H61" s="86" t="s">
        <v>146</v>
      </c>
      <c r="I61" s="84" t="s">
        <v>71</v>
      </c>
      <c r="J61" s="85">
        <v>21</v>
      </c>
      <c r="K61" s="86" t="s">
        <v>146</v>
      </c>
      <c r="L61" s="84" t="s">
        <v>89</v>
      </c>
      <c r="M61" s="85">
        <v>11</v>
      </c>
      <c r="N61" s="86" t="s">
        <v>146</v>
      </c>
      <c r="O61" s="84" t="s">
        <v>65</v>
      </c>
      <c r="P61" s="85">
        <v>16</v>
      </c>
      <c r="Q61" s="86" t="s">
        <v>16</v>
      </c>
      <c r="R61" s="84" t="s">
        <v>47</v>
      </c>
      <c r="S61" s="85">
        <v>7</v>
      </c>
      <c r="T61" s="86" t="s">
        <v>16</v>
      </c>
      <c r="U61" s="87"/>
      <c r="V61" s="88"/>
      <c r="W61" s="92"/>
      <c r="X61" s="87"/>
      <c r="Y61" s="88"/>
      <c r="Z61" s="92"/>
    </row>
    <row r="62" spans="1:26" s="60" customFormat="1" ht="40.049999999999997" customHeight="1" x14ac:dyDescent="0.35">
      <c r="A62" s="148"/>
      <c r="B62" s="151"/>
      <c r="C62" s="84" t="s">
        <v>70</v>
      </c>
      <c r="D62" s="85">
        <v>10</v>
      </c>
      <c r="E62" s="86" t="s">
        <v>147</v>
      </c>
      <c r="F62" s="84" t="s">
        <v>86</v>
      </c>
      <c r="G62" s="85">
        <v>5</v>
      </c>
      <c r="H62" s="86" t="s">
        <v>146</v>
      </c>
      <c r="I62" s="84" t="s">
        <v>58</v>
      </c>
      <c r="J62" s="85">
        <v>15</v>
      </c>
      <c r="K62" s="86" t="s">
        <v>146</v>
      </c>
      <c r="L62" s="84" t="s">
        <v>75</v>
      </c>
      <c r="M62" s="85">
        <v>12</v>
      </c>
      <c r="N62" s="86" t="s">
        <v>146</v>
      </c>
      <c r="O62" s="84" t="s">
        <v>85</v>
      </c>
      <c r="P62" s="85">
        <v>6</v>
      </c>
      <c r="Q62" s="86" t="s">
        <v>16</v>
      </c>
      <c r="R62" s="84" t="s">
        <v>46</v>
      </c>
      <c r="S62" s="85">
        <v>8</v>
      </c>
      <c r="T62" s="86" t="s">
        <v>16</v>
      </c>
      <c r="U62" s="87"/>
      <c r="V62" s="88"/>
      <c r="W62" s="92"/>
      <c r="X62" s="87"/>
      <c r="Y62" s="88"/>
      <c r="Z62" s="92"/>
    </row>
    <row r="63" spans="1:26" s="60" customFormat="1" ht="40.049999999999997" customHeight="1" x14ac:dyDescent="0.35">
      <c r="A63" s="148"/>
      <c r="B63" s="151"/>
      <c r="C63" s="84" t="s">
        <v>74</v>
      </c>
      <c r="D63" s="85">
        <v>13</v>
      </c>
      <c r="E63" s="86" t="s">
        <v>147</v>
      </c>
      <c r="F63" s="84" t="s">
        <v>57</v>
      </c>
      <c r="G63" s="85">
        <v>17</v>
      </c>
      <c r="H63" s="86" t="s">
        <v>146</v>
      </c>
      <c r="I63" s="84" t="s">
        <v>63</v>
      </c>
      <c r="J63" s="85">
        <v>10</v>
      </c>
      <c r="K63" s="86" t="s">
        <v>146</v>
      </c>
      <c r="L63" s="84" t="s">
        <v>80</v>
      </c>
      <c r="M63" s="85">
        <v>15</v>
      </c>
      <c r="N63" s="86" t="s">
        <v>146</v>
      </c>
      <c r="O63" s="84"/>
      <c r="P63" s="85"/>
      <c r="Q63" s="86"/>
      <c r="R63" s="84" t="s">
        <v>88</v>
      </c>
      <c r="S63" s="85">
        <v>10</v>
      </c>
      <c r="T63" s="86" t="s">
        <v>16</v>
      </c>
      <c r="U63" s="87"/>
      <c r="V63" s="88"/>
      <c r="W63" s="92"/>
      <c r="X63" s="87"/>
      <c r="Y63" s="88"/>
      <c r="Z63" s="92"/>
    </row>
    <row r="64" spans="1:26" s="60" customFormat="1" ht="40.049999999999997" customHeight="1" x14ac:dyDescent="0.35">
      <c r="A64" s="148"/>
      <c r="B64" s="151"/>
      <c r="C64" s="84"/>
      <c r="D64" s="85"/>
      <c r="E64" s="86"/>
      <c r="F64" s="84" t="s">
        <v>62</v>
      </c>
      <c r="G64" s="85">
        <v>19</v>
      </c>
      <c r="H64" s="86" t="s">
        <v>146</v>
      </c>
      <c r="I64" s="84"/>
      <c r="J64" s="85"/>
      <c r="K64" s="86"/>
      <c r="L64" s="84" t="s">
        <v>72</v>
      </c>
      <c r="M64" s="85">
        <v>1</v>
      </c>
      <c r="N64" s="86" t="s">
        <v>146</v>
      </c>
      <c r="O64" s="84"/>
      <c r="P64" s="85"/>
      <c r="Q64" s="86"/>
      <c r="R64" s="84"/>
      <c r="S64" s="85"/>
      <c r="T64" s="86"/>
      <c r="U64" s="87"/>
      <c r="V64" s="88"/>
      <c r="W64" s="92"/>
      <c r="X64" s="87"/>
      <c r="Y64" s="88"/>
      <c r="Z64" s="92"/>
    </row>
    <row r="65" spans="1:26" s="60" customFormat="1" ht="40.049999999999997" customHeight="1" x14ac:dyDescent="0.35">
      <c r="A65" s="148"/>
      <c r="B65" s="151"/>
      <c r="C65" s="84"/>
      <c r="D65" s="85"/>
      <c r="E65" s="86"/>
      <c r="F65" s="84"/>
      <c r="G65" s="85"/>
      <c r="H65" s="86"/>
      <c r="I65" s="84"/>
      <c r="J65" s="85"/>
      <c r="K65" s="86"/>
      <c r="L65" s="84" t="s">
        <v>66</v>
      </c>
      <c r="M65" s="85">
        <v>2</v>
      </c>
      <c r="N65" s="86" t="s">
        <v>146</v>
      </c>
      <c r="O65" s="84"/>
      <c r="P65" s="85"/>
      <c r="Q65" s="86"/>
      <c r="R65" s="84"/>
      <c r="S65" s="85"/>
      <c r="T65" s="86"/>
      <c r="U65" s="87"/>
      <c r="V65" s="88"/>
      <c r="W65" s="92"/>
      <c r="X65" s="87"/>
      <c r="Y65" s="88"/>
      <c r="Z65" s="92"/>
    </row>
    <row r="66" spans="1:26" s="60" customFormat="1" ht="40.049999999999997" customHeight="1" x14ac:dyDescent="0.35">
      <c r="A66" s="148"/>
      <c r="B66" s="152"/>
      <c r="C66" s="84"/>
      <c r="D66" s="85"/>
      <c r="E66" s="86"/>
      <c r="F66" s="84"/>
      <c r="G66" s="85"/>
      <c r="H66" s="86"/>
      <c r="I66" s="84"/>
      <c r="J66" s="85"/>
      <c r="K66" s="86"/>
      <c r="L66" s="84"/>
      <c r="M66" s="85"/>
      <c r="N66" s="86"/>
      <c r="O66" s="84"/>
      <c r="P66" s="85"/>
      <c r="Q66" s="86"/>
      <c r="R66" s="84"/>
      <c r="S66" s="85"/>
      <c r="T66" s="86"/>
      <c r="U66" s="87"/>
      <c r="V66" s="88"/>
      <c r="W66" s="92"/>
      <c r="X66" s="87"/>
      <c r="Y66" s="88"/>
      <c r="Z66" s="92"/>
    </row>
    <row r="67" spans="1:26" s="62" customFormat="1" ht="40.049999999999997" customHeight="1" thickBot="1" x14ac:dyDescent="0.45">
      <c r="A67" s="149"/>
      <c r="B67" s="106"/>
      <c r="C67" s="94"/>
      <c r="D67" s="95">
        <f>SUM(D60:D66)</f>
        <v>56</v>
      </c>
      <c r="E67" s="96" t="s">
        <v>148</v>
      </c>
      <c r="F67" s="94"/>
      <c r="G67" s="95">
        <f>SUM(G60:G66)</f>
        <v>58</v>
      </c>
      <c r="H67" s="96" t="s">
        <v>149</v>
      </c>
      <c r="I67" s="94"/>
      <c r="J67" s="95">
        <f>SUM(J60:J66)</f>
        <v>53</v>
      </c>
      <c r="K67" s="96" t="s">
        <v>150</v>
      </c>
      <c r="L67" s="94"/>
      <c r="M67" s="95">
        <f>SUM(M60:M66)</f>
        <v>51</v>
      </c>
      <c r="N67" s="96" t="s">
        <v>151</v>
      </c>
      <c r="O67" s="94"/>
      <c r="P67" s="95">
        <f>SUM(P60:P66)</f>
        <v>40</v>
      </c>
      <c r="Q67" s="96" t="s">
        <v>152</v>
      </c>
      <c r="R67" s="94"/>
      <c r="S67" s="95">
        <f>SUM(S60:S66)</f>
        <v>38</v>
      </c>
      <c r="T67" s="96" t="s">
        <v>153</v>
      </c>
      <c r="U67" s="97"/>
      <c r="V67" s="98"/>
      <c r="W67" s="119"/>
      <c r="X67" s="97"/>
      <c r="Y67" s="98"/>
      <c r="Z67" s="119"/>
    </row>
    <row r="68" spans="1:26" s="60" customFormat="1" ht="40.049999999999997" customHeight="1" x14ac:dyDescent="0.35">
      <c r="A68" s="155" t="s">
        <v>154</v>
      </c>
      <c r="B68" s="157" t="s">
        <v>161</v>
      </c>
      <c r="C68" s="120" t="s">
        <v>57</v>
      </c>
      <c r="D68" s="121">
        <v>1</v>
      </c>
      <c r="E68" s="122" t="s">
        <v>12</v>
      </c>
      <c r="F68" s="120" t="s">
        <v>90</v>
      </c>
      <c r="G68" s="121">
        <v>9</v>
      </c>
      <c r="H68" s="122" t="s">
        <v>155</v>
      </c>
      <c r="I68" s="120" t="s">
        <v>59</v>
      </c>
      <c r="J68" s="121">
        <v>6</v>
      </c>
      <c r="K68" s="122" t="s">
        <v>156</v>
      </c>
      <c r="L68" s="120"/>
      <c r="M68" s="121"/>
      <c r="N68" s="122"/>
      <c r="O68" s="120"/>
      <c r="P68" s="121"/>
      <c r="Q68" s="122"/>
      <c r="R68" s="120"/>
      <c r="S68" s="121"/>
      <c r="T68" s="122"/>
      <c r="U68" s="103"/>
      <c r="V68" s="104"/>
      <c r="W68" s="108"/>
      <c r="X68" s="103"/>
      <c r="Y68" s="104"/>
      <c r="Z68" s="108"/>
    </row>
    <row r="69" spans="1:26" s="60" customFormat="1" ht="40.049999999999997" customHeight="1" x14ac:dyDescent="0.35">
      <c r="A69" s="155"/>
      <c r="B69" s="157"/>
      <c r="C69" s="84" t="s">
        <v>62</v>
      </c>
      <c r="D69" s="85">
        <v>2</v>
      </c>
      <c r="E69" s="86" t="s">
        <v>12</v>
      </c>
      <c r="F69" s="84" t="s">
        <v>60</v>
      </c>
      <c r="G69" s="85">
        <v>6</v>
      </c>
      <c r="H69" s="86" t="s">
        <v>155</v>
      </c>
      <c r="I69" s="84" t="s">
        <v>64</v>
      </c>
      <c r="J69" s="85">
        <v>5</v>
      </c>
      <c r="K69" s="86" t="s">
        <v>156</v>
      </c>
      <c r="L69" s="84"/>
      <c r="M69" s="85"/>
      <c r="N69" s="86"/>
      <c r="O69" s="84"/>
      <c r="P69" s="85"/>
      <c r="Q69" s="86"/>
      <c r="R69" s="84"/>
      <c r="S69" s="85"/>
      <c r="T69" s="86"/>
      <c r="U69" s="87"/>
      <c r="V69" s="88"/>
      <c r="W69" s="92"/>
      <c r="X69" s="87"/>
      <c r="Y69" s="88"/>
      <c r="Z69" s="92"/>
    </row>
    <row r="70" spans="1:26" s="60" customFormat="1" ht="40.049999999999997" customHeight="1" x14ac:dyDescent="0.35">
      <c r="A70" s="155"/>
      <c r="B70" s="157"/>
      <c r="C70" s="84" t="s">
        <v>67</v>
      </c>
      <c r="D70" s="85">
        <v>2</v>
      </c>
      <c r="E70" s="86" t="s">
        <v>12</v>
      </c>
      <c r="F70" s="84" t="s">
        <v>65</v>
      </c>
      <c r="G70" s="85">
        <v>7</v>
      </c>
      <c r="H70" s="86" t="s">
        <v>155</v>
      </c>
      <c r="I70" s="84" t="s">
        <v>69</v>
      </c>
      <c r="J70" s="85">
        <v>6</v>
      </c>
      <c r="K70" s="86" t="s">
        <v>134</v>
      </c>
      <c r="L70" s="84"/>
      <c r="M70" s="85"/>
      <c r="N70" s="86"/>
      <c r="O70" s="84"/>
      <c r="P70" s="85"/>
      <c r="Q70" s="86"/>
      <c r="R70" s="84"/>
      <c r="S70" s="85"/>
      <c r="T70" s="86"/>
      <c r="U70" s="87"/>
      <c r="V70" s="88"/>
      <c r="W70" s="92"/>
      <c r="X70" s="87"/>
      <c r="Y70" s="88"/>
      <c r="Z70" s="92"/>
    </row>
    <row r="71" spans="1:26" s="60" customFormat="1" ht="40.049999999999997" customHeight="1" x14ac:dyDescent="0.35">
      <c r="A71" s="155"/>
      <c r="B71" s="157"/>
      <c r="C71" s="84" t="s">
        <v>71</v>
      </c>
      <c r="D71" s="85">
        <v>11</v>
      </c>
      <c r="E71" s="86" t="s">
        <v>12</v>
      </c>
      <c r="F71" s="84" t="s">
        <v>47</v>
      </c>
      <c r="G71" s="85">
        <v>7</v>
      </c>
      <c r="H71" s="86" t="s">
        <v>155</v>
      </c>
      <c r="I71" s="84" t="s">
        <v>81</v>
      </c>
      <c r="J71" s="85">
        <v>4</v>
      </c>
      <c r="K71" s="86" t="s">
        <v>157</v>
      </c>
      <c r="L71" s="84"/>
      <c r="M71" s="85"/>
      <c r="N71" s="86"/>
      <c r="O71" s="84"/>
      <c r="P71" s="85"/>
      <c r="Q71" s="86"/>
      <c r="R71" s="84"/>
      <c r="S71" s="85"/>
      <c r="T71" s="86"/>
      <c r="U71" s="87"/>
      <c r="V71" s="88"/>
      <c r="W71" s="92"/>
      <c r="X71" s="87"/>
      <c r="Y71" s="88"/>
      <c r="Z71" s="92"/>
    </row>
    <row r="72" spans="1:26" s="60" customFormat="1" ht="40.049999999999997" customHeight="1" x14ac:dyDescent="0.35">
      <c r="A72" s="155"/>
      <c r="B72" s="157"/>
      <c r="C72" s="84" t="s">
        <v>58</v>
      </c>
      <c r="D72" s="85">
        <v>5</v>
      </c>
      <c r="E72" s="86" t="s">
        <v>12</v>
      </c>
      <c r="F72" s="84" t="s">
        <v>46</v>
      </c>
      <c r="G72" s="85">
        <v>2</v>
      </c>
      <c r="H72" s="86" t="s">
        <v>155</v>
      </c>
      <c r="I72" s="84" t="s">
        <v>84</v>
      </c>
      <c r="J72" s="85">
        <v>10</v>
      </c>
      <c r="K72" s="86" t="s">
        <v>157</v>
      </c>
      <c r="L72" s="84"/>
      <c r="M72" s="85"/>
      <c r="N72" s="86"/>
      <c r="O72" s="84"/>
      <c r="P72" s="85"/>
      <c r="Q72" s="86"/>
      <c r="R72" s="84"/>
      <c r="S72" s="85"/>
      <c r="T72" s="86"/>
      <c r="U72" s="87"/>
      <c r="V72" s="88"/>
      <c r="W72" s="92"/>
      <c r="X72" s="87"/>
      <c r="Y72" s="88"/>
      <c r="Z72" s="92"/>
    </row>
    <row r="73" spans="1:26" s="60" customFormat="1" ht="40.049999999999997" customHeight="1" x14ac:dyDescent="0.35">
      <c r="A73" s="155"/>
      <c r="B73" s="157"/>
      <c r="C73" s="84" t="s">
        <v>80</v>
      </c>
      <c r="D73" s="85">
        <v>9</v>
      </c>
      <c r="E73" s="86" t="s">
        <v>12</v>
      </c>
      <c r="F73" s="84" t="s">
        <v>78</v>
      </c>
      <c r="G73" s="85">
        <v>1</v>
      </c>
      <c r="H73" s="86" t="s">
        <v>155</v>
      </c>
      <c r="I73" s="84" t="s">
        <v>87</v>
      </c>
      <c r="J73" s="85">
        <v>3</v>
      </c>
      <c r="K73" s="86" t="s">
        <v>157</v>
      </c>
      <c r="L73" s="84"/>
      <c r="M73" s="85"/>
      <c r="N73" s="86"/>
      <c r="O73" s="84"/>
      <c r="P73" s="85"/>
      <c r="Q73" s="86"/>
      <c r="R73" s="84"/>
      <c r="S73" s="85"/>
      <c r="T73" s="86"/>
      <c r="U73" s="87"/>
      <c r="V73" s="88"/>
      <c r="W73" s="92"/>
      <c r="X73" s="87"/>
      <c r="Y73" s="88"/>
      <c r="Z73" s="92"/>
    </row>
    <row r="74" spans="1:26" s="60" customFormat="1" ht="40.049999999999997" customHeight="1" x14ac:dyDescent="0.35">
      <c r="A74" s="155"/>
      <c r="B74" s="157"/>
      <c r="C74" s="84" t="s">
        <v>72</v>
      </c>
      <c r="D74" s="85">
        <v>7</v>
      </c>
      <c r="E74" s="86" t="s">
        <v>12</v>
      </c>
      <c r="F74" s="84" t="s">
        <v>82</v>
      </c>
      <c r="G74" s="85">
        <v>3</v>
      </c>
      <c r="H74" s="86" t="s">
        <v>155</v>
      </c>
      <c r="I74" s="84"/>
      <c r="J74" s="85"/>
      <c r="K74" s="86"/>
      <c r="L74" s="84"/>
      <c r="M74" s="85"/>
      <c r="N74" s="86"/>
      <c r="O74" s="84"/>
      <c r="P74" s="85"/>
      <c r="Q74" s="86"/>
      <c r="R74" s="84"/>
      <c r="S74" s="85"/>
      <c r="T74" s="86"/>
      <c r="U74" s="87"/>
      <c r="V74" s="88"/>
      <c r="W74" s="92"/>
      <c r="X74" s="87"/>
      <c r="Y74" s="88"/>
      <c r="Z74" s="92"/>
    </row>
    <row r="75" spans="1:26" s="60" customFormat="1" ht="40.049999999999997" customHeight="1" x14ac:dyDescent="0.35">
      <c r="A75" s="155"/>
      <c r="B75" s="157"/>
      <c r="C75" s="84"/>
      <c r="D75" s="85"/>
      <c r="E75" s="86"/>
      <c r="F75" s="84" t="s">
        <v>85</v>
      </c>
      <c r="G75" s="85">
        <v>2</v>
      </c>
      <c r="H75" s="86" t="s">
        <v>155</v>
      </c>
      <c r="I75" s="84"/>
      <c r="J75" s="85"/>
      <c r="K75" s="86"/>
      <c r="L75" s="84"/>
      <c r="M75" s="85"/>
      <c r="N75" s="86"/>
      <c r="O75" s="84"/>
      <c r="P75" s="85"/>
      <c r="Q75" s="86"/>
      <c r="R75" s="84"/>
      <c r="S75" s="85"/>
      <c r="T75" s="86"/>
      <c r="U75" s="87"/>
      <c r="V75" s="88"/>
      <c r="W75" s="92"/>
      <c r="X75" s="87"/>
      <c r="Y75" s="88"/>
      <c r="Z75" s="92"/>
    </row>
    <row r="76" spans="1:26" s="60" customFormat="1" ht="40.049999999999997" customHeight="1" x14ac:dyDescent="0.35">
      <c r="A76" s="155"/>
      <c r="B76" s="158"/>
      <c r="C76" s="84"/>
      <c r="D76" s="85"/>
      <c r="E76" s="86"/>
      <c r="F76" s="84" t="s">
        <v>88</v>
      </c>
      <c r="G76" s="85">
        <v>5</v>
      </c>
      <c r="H76" s="86" t="s">
        <v>155</v>
      </c>
      <c r="I76" s="84"/>
      <c r="J76" s="85"/>
      <c r="K76" s="86"/>
      <c r="L76" s="84"/>
      <c r="M76" s="85"/>
      <c r="N76" s="86"/>
      <c r="O76" s="84"/>
      <c r="P76" s="85"/>
      <c r="Q76" s="86"/>
      <c r="R76" s="84"/>
      <c r="S76" s="85"/>
      <c r="T76" s="86"/>
      <c r="U76" s="87"/>
      <c r="V76" s="88"/>
      <c r="W76" s="92"/>
      <c r="X76" s="87"/>
      <c r="Y76" s="88"/>
      <c r="Z76" s="92"/>
    </row>
    <row r="77" spans="1:26" s="62" customFormat="1" ht="40.049999999999997" customHeight="1" thickBot="1" x14ac:dyDescent="0.45">
      <c r="A77" s="156"/>
      <c r="B77" s="123"/>
      <c r="C77" s="124"/>
      <c r="D77" s="125">
        <f>SUM(D68:D76)</f>
        <v>37</v>
      </c>
      <c r="E77" s="126" t="s">
        <v>158</v>
      </c>
      <c r="F77" s="124"/>
      <c r="G77" s="125">
        <f>SUM(G68:G76)</f>
        <v>42</v>
      </c>
      <c r="H77" s="126" t="s">
        <v>159</v>
      </c>
      <c r="I77" s="124"/>
      <c r="J77" s="125">
        <f>SUM(J68:J76)</f>
        <v>34</v>
      </c>
      <c r="K77" s="126" t="s">
        <v>160</v>
      </c>
      <c r="L77" s="124"/>
      <c r="M77" s="125">
        <f>SUM(M68:M76)</f>
        <v>0</v>
      </c>
      <c r="N77" s="126"/>
      <c r="O77" s="124"/>
      <c r="P77" s="125">
        <f>SUM(P68:P76)</f>
        <v>0</v>
      </c>
      <c r="Q77" s="126"/>
      <c r="R77" s="124"/>
      <c r="S77" s="125"/>
      <c r="T77" s="126"/>
      <c r="U77" s="97"/>
      <c r="V77" s="98"/>
      <c r="W77" s="119"/>
      <c r="X77" s="97"/>
      <c r="Y77" s="98"/>
      <c r="Z77" s="119"/>
    </row>
    <row r="78" spans="1:26" hidden="1" x14ac:dyDescent="0.3">
      <c r="A78" s="49"/>
      <c r="B78" s="50"/>
      <c r="C78" s="36"/>
      <c r="D78" s="37"/>
      <c r="E78" s="38"/>
      <c r="F78" s="36"/>
      <c r="G78" s="37"/>
      <c r="H78" s="38"/>
      <c r="I78" s="36"/>
      <c r="J78" s="37"/>
      <c r="K78" s="38"/>
      <c r="L78" s="36"/>
      <c r="M78" s="37"/>
      <c r="N78" s="39"/>
      <c r="O78" s="36"/>
      <c r="P78" s="37"/>
      <c r="Q78" s="38"/>
      <c r="R78" s="36"/>
      <c r="S78" s="37"/>
      <c r="T78" s="38"/>
      <c r="U78" s="51"/>
      <c r="V78" s="41"/>
      <c r="W78" s="42"/>
      <c r="X78" s="40"/>
      <c r="Y78" s="41"/>
      <c r="Z78" s="42"/>
    </row>
    <row r="79" spans="1:26" hidden="1" x14ac:dyDescent="0.3">
      <c r="A79" s="49"/>
      <c r="B79" s="50"/>
      <c r="C79" s="36"/>
      <c r="D79" s="37"/>
      <c r="E79" s="38"/>
      <c r="F79" s="36"/>
      <c r="G79" s="37"/>
      <c r="H79" s="38"/>
      <c r="I79" s="36"/>
      <c r="J79" s="37"/>
      <c r="K79" s="38"/>
      <c r="L79" s="36"/>
      <c r="M79" s="37"/>
      <c r="N79" s="39"/>
      <c r="O79" s="36"/>
      <c r="P79" s="37"/>
      <c r="Q79" s="38"/>
      <c r="R79" s="36"/>
      <c r="S79" s="37"/>
      <c r="T79" s="38"/>
      <c r="U79" s="51"/>
      <c r="V79" s="41"/>
      <c r="W79" s="42"/>
      <c r="X79" s="40"/>
      <c r="Y79" s="41"/>
      <c r="Z79" s="42"/>
    </row>
    <row r="80" spans="1:26" hidden="1" x14ac:dyDescent="0.3">
      <c r="A80" s="49"/>
      <c r="B80" s="50"/>
      <c r="C80" s="36"/>
      <c r="D80" s="37"/>
      <c r="E80" s="38"/>
      <c r="F80" s="36"/>
      <c r="G80" s="37"/>
      <c r="H80" s="38"/>
      <c r="I80" s="36"/>
      <c r="J80" s="37"/>
      <c r="K80" s="38"/>
      <c r="L80" s="36"/>
      <c r="M80" s="37"/>
      <c r="N80" s="39"/>
      <c r="O80" s="36"/>
      <c r="P80" s="37"/>
      <c r="Q80" s="38"/>
      <c r="R80" s="36"/>
      <c r="S80" s="37"/>
      <c r="T80" s="38"/>
      <c r="U80" s="51"/>
      <c r="V80" s="41"/>
      <c r="W80" s="42"/>
      <c r="X80" s="40"/>
      <c r="Y80" s="41"/>
      <c r="Z80" s="42"/>
    </row>
    <row r="81" spans="1:26" hidden="1" x14ac:dyDescent="0.3">
      <c r="A81" s="49"/>
      <c r="B81" s="50"/>
      <c r="C81" s="36"/>
      <c r="D81" s="37"/>
      <c r="E81" s="38"/>
      <c r="F81" s="36"/>
      <c r="G81" s="37"/>
      <c r="H81" s="38"/>
      <c r="I81" s="36"/>
      <c r="J81" s="37"/>
      <c r="K81" s="38"/>
      <c r="L81" s="36"/>
      <c r="M81" s="37"/>
      <c r="N81" s="39"/>
      <c r="O81" s="36"/>
      <c r="P81" s="37"/>
      <c r="Q81" s="38"/>
      <c r="R81" s="36"/>
      <c r="S81" s="37"/>
      <c r="T81" s="38"/>
      <c r="U81" s="51"/>
      <c r="V81" s="41"/>
      <c r="W81" s="42"/>
      <c r="X81" s="40"/>
      <c r="Y81" s="41"/>
      <c r="Z81" s="42"/>
    </row>
    <row r="82" spans="1:26" hidden="1" x14ac:dyDescent="0.3">
      <c r="A82" s="49"/>
      <c r="B82" s="50"/>
      <c r="C82" s="36"/>
      <c r="D82" s="37"/>
      <c r="E82" s="38"/>
      <c r="F82" s="36"/>
      <c r="G82" s="37"/>
      <c r="H82" s="38"/>
      <c r="I82" s="36"/>
      <c r="J82" s="37"/>
      <c r="K82" s="38"/>
      <c r="L82" s="36"/>
      <c r="M82" s="37"/>
      <c r="N82" s="39"/>
      <c r="O82" s="36"/>
      <c r="P82" s="37"/>
      <c r="Q82" s="38"/>
      <c r="R82" s="36"/>
      <c r="S82" s="37"/>
      <c r="T82" s="38"/>
      <c r="U82" s="51"/>
      <c r="V82" s="41"/>
      <c r="W82" s="42"/>
      <c r="X82" s="40"/>
      <c r="Y82" s="41"/>
      <c r="Z82" s="42"/>
    </row>
    <row r="83" spans="1:26" hidden="1" x14ac:dyDescent="0.3">
      <c r="A83" s="49"/>
      <c r="B83" s="50"/>
      <c r="C83" s="36"/>
      <c r="D83" s="37"/>
      <c r="E83" s="38"/>
      <c r="F83" s="36"/>
      <c r="G83" s="37"/>
      <c r="H83" s="38"/>
      <c r="I83" s="36"/>
      <c r="J83" s="37"/>
      <c r="K83" s="38"/>
      <c r="L83" s="36"/>
      <c r="M83" s="37"/>
      <c r="N83" s="39"/>
      <c r="O83" s="36"/>
      <c r="P83" s="37"/>
      <c r="Q83" s="38"/>
      <c r="R83" s="36"/>
      <c r="S83" s="37"/>
      <c r="T83" s="38"/>
      <c r="U83" s="51"/>
      <c r="V83" s="41"/>
      <c r="W83" s="42"/>
      <c r="X83" s="40"/>
      <c r="Y83" s="41"/>
      <c r="Z83" s="42"/>
    </row>
    <row r="84" spans="1:26" hidden="1" x14ac:dyDescent="0.3">
      <c r="A84" s="49"/>
      <c r="B84" s="50"/>
      <c r="C84" s="36"/>
      <c r="D84" s="37"/>
      <c r="E84" s="38"/>
      <c r="F84" s="36"/>
      <c r="G84" s="37"/>
      <c r="H84" s="38"/>
      <c r="I84" s="36"/>
      <c r="J84" s="37"/>
      <c r="K84" s="38"/>
      <c r="L84" s="36"/>
      <c r="M84" s="37"/>
      <c r="N84" s="39"/>
      <c r="O84" s="36"/>
      <c r="P84" s="37"/>
      <c r="Q84" s="38"/>
      <c r="R84" s="36"/>
      <c r="S84" s="37"/>
      <c r="T84" s="38"/>
      <c r="U84" s="51"/>
      <c r="V84" s="41"/>
      <c r="W84" s="42"/>
      <c r="X84" s="40"/>
      <c r="Y84" s="41"/>
      <c r="Z84" s="42"/>
    </row>
    <row r="85" spans="1:26" hidden="1" x14ac:dyDescent="0.3">
      <c r="A85" s="49"/>
      <c r="B85" s="50"/>
      <c r="C85" s="36"/>
      <c r="D85" s="37"/>
      <c r="E85" s="38"/>
      <c r="F85" s="36"/>
      <c r="G85" s="37"/>
      <c r="H85" s="38"/>
      <c r="I85" s="36"/>
      <c r="J85" s="37"/>
      <c r="K85" s="38"/>
      <c r="L85" s="36"/>
      <c r="M85" s="37"/>
      <c r="N85" s="39"/>
      <c r="O85" s="36"/>
      <c r="P85" s="37"/>
      <c r="Q85" s="38"/>
      <c r="R85" s="36"/>
      <c r="S85" s="37"/>
      <c r="T85" s="38"/>
      <c r="U85" s="51"/>
      <c r="V85" s="41"/>
      <c r="W85" s="42"/>
      <c r="X85" s="40"/>
      <c r="Y85" s="41"/>
      <c r="Z85" s="42"/>
    </row>
    <row r="86" spans="1:26" hidden="1" x14ac:dyDescent="0.3">
      <c r="A86" s="49"/>
      <c r="B86" s="50"/>
      <c r="C86" s="36"/>
      <c r="D86" s="37"/>
      <c r="E86" s="38"/>
      <c r="F86" s="36"/>
      <c r="G86" s="37"/>
      <c r="H86" s="38"/>
      <c r="I86" s="36"/>
      <c r="J86" s="37"/>
      <c r="K86" s="38"/>
      <c r="L86" s="36"/>
      <c r="M86" s="37"/>
      <c r="N86" s="39"/>
      <c r="O86" s="36"/>
      <c r="P86" s="37"/>
      <c r="Q86" s="38"/>
      <c r="R86" s="36"/>
      <c r="S86" s="37"/>
      <c r="T86" s="38"/>
      <c r="U86" s="51"/>
      <c r="V86" s="41"/>
      <c r="W86" s="42"/>
      <c r="X86" s="40"/>
      <c r="Y86" s="41"/>
      <c r="Z86" s="42"/>
    </row>
    <row r="87" spans="1:26" hidden="1" x14ac:dyDescent="0.3">
      <c r="A87" s="49"/>
      <c r="B87" s="50"/>
      <c r="C87" s="36"/>
      <c r="D87" s="37"/>
      <c r="E87" s="38"/>
      <c r="F87" s="36"/>
      <c r="G87" s="37"/>
      <c r="H87" s="38"/>
      <c r="I87" s="36"/>
      <c r="J87" s="37"/>
      <c r="K87" s="38"/>
      <c r="L87" s="36"/>
      <c r="M87" s="37"/>
      <c r="N87" s="38"/>
      <c r="O87" s="36"/>
      <c r="P87" s="37"/>
      <c r="Q87" s="38"/>
      <c r="R87" s="36"/>
      <c r="S87" s="37"/>
      <c r="T87" s="38"/>
      <c r="U87" s="51"/>
      <c r="V87" s="41"/>
      <c r="W87" s="42"/>
      <c r="X87" s="40"/>
      <c r="Y87" s="41"/>
      <c r="Z87" s="42"/>
    </row>
    <row r="88" spans="1:26" hidden="1" x14ac:dyDescent="0.3">
      <c r="A88" s="49"/>
      <c r="B88" s="52">
        <f>SUM(D88,G88,J88,M88,P88)</f>
        <v>0</v>
      </c>
      <c r="C88" s="43"/>
      <c r="D88" s="44">
        <f>SUM(D78:D87)</f>
        <v>0</v>
      </c>
      <c r="E88" s="45"/>
      <c r="F88" s="43"/>
      <c r="G88" s="44"/>
      <c r="H88" s="45"/>
      <c r="I88" s="43"/>
      <c r="J88" s="44"/>
      <c r="K88" s="45"/>
      <c r="L88" s="53"/>
      <c r="M88" s="54"/>
      <c r="N88" s="55"/>
      <c r="O88" s="43"/>
      <c r="P88" s="44"/>
      <c r="Q88" s="45"/>
      <c r="R88" s="43"/>
      <c r="S88" s="44"/>
      <c r="T88" s="45"/>
      <c r="U88" s="56"/>
      <c r="V88" s="47"/>
      <c r="W88" s="48"/>
      <c r="X88" s="46"/>
      <c r="Y88" s="47"/>
      <c r="Z88" s="48"/>
    </row>
  </sheetData>
  <mergeCells count="23">
    <mergeCell ref="A68:A77"/>
    <mergeCell ref="B68:B76"/>
    <mergeCell ref="A39:A51"/>
    <mergeCell ref="B39:B50"/>
    <mergeCell ref="A52:A59"/>
    <mergeCell ref="B52:B58"/>
    <mergeCell ref="A60:A67"/>
    <mergeCell ref="B60:B66"/>
    <mergeCell ref="A8:A18"/>
    <mergeCell ref="B8:B17"/>
    <mergeCell ref="A19:A27"/>
    <mergeCell ref="B19:B26"/>
    <mergeCell ref="A28:A38"/>
    <mergeCell ref="B28:B37"/>
    <mergeCell ref="C5:K5"/>
    <mergeCell ref="L5:T5"/>
    <mergeCell ref="U5:Z5"/>
    <mergeCell ref="A3:B3"/>
    <mergeCell ref="C3:K3"/>
    <mergeCell ref="L3:T3"/>
    <mergeCell ref="C4:K4"/>
    <mergeCell ref="L4:T4"/>
    <mergeCell ref="U4:Z4"/>
  </mergeCells>
  <phoneticPr fontId="1" type="noConversion"/>
  <pageMargins left="0.70866141732283472" right="0.70866141732283472" top="0.39370078740157483" bottom="0.39370078740157483" header="0.31496062992125984" footer="0.31496062992125984"/>
  <pageSetup paperSize="8" scale="24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4FA5A-EC7B-472D-85E9-21E7FB84E954}">
  <dimension ref="A1:N20"/>
  <sheetViews>
    <sheetView tabSelected="1" workbookViewId="0">
      <selection activeCell="B14" sqref="B14"/>
    </sheetView>
  </sheetViews>
  <sheetFormatPr defaultRowHeight="13.2" x14ac:dyDescent="0.25"/>
  <cols>
    <col min="1" max="1" width="5.33203125" bestFit="1" customWidth="1"/>
    <col min="2" max="2" width="13.109375" bestFit="1" customWidth="1"/>
    <col min="3" max="3" width="5.5546875" bestFit="1" customWidth="1"/>
    <col min="4" max="4" width="5.33203125" customWidth="1"/>
    <col min="5" max="5" width="9" bestFit="1" customWidth="1"/>
    <col min="6" max="6" width="13.109375" bestFit="1" customWidth="1"/>
    <col min="7" max="7" width="5.5546875" bestFit="1" customWidth="1"/>
    <col min="8" max="8" width="5.33203125" customWidth="1"/>
    <col min="9" max="9" width="8.109375" bestFit="1" customWidth="1"/>
    <col min="10" max="10" width="15.33203125" bestFit="1" customWidth="1"/>
    <col min="11" max="12" width="5.5546875" bestFit="1" customWidth="1"/>
    <col min="13" max="13" width="9" bestFit="1" customWidth="1"/>
    <col min="14" max="14" width="16.44140625" customWidth="1"/>
  </cols>
  <sheetData>
    <row r="1" spans="1:14" ht="13.8" thickBot="1" x14ac:dyDescent="0.3">
      <c r="A1" s="24"/>
      <c r="B1" s="25" t="s">
        <v>0</v>
      </c>
      <c r="C1" s="26" t="s">
        <v>1</v>
      </c>
      <c r="D1" s="26" t="s">
        <v>2</v>
      </c>
      <c r="E1" s="27" t="s">
        <v>3</v>
      </c>
      <c r="F1" s="25" t="s">
        <v>4</v>
      </c>
      <c r="G1" s="26" t="s">
        <v>1</v>
      </c>
      <c r="H1" s="26" t="s">
        <v>2</v>
      </c>
      <c r="I1" s="27" t="s">
        <v>3</v>
      </c>
      <c r="J1" s="25" t="s">
        <v>5</v>
      </c>
      <c r="K1" s="26" t="s">
        <v>1</v>
      </c>
      <c r="L1" s="26" t="s">
        <v>2</v>
      </c>
      <c r="M1" s="27" t="s">
        <v>3</v>
      </c>
    </row>
    <row r="2" spans="1:14" ht="14.4" thickTop="1" x14ac:dyDescent="0.25">
      <c r="A2" s="1">
        <v>1</v>
      </c>
      <c r="B2" s="129" t="s">
        <v>162</v>
      </c>
      <c r="C2" s="6">
        <v>135</v>
      </c>
      <c r="D2" s="29">
        <v>56</v>
      </c>
      <c r="E2" s="7">
        <f>1-D2/C2</f>
        <v>0.58518518518518525</v>
      </c>
      <c r="F2" s="5" t="s">
        <v>6</v>
      </c>
      <c r="G2" s="6">
        <v>113</v>
      </c>
      <c r="H2" s="29">
        <v>57</v>
      </c>
      <c r="I2" s="7">
        <f>1-H2/G2</f>
        <v>0.49557522123893805</v>
      </c>
      <c r="J2" s="5"/>
      <c r="K2" s="6"/>
      <c r="L2" s="6"/>
      <c r="M2" s="7" t="e">
        <f>1-L2/K2</f>
        <v>#DIV/0!</v>
      </c>
    </row>
    <row r="3" spans="1:14" x14ac:dyDescent="0.25">
      <c r="A3" s="2">
        <v>2</v>
      </c>
      <c r="B3" s="8" t="s">
        <v>7</v>
      </c>
      <c r="C3" s="9">
        <v>188</v>
      </c>
      <c r="D3" s="30">
        <v>67</v>
      </c>
      <c r="E3" s="10">
        <f t="shared" ref="E3:E14" si="0">1-D3/C3</f>
        <v>0.6436170212765957</v>
      </c>
      <c r="F3" s="8" t="s">
        <v>7</v>
      </c>
      <c r="G3" s="9">
        <v>94</v>
      </c>
      <c r="H3" s="30">
        <v>47</v>
      </c>
      <c r="I3" s="10">
        <f t="shared" ref="I3:I15" si="1">1-H3/G3</f>
        <v>0.5</v>
      </c>
      <c r="J3" s="8"/>
      <c r="K3" s="9"/>
      <c r="L3" s="9"/>
      <c r="M3" s="10" t="e">
        <f t="shared" ref="M3:M17" si="2">1-L3/K3</f>
        <v>#DIV/0!</v>
      </c>
    </row>
    <row r="4" spans="1:14" x14ac:dyDescent="0.25">
      <c r="A4" s="2">
        <v>3</v>
      </c>
      <c r="B4" s="8" t="s">
        <v>8</v>
      </c>
      <c r="C4" s="9">
        <v>152</v>
      </c>
      <c r="D4" s="30">
        <v>58</v>
      </c>
      <c r="E4" s="10">
        <f t="shared" si="0"/>
        <v>0.61842105263157898</v>
      </c>
      <c r="F4" s="8" t="s">
        <v>8</v>
      </c>
      <c r="G4" s="9">
        <v>82</v>
      </c>
      <c r="H4" s="30">
        <v>49</v>
      </c>
      <c r="I4" s="10">
        <f t="shared" si="1"/>
        <v>0.40243902439024393</v>
      </c>
      <c r="J4" s="8"/>
      <c r="K4" s="9"/>
      <c r="L4" s="9"/>
      <c r="M4" s="10" t="e">
        <f t="shared" si="2"/>
        <v>#DIV/0!</v>
      </c>
    </row>
    <row r="5" spans="1:14" x14ac:dyDescent="0.25">
      <c r="A5" s="2">
        <v>4</v>
      </c>
      <c r="B5" s="8" t="s">
        <v>9</v>
      </c>
      <c r="C5" s="9">
        <v>218</v>
      </c>
      <c r="D5" s="30">
        <v>114</v>
      </c>
      <c r="E5" s="10">
        <f t="shared" si="0"/>
        <v>0.47706422018348627</v>
      </c>
      <c r="F5" s="8" t="s">
        <v>28</v>
      </c>
      <c r="G5" s="9">
        <v>10</v>
      </c>
      <c r="H5" s="30">
        <v>5</v>
      </c>
      <c r="I5" s="10">
        <f t="shared" si="1"/>
        <v>0.5</v>
      </c>
      <c r="J5" s="11"/>
      <c r="K5" s="9"/>
      <c r="L5" s="9"/>
      <c r="M5" s="10" t="e">
        <f t="shared" si="2"/>
        <v>#DIV/0!</v>
      </c>
    </row>
    <row r="6" spans="1:14" ht="13.8" x14ac:dyDescent="0.25">
      <c r="A6" s="2">
        <v>5</v>
      </c>
      <c r="B6" s="8" t="s">
        <v>27</v>
      </c>
      <c r="C6" s="9">
        <v>41</v>
      </c>
      <c r="D6" s="30">
        <v>32</v>
      </c>
      <c r="E6" s="10">
        <f t="shared" si="0"/>
        <v>0.21951219512195119</v>
      </c>
      <c r="F6" s="8" t="s">
        <v>11</v>
      </c>
      <c r="G6" s="9">
        <v>50</v>
      </c>
      <c r="H6" s="30">
        <v>36</v>
      </c>
      <c r="I6" s="10">
        <f t="shared" si="1"/>
        <v>0.28000000000000003</v>
      </c>
      <c r="J6" s="8"/>
      <c r="K6" s="9"/>
      <c r="L6" s="9"/>
      <c r="M6" s="10" t="e">
        <f t="shared" si="2"/>
        <v>#DIV/0!</v>
      </c>
      <c r="N6" s="4"/>
    </row>
    <row r="7" spans="1:14" ht="13.8" x14ac:dyDescent="0.25">
      <c r="A7" s="2">
        <v>6</v>
      </c>
      <c r="B7" s="8" t="s">
        <v>10</v>
      </c>
      <c r="C7" s="9">
        <v>91</v>
      </c>
      <c r="D7" s="30">
        <v>34</v>
      </c>
      <c r="E7" s="10">
        <f t="shared" si="0"/>
        <v>0.62637362637362637</v>
      </c>
      <c r="F7" s="8" t="s">
        <v>33</v>
      </c>
      <c r="G7" s="9">
        <v>8</v>
      </c>
      <c r="H7" s="30">
        <v>4</v>
      </c>
      <c r="I7" s="10">
        <f t="shared" si="1"/>
        <v>0.5</v>
      </c>
      <c r="J7" s="8"/>
      <c r="K7" s="9"/>
      <c r="L7" s="9"/>
      <c r="M7" s="10" t="e">
        <f t="shared" si="2"/>
        <v>#DIV/0!</v>
      </c>
      <c r="N7" s="4"/>
    </row>
    <row r="8" spans="1:14" ht="13.8" x14ac:dyDescent="0.25">
      <c r="A8" s="2">
        <v>7</v>
      </c>
      <c r="B8" s="8" t="s">
        <v>28</v>
      </c>
      <c r="C8" s="9">
        <v>3</v>
      </c>
      <c r="D8" s="30">
        <v>2</v>
      </c>
      <c r="E8" s="10">
        <f t="shared" si="0"/>
        <v>0.33333333333333337</v>
      </c>
      <c r="F8" s="8" t="s">
        <v>13</v>
      </c>
      <c r="G8" s="9">
        <v>30</v>
      </c>
      <c r="H8" s="30">
        <v>23</v>
      </c>
      <c r="I8" s="10">
        <f t="shared" si="1"/>
        <v>0.23333333333333328</v>
      </c>
      <c r="J8" s="8"/>
      <c r="K8" s="9"/>
      <c r="L8" s="9"/>
      <c r="M8" s="10" t="e">
        <f t="shared" si="2"/>
        <v>#DIV/0!</v>
      </c>
      <c r="N8" s="4"/>
    </row>
    <row r="9" spans="1:14" ht="13.8" x14ac:dyDescent="0.25">
      <c r="A9" s="2">
        <v>8</v>
      </c>
      <c r="B9" s="8" t="s">
        <v>12</v>
      </c>
      <c r="C9" s="9">
        <v>37</v>
      </c>
      <c r="D9" s="30">
        <v>23</v>
      </c>
      <c r="E9" s="10">
        <f t="shared" si="0"/>
        <v>0.3783783783783784</v>
      </c>
      <c r="F9" s="8" t="s">
        <v>34</v>
      </c>
      <c r="G9" s="9">
        <v>42</v>
      </c>
      <c r="H9" s="30">
        <v>39</v>
      </c>
      <c r="I9" s="10">
        <f t="shared" si="1"/>
        <v>7.1428571428571397E-2</v>
      </c>
      <c r="J9" s="8"/>
      <c r="K9" s="9"/>
      <c r="L9" s="9"/>
      <c r="M9" s="10" t="e">
        <f t="shared" si="2"/>
        <v>#DIV/0!</v>
      </c>
      <c r="N9" s="4"/>
    </row>
    <row r="10" spans="1:14" ht="13.8" x14ac:dyDescent="0.25">
      <c r="A10" s="2">
        <v>9</v>
      </c>
      <c r="B10" s="8" t="s">
        <v>29</v>
      </c>
      <c r="C10" s="9">
        <v>14</v>
      </c>
      <c r="D10" s="30">
        <v>2</v>
      </c>
      <c r="E10" s="10">
        <f t="shared" si="0"/>
        <v>0.85714285714285721</v>
      </c>
      <c r="F10" s="8" t="s">
        <v>16</v>
      </c>
      <c r="G10" s="9">
        <v>78</v>
      </c>
      <c r="H10" s="30">
        <v>60</v>
      </c>
      <c r="I10" s="10">
        <f t="shared" si="1"/>
        <v>0.23076923076923073</v>
      </c>
      <c r="J10" s="8"/>
      <c r="K10" s="9"/>
      <c r="L10" s="9"/>
      <c r="M10" s="10" t="e">
        <f t="shared" si="2"/>
        <v>#DIV/0!</v>
      </c>
      <c r="N10" s="4"/>
    </row>
    <row r="11" spans="1:14" x14ac:dyDescent="0.25">
      <c r="A11" s="2">
        <v>10</v>
      </c>
      <c r="B11" s="8" t="s">
        <v>15</v>
      </c>
      <c r="C11" s="9">
        <v>16</v>
      </c>
      <c r="D11" s="30">
        <v>5</v>
      </c>
      <c r="E11" s="10">
        <f t="shared" si="0"/>
        <v>0.6875</v>
      </c>
      <c r="F11" s="28" t="s">
        <v>32</v>
      </c>
      <c r="G11" s="9">
        <v>6</v>
      </c>
      <c r="H11" s="30">
        <v>6</v>
      </c>
      <c r="I11" s="10">
        <f t="shared" si="1"/>
        <v>0</v>
      </c>
      <c r="J11" s="8"/>
      <c r="K11" s="9"/>
      <c r="L11" s="9"/>
      <c r="M11" s="10" t="e">
        <f t="shared" si="2"/>
        <v>#DIV/0!</v>
      </c>
    </row>
    <row r="12" spans="1:14" x14ac:dyDescent="0.25">
      <c r="A12" s="2">
        <v>11</v>
      </c>
      <c r="B12" s="8" t="s">
        <v>17</v>
      </c>
      <c r="C12" s="9">
        <v>12</v>
      </c>
      <c r="D12" s="30">
        <v>10</v>
      </c>
      <c r="E12" s="10">
        <f t="shared" si="0"/>
        <v>0.16666666666666663</v>
      </c>
      <c r="F12" s="8" t="s">
        <v>18</v>
      </c>
      <c r="G12" s="9">
        <v>24</v>
      </c>
      <c r="H12" s="30">
        <v>14</v>
      </c>
      <c r="I12" s="10">
        <f t="shared" si="1"/>
        <v>0.41666666666666663</v>
      </c>
      <c r="J12" s="8"/>
      <c r="K12" s="9"/>
      <c r="L12" s="9"/>
      <c r="M12" s="10" t="e">
        <f t="shared" si="2"/>
        <v>#DIV/0!</v>
      </c>
    </row>
    <row r="13" spans="1:14" x14ac:dyDescent="0.25">
      <c r="A13" s="2">
        <v>12</v>
      </c>
      <c r="B13" s="8" t="s">
        <v>14</v>
      </c>
      <c r="C13" s="9">
        <v>11</v>
      </c>
      <c r="D13" s="30">
        <v>9</v>
      </c>
      <c r="E13" s="10">
        <f t="shared" si="0"/>
        <v>0.18181818181818177</v>
      </c>
      <c r="F13" s="8" t="s">
        <v>35</v>
      </c>
      <c r="G13" s="9">
        <v>7</v>
      </c>
      <c r="H13" s="30">
        <v>7</v>
      </c>
      <c r="I13" s="10">
        <f t="shared" si="1"/>
        <v>0</v>
      </c>
      <c r="J13" s="8"/>
      <c r="K13" s="9"/>
      <c r="L13" s="9"/>
      <c r="M13" s="10" t="e">
        <f t="shared" si="2"/>
        <v>#DIV/0!</v>
      </c>
    </row>
    <row r="14" spans="1:14" x14ac:dyDescent="0.25">
      <c r="A14" s="2">
        <v>13</v>
      </c>
      <c r="B14" s="8" t="s">
        <v>31</v>
      </c>
      <c r="C14" s="9">
        <v>10</v>
      </c>
      <c r="D14" s="30">
        <v>0</v>
      </c>
      <c r="E14" s="10">
        <f t="shared" si="0"/>
        <v>1</v>
      </c>
      <c r="F14" s="8" t="s">
        <v>19</v>
      </c>
      <c r="G14" s="9">
        <v>17</v>
      </c>
      <c r="H14" s="30">
        <v>7</v>
      </c>
      <c r="I14" s="10">
        <f t="shared" si="1"/>
        <v>0.58823529411764708</v>
      </c>
      <c r="J14" s="8"/>
      <c r="K14" s="9"/>
      <c r="L14" s="9"/>
      <c r="M14" s="10" t="e">
        <f t="shared" si="2"/>
        <v>#DIV/0!</v>
      </c>
    </row>
    <row r="15" spans="1:14" ht="13.8" x14ac:dyDescent="0.25">
      <c r="A15" s="2">
        <v>14</v>
      </c>
      <c r="B15" s="8"/>
      <c r="C15" s="9"/>
      <c r="D15" s="9"/>
      <c r="E15" s="10"/>
      <c r="F15" s="171" t="s">
        <v>30</v>
      </c>
      <c r="G15" s="9">
        <v>11</v>
      </c>
      <c r="H15" s="30">
        <v>8</v>
      </c>
      <c r="I15" s="10">
        <f t="shared" si="1"/>
        <v>0.27272727272727271</v>
      </c>
      <c r="J15" s="8"/>
      <c r="K15" s="9"/>
      <c r="L15" s="9"/>
      <c r="M15" s="10" t="e">
        <f t="shared" si="2"/>
        <v>#DIV/0!</v>
      </c>
    </row>
    <row r="16" spans="1:14" x14ac:dyDescent="0.25">
      <c r="A16" s="2">
        <v>15</v>
      </c>
      <c r="B16" s="8"/>
      <c r="C16" s="9"/>
      <c r="D16" s="9"/>
      <c r="E16" s="10"/>
      <c r="F16" s="8"/>
      <c r="G16" s="9"/>
      <c r="H16" s="9"/>
      <c r="I16" s="10"/>
      <c r="J16" s="8"/>
      <c r="K16" s="9"/>
      <c r="L16" s="9"/>
      <c r="M16" s="10" t="e">
        <f t="shared" si="2"/>
        <v>#DIV/0!</v>
      </c>
    </row>
    <row r="17" spans="1:13" ht="13.8" thickBot="1" x14ac:dyDescent="0.3">
      <c r="A17" s="3">
        <v>15</v>
      </c>
      <c r="B17" s="12"/>
      <c r="C17" s="13"/>
      <c r="D17" s="13"/>
      <c r="E17" s="14"/>
      <c r="F17" s="15"/>
      <c r="G17" s="13"/>
      <c r="H17" s="13"/>
      <c r="I17" s="16"/>
      <c r="J17" s="15"/>
      <c r="K17" s="13"/>
      <c r="L17" s="17"/>
      <c r="M17" s="16" t="e">
        <f t="shared" si="2"/>
        <v>#DIV/0!</v>
      </c>
    </row>
    <row r="18" spans="1:13" ht="13.8" thickTop="1" x14ac:dyDescent="0.25">
      <c r="A18" s="18" t="s">
        <v>20</v>
      </c>
      <c r="B18" s="19" t="s">
        <v>21</v>
      </c>
      <c r="C18" s="20">
        <f>SUM(C2:C17)</f>
        <v>928</v>
      </c>
      <c r="D18" s="20">
        <f>SUM(D2:D17)</f>
        <v>412</v>
      </c>
      <c r="E18" s="21">
        <f>1-D18/C18</f>
        <v>0.55603448275862066</v>
      </c>
      <c r="F18" s="19" t="s">
        <v>22</v>
      </c>
      <c r="G18" s="20">
        <f>SUM(G2:G17)</f>
        <v>572</v>
      </c>
      <c r="H18" s="20">
        <f>SUM(H2:H17)</f>
        <v>362</v>
      </c>
      <c r="I18" s="21">
        <f>1-H18/G18</f>
        <v>0.36713286713286708</v>
      </c>
      <c r="J18" s="19" t="s">
        <v>23</v>
      </c>
      <c r="K18" s="20">
        <f>SUM(K2:K17)</f>
        <v>0</v>
      </c>
      <c r="L18" s="20">
        <f>SUM(L2:L17)</f>
        <v>0</v>
      </c>
      <c r="M18" s="21" t="e">
        <f>1-L18/K18</f>
        <v>#DIV/0!</v>
      </c>
    </row>
    <row r="19" spans="1:13" x14ac:dyDescent="0.2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</row>
    <row r="20" spans="1:13" x14ac:dyDescent="0.25">
      <c r="A20" s="22"/>
      <c r="B20" s="23" t="s">
        <v>24</v>
      </c>
      <c r="C20" s="165">
        <f>C18+G18+K18</f>
        <v>1500</v>
      </c>
      <c r="D20" s="165"/>
      <c r="E20" s="166"/>
      <c r="F20" s="23" t="s">
        <v>25</v>
      </c>
      <c r="G20" s="167">
        <f>D18+H18+L18</f>
        <v>774</v>
      </c>
      <c r="H20" s="167"/>
      <c r="I20" s="168"/>
      <c r="J20" s="23" t="s">
        <v>26</v>
      </c>
      <c r="K20" s="169">
        <f>1-G20/C20</f>
        <v>0.48399999999999999</v>
      </c>
      <c r="L20" s="169"/>
      <c r="M20" s="170"/>
    </row>
  </sheetData>
  <mergeCells count="3">
    <mergeCell ref="C20:E20"/>
    <mergeCell ref="G20:I20"/>
    <mergeCell ref="K20:M2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考程表</vt:lpstr>
      <vt:lpstr>分析(千舫填入缺考人數)</vt:lpstr>
      <vt:lpstr>'分析(千舫填入缺考人數)'!Print_Area</vt:lpstr>
      <vt:lpstr>考程表!Print_Area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81</dc:creator>
  <cp:lastModifiedBy>User</cp:lastModifiedBy>
  <cp:lastPrinted>2022-07-15T08:01:57Z</cp:lastPrinted>
  <dcterms:created xsi:type="dcterms:W3CDTF">2022-01-27T08:32:45Z</dcterms:created>
  <dcterms:modified xsi:type="dcterms:W3CDTF">2022-07-21T03:48:11Z</dcterms:modified>
</cp:coreProperties>
</file>