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補考\補考行政\"/>
    </mc:Choice>
  </mc:AlternateContent>
  <xr:revisionPtr revIDLastSave="0" documentId="13_ncr:1_{E145B9DE-3BF3-41F7-9E68-3E8FE4C22934}" xr6:coauthVersionLast="47" xr6:coauthVersionMax="47" xr10:uidLastSave="{00000000-0000-0000-0000-000000000000}"/>
  <bookViews>
    <workbookView xWindow="-110" yWindow="-110" windowWidth="19420" windowHeight="10420" firstSheet="7" activeTab="10" xr2:uid="{D8E3CE10-BE36-4D5F-BAA4-0D6AC55BBDA0}"/>
  </bookViews>
  <sheets>
    <sheet name="111-2-學期成績不及格名單-高一" sheetId="1" r:id="rId1"/>
    <sheet name="111-2-學期成績不及格名單-高二" sheetId="2" r:id="rId2"/>
    <sheet name="111B成績不及格補考名單-高二班" sheetId="5" r:id="rId3"/>
    <sheet name="111B不及格補考名單-高一班級" sheetId="3" r:id="rId4"/>
    <sheet name="111B成績不及格補考名單-高二 (公告)" sheetId="6" r:id="rId5"/>
    <sheet name="111B不及格補考名單-高一(公告)" sheetId="4" r:id="rId6"/>
    <sheet name="111B成績不及格補考名單-高二 (分卷))" sheetId="7" r:id="rId7"/>
    <sheet name="111B不及格補考名單-高一(分卷)" sheetId="8" r:id="rId8"/>
    <sheet name="111B成績不及格補考名單-高一二 (分卷)" sheetId="9" r:id="rId9"/>
    <sheet name="工作表1" sheetId="10" r:id="rId10"/>
    <sheet name="111B補考考程" sheetId="11" r:id="rId11"/>
  </sheets>
  <definedNames>
    <definedName name="_xlnm._FilterDatabase" localSheetId="0" hidden="1">'111-2-學期成績不及格名單-高一'!$A$1:$H$1141</definedName>
    <definedName name="_xlnm._FilterDatabase" localSheetId="5" hidden="1">'111B不及格補考名單-高一(公告)'!$A$1:$F$794</definedName>
    <definedName name="_xlnm._FilterDatabase" localSheetId="7" hidden="1">'111B不及格補考名單-高一(分卷)'!$A$1:$I$775</definedName>
    <definedName name="_xlnm._FilterDatabase" localSheetId="3" hidden="1">'111B不及格補考名單-高一班級'!$A$1:$H$775</definedName>
    <definedName name="_xlnm._FilterDatabase" localSheetId="8" hidden="1">'111B成績不及格補考名單-高一二 (分卷)'!$B$1:$J$1600</definedName>
    <definedName name="_xlnm._FilterDatabase" localSheetId="4" hidden="1">'111B成績不及格補考名單-高二 (公告)'!$A$1:$F$624</definedName>
    <definedName name="_xlnm._FilterDatabase" localSheetId="6" hidden="1">'111B成績不及格補考名單-高二 (分卷))'!$A$1:$I$609</definedName>
    <definedName name="_xlnm._FilterDatabase" localSheetId="2" hidden="1">'111B成績不及格補考名單-高二班'!$A$1:$H$605</definedName>
    <definedName name="_xlnm.Print_Area" localSheetId="8">'111B成績不及格補考名單-高一二 (分卷)'!$A$1:$J$1602</definedName>
    <definedName name="_xlnm.Print_Area" localSheetId="6">'111B成績不及格補考名單-高二 (分卷))'!$A$1:$I$609</definedName>
    <definedName name="_xlnm.Print_Area" localSheetId="10">'111B補考考程'!$A$1:$AY$52</definedName>
    <definedName name="_xlnm.Print_Titles" localSheetId="5">'111B不及格補考名單-高一(公告)'!$1:$1</definedName>
    <definedName name="_xlnm.Print_Titles" localSheetId="7">'111B不及格補考名單-高一(分卷)'!$1:$1</definedName>
    <definedName name="_xlnm.Print_Titles" localSheetId="8">'111B成績不及格補考名單-高一二 (分卷)'!$1:$1</definedName>
    <definedName name="_xlnm.Print_Titles" localSheetId="4">'111B成績不及格補考名單-高二 (公告)'!$1:$1</definedName>
    <definedName name="_xlnm.Print_Titles" localSheetId="6">'111B成績不及格補考名單-高二 (分卷))'!$1:$1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5" i="6" l="1"/>
  <c r="B607" i="6"/>
  <c r="B564" i="6"/>
  <c r="B516" i="6"/>
  <c r="B504" i="6"/>
  <c r="B491" i="6"/>
  <c r="B460" i="6"/>
  <c r="B423" i="6"/>
  <c r="B388" i="6"/>
  <c r="B366" i="6"/>
  <c r="B315" i="6"/>
  <c r="B264" i="6"/>
  <c r="B225" i="6"/>
  <c r="B189" i="6"/>
  <c r="B145" i="6"/>
  <c r="B107" i="6"/>
  <c r="B91" i="6"/>
  <c r="B86" i="6"/>
  <c r="B61" i="6"/>
  <c r="B39" i="6"/>
  <c r="B626" i="6" s="1"/>
  <c r="B795" i="4"/>
  <c r="B783" i="4"/>
  <c r="B732" i="4"/>
  <c r="B679" i="4"/>
  <c r="B657" i="4"/>
  <c r="B629" i="4"/>
  <c r="B585" i="4"/>
  <c r="B558" i="4"/>
  <c r="B491" i="4"/>
  <c r="B451" i="4"/>
  <c r="B423" i="4"/>
  <c r="B375" i="4"/>
  <c r="B341" i="4"/>
  <c r="B291" i="4"/>
  <c r="B255" i="4"/>
  <c r="B215" i="4"/>
  <c r="B195" i="4"/>
  <c r="B161" i="4"/>
  <c r="B107" i="4"/>
  <c r="B85" i="4"/>
  <c r="B43" i="4"/>
  <c r="I1601" i="9"/>
  <c r="E1601" i="9"/>
  <c r="I1596" i="9"/>
  <c r="E1596" i="9"/>
  <c r="I1590" i="9"/>
  <c r="E1590" i="9"/>
  <c r="J1601" i="9" s="1"/>
  <c r="I1580" i="9"/>
  <c r="E1580" i="9"/>
  <c r="J1580" i="9" s="1"/>
  <c r="I1573" i="9"/>
  <c r="E1573" i="9"/>
  <c r="I1558" i="9"/>
  <c r="E1558" i="9"/>
  <c r="I1554" i="9"/>
  <c r="E1554" i="9"/>
  <c r="I1543" i="9"/>
  <c r="E1543" i="9"/>
  <c r="I1538" i="9"/>
  <c r="E1538" i="9"/>
  <c r="I1531" i="9"/>
  <c r="E1531" i="9"/>
  <c r="I1523" i="9"/>
  <c r="E1523" i="9"/>
  <c r="I1517" i="9"/>
  <c r="E1517" i="9"/>
  <c r="I1510" i="9"/>
  <c r="E1510" i="9"/>
  <c r="I1498" i="9"/>
  <c r="E1498" i="9"/>
  <c r="I1491" i="9"/>
  <c r="E1491" i="9"/>
  <c r="I1476" i="9"/>
  <c r="E1476" i="9"/>
  <c r="I1463" i="9"/>
  <c r="E1463" i="9"/>
  <c r="I1456" i="9"/>
  <c r="E1456" i="9"/>
  <c r="I1442" i="9"/>
  <c r="E1442" i="9"/>
  <c r="I1433" i="9"/>
  <c r="E1433" i="9"/>
  <c r="I1416" i="9"/>
  <c r="E1416" i="9"/>
  <c r="I1407" i="9"/>
  <c r="E1407" i="9"/>
  <c r="I1394" i="9"/>
  <c r="E1394" i="9"/>
  <c r="I1389" i="9"/>
  <c r="E1389" i="9"/>
  <c r="I1381" i="9"/>
  <c r="E1381" i="9"/>
  <c r="I1372" i="9"/>
  <c r="E1372" i="9"/>
  <c r="I1369" i="9"/>
  <c r="E1369" i="9"/>
  <c r="I1355" i="9"/>
  <c r="E1355" i="9"/>
  <c r="I1345" i="9"/>
  <c r="E1345" i="9"/>
  <c r="I1343" i="9"/>
  <c r="E1343" i="9"/>
  <c r="I1337" i="9"/>
  <c r="E1337" i="9"/>
  <c r="I1325" i="9"/>
  <c r="E1325" i="9"/>
  <c r="I1319" i="9"/>
  <c r="E1319" i="9"/>
  <c r="I1317" i="9"/>
  <c r="E1317" i="9"/>
  <c r="I1301" i="9"/>
  <c r="E1301" i="9"/>
  <c r="I1291" i="9"/>
  <c r="E1291" i="9"/>
  <c r="I1289" i="9"/>
  <c r="E1289" i="9"/>
  <c r="I1287" i="9"/>
  <c r="E1287" i="9"/>
  <c r="I1284" i="9"/>
  <c r="E1284" i="9"/>
  <c r="I1273" i="9"/>
  <c r="E1273" i="9"/>
  <c r="I1262" i="9"/>
  <c r="E1262" i="9"/>
  <c r="I1260" i="9"/>
  <c r="E1260" i="9"/>
  <c r="I1253" i="9"/>
  <c r="E1253" i="9"/>
  <c r="I1249" i="9"/>
  <c r="E1249" i="9"/>
  <c r="I1246" i="9"/>
  <c r="E1246" i="9"/>
  <c r="I1239" i="9"/>
  <c r="E1239" i="9"/>
  <c r="I1229" i="9"/>
  <c r="E1229" i="9"/>
  <c r="I1226" i="9"/>
  <c r="E1226" i="9"/>
  <c r="I1222" i="9"/>
  <c r="E1222" i="9"/>
  <c r="I1215" i="9"/>
  <c r="E1215" i="9"/>
  <c r="I1213" i="9"/>
  <c r="E1213" i="9"/>
  <c r="I1209" i="9"/>
  <c r="E1209" i="9"/>
  <c r="I1201" i="9"/>
  <c r="E1201" i="9"/>
  <c r="I1191" i="9"/>
  <c r="E1191" i="9"/>
  <c r="I1180" i="9"/>
  <c r="E1180" i="9"/>
  <c r="I1169" i="9"/>
  <c r="E1169" i="9"/>
  <c r="I1157" i="9"/>
  <c r="E1157" i="9"/>
  <c r="I1151" i="9"/>
  <c r="E1151" i="9"/>
  <c r="I1142" i="9"/>
  <c r="E1142" i="9"/>
  <c r="I1126" i="9"/>
  <c r="E1126" i="9"/>
  <c r="I1118" i="9"/>
  <c r="E1118" i="9"/>
  <c r="I1101" i="9"/>
  <c r="E1101" i="9"/>
  <c r="I1096" i="9"/>
  <c r="E1096" i="9"/>
  <c r="I1085" i="9"/>
  <c r="E1085" i="9"/>
  <c r="I1081" i="9"/>
  <c r="E1081" i="9"/>
  <c r="I1075" i="9"/>
  <c r="E1075" i="9"/>
  <c r="I1065" i="9"/>
  <c r="E1065" i="9"/>
  <c r="I1063" i="9"/>
  <c r="E1063" i="9"/>
  <c r="I1061" i="9"/>
  <c r="E1061" i="9"/>
  <c r="I1058" i="9"/>
  <c r="E1058" i="9"/>
  <c r="I1056" i="9"/>
  <c r="E1056" i="9"/>
  <c r="I1054" i="9"/>
  <c r="E1054" i="9"/>
  <c r="I1052" i="9"/>
  <c r="E1052" i="9"/>
  <c r="I1047" i="9"/>
  <c r="E1047" i="9"/>
  <c r="I1045" i="9"/>
  <c r="E1045" i="9"/>
  <c r="I1043" i="9"/>
  <c r="E1043" i="9"/>
  <c r="I1041" i="9"/>
  <c r="E1041" i="9"/>
  <c r="I1039" i="9"/>
  <c r="E1039" i="9"/>
  <c r="I1031" i="9"/>
  <c r="E1031" i="9"/>
  <c r="I1025" i="9"/>
  <c r="E1025" i="9"/>
  <c r="I1022" i="9"/>
  <c r="E1022" i="9"/>
  <c r="I1018" i="9"/>
  <c r="E1018" i="9"/>
  <c r="I1015" i="9"/>
  <c r="E1015" i="9"/>
  <c r="I1011" i="9"/>
  <c r="E1011" i="9"/>
  <c r="I1009" i="9"/>
  <c r="E1009" i="9"/>
  <c r="I1004" i="9"/>
  <c r="E1004" i="9"/>
  <c r="I1002" i="9"/>
  <c r="E1002" i="9"/>
  <c r="I995" i="9"/>
  <c r="E995" i="9"/>
  <c r="I993" i="9"/>
  <c r="E993" i="9"/>
  <c r="I989" i="9"/>
  <c r="E989" i="9"/>
  <c r="I987" i="9"/>
  <c r="E987" i="9"/>
  <c r="I985" i="9"/>
  <c r="E985" i="9"/>
  <c r="I983" i="9"/>
  <c r="E983" i="9"/>
  <c r="I981" i="9"/>
  <c r="E981" i="9"/>
  <c r="I979" i="9"/>
  <c r="E979" i="9"/>
  <c r="I977" i="9"/>
  <c r="E977" i="9"/>
  <c r="I973" i="9"/>
  <c r="E973" i="9"/>
  <c r="I970" i="9"/>
  <c r="E970" i="9"/>
  <c r="I967" i="9"/>
  <c r="E967" i="9"/>
  <c r="I964" i="9"/>
  <c r="E964" i="9"/>
  <c r="I962" i="9"/>
  <c r="E962" i="9"/>
  <c r="I960" i="9"/>
  <c r="E960" i="9"/>
  <c r="I957" i="9"/>
  <c r="E957" i="9"/>
  <c r="I954" i="9"/>
  <c r="E954" i="9"/>
  <c r="I952" i="9"/>
  <c r="E952" i="9"/>
  <c r="I948" i="9"/>
  <c r="E948" i="9"/>
  <c r="I946" i="9"/>
  <c r="E946" i="9"/>
  <c r="I943" i="9"/>
  <c r="E943" i="9"/>
  <c r="I933" i="9"/>
  <c r="E933" i="9"/>
  <c r="I916" i="9"/>
  <c r="E916" i="9"/>
  <c r="I912" i="9"/>
  <c r="E912" i="9"/>
  <c r="I903" i="9"/>
  <c r="E903" i="9"/>
  <c r="I895" i="9"/>
  <c r="E895" i="9"/>
  <c r="I888" i="9"/>
  <c r="E888" i="9"/>
  <c r="I877" i="9"/>
  <c r="E877" i="9"/>
  <c r="I865" i="9"/>
  <c r="E865" i="9"/>
  <c r="I858" i="9"/>
  <c r="E858" i="9"/>
  <c r="I848" i="9"/>
  <c r="E848" i="9"/>
  <c r="I839" i="9"/>
  <c r="E839" i="9"/>
  <c r="I828" i="9"/>
  <c r="E828" i="9"/>
  <c r="I815" i="9"/>
  <c r="E815" i="9"/>
  <c r="I808" i="9"/>
  <c r="E808" i="9"/>
  <c r="I805" i="9"/>
  <c r="E805" i="9"/>
  <c r="I803" i="9"/>
  <c r="E803" i="9"/>
  <c r="I793" i="9"/>
  <c r="E793" i="9"/>
  <c r="I789" i="9"/>
  <c r="E789" i="9"/>
  <c r="I781" i="9"/>
  <c r="E781" i="9"/>
  <c r="I770" i="9"/>
  <c r="E770" i="9"/>
  <c r="I768" i="9"/>
  <c r="E768" i="9"/>
  <c r="I766" i="9"/>
  <c r="E766" i="9"/>
  <c r="I756" i="9"/>
  <c r="E756" i="9"/>
  <c r="I748" i="9"/>
  <c r="E748" i="9"/>
  <c r="I742" i="9"/>
  <c r="E742" i="9"/>
  <c r="I739" i="9"/>
  <c r="E739" i="9"/>
  <c r="I725" i="9"/>
  <c r="E725" i="9"/>
  <c r="I718" i="9"/>
  <c r="E718" i="9"/>
  <c r="I710" i="9"/>
  <c r="E710" i="9"/>
  <c r="I704" i="9"/>
  <c r="E704" i="9"/>
  <c r="I699" i="9"/>
  <c r="E699" i="9"/>
  <c r="I682" i="9"/>
  <c r="E682" i="9"/>
  <c r="I675" i="9"/>
  <c r="E675" i="9"/>
  <c r="I672" i="9"/>
  <c r="E672" i="9"/>
  <c r="I668" i="9"/>
  <c r="E668" i="9"/>
  <c r="I659" i="9"/>
  <c r="E659" i="9"/>
  <c r="I654" i="9"/>
  <c r="E654" i="9"/>
  <c r="I644" i="9"/>
  <c r="E644" i="9"/>
  <c r="I634" i="9"/>
  <c r="E634" i="9"/>
  <c r="I620" i="9"/>
  <c r="E620" i="9"/>
  <c r="I613" i="9"/>
  <c r="E613" i="9"/>
  <c r="I607" i="9"/>
  <c r="E607" i="9"/>
  <c r="I596" i="9"/>
  <c r="E596" i="9"/>
  <c r="I584" i="9"/>
  <c r="E584" i="9"/>
  <c r="I575" i="9"/>
  <c r="E575" i="9"/>
  <c r="I566" i="9"/>
  <c r="E566" i="9"/>
  <c r="I558" i="9"/>
  <c r="E558" i="9"/>
  <c r="I556" i="9"/>
  <c r="E556" i="9"/>
  <c r="I544" i="9"/>
  <c r="E544" i="9"/>
  <c r="I537" i="9"/>
  <c r="E537" i="9"/>
  <c r="I523" i="9"/>
  <c r="E523" i="9"/>
  <c r="I513" i="9"/>
  <c r="E513" i="9"/>
  <c r="I505" i="9"/>
  <c r="E505" i="9"/>
  <c r="I495" i="9"/>
  <c r="E495" i="9"/>
  <c r="I487" i="9"/>
  <c r="E487" i="9"/>
  <c r="I484" i="9"/>
  <c r="E484" i="9"/>
  <c r="I480" i="9"/>
  <c r="E480" i="9"/>
  <c r="I476" i="9"/>
  <c r="E476" i="9"/>
  <c r="I460" i="9"/>
  <c r="E460" i="9"/>
  <c r="I448" i="9"/>
  <c r="E448" i="9"/>
  <c r="I437" i="9"/>
  <c r="E437" i="9"/>
  <c r="I424" i="9"/>
  <c r="E424" i="9"/>
  <c r="I417" i="9"/>
  <c r="E417" i="9"/>
  <c r="I404" i="9"/>
  <c r="E404" i="9"/>
  <c r="I393" i="9"/>
  <c r="E393" i="9"/>
  <c r="I388" i="9"/>
  <c r="E388" i="9"/>
  <c r="I378" i="9"/>
  <c r="E378" i="9"/>
  <c r="I364" i="9"/>
  <c r="E364" i="9"/>
  <c r="I353" i="9"/>
  <c r="E353" i="9"/>
  <c r="I345" i="9"/>
  <c r="E345" i="9"/>
  <c r="I336" i="9"/>
  <c r="E336" i="9"/>
  <c r="I332" i="9"/>
  <c r="E332" i="9"/>
  <c r="I318" i="9"/>
  <c r="E318" i="9"/>
  <c r="I314" i="9"/>
  <c r="E314" i="9"/>
  <c r="I305" i="9"/>
  <c r="E305" i="9"/>
  <c r="I291" i="9"/>
  <c r="E291" i="9"/>
  <c r="I276" i="9"/>
  <c r="E276" i="9"/>
  <c r="I268" i="9"/>
  <c r="E268" i="9"/>
  <c r="I257" i="9"/>
  <c r="E257" i="9"/>
  <c r="I249" i="9"/>
  <c r="E249" i="9"/>
  <c r="I242" i="9"/>
  <c r="E242" i="9"/>
  <c r="I231" i="9"/>
  <c r="E231" i="9"/>
  <c r="I228" i="9"/>
  <c r="E228" i="9"/>
  <c r="I226" i="9"/>
  <c r="E226" i="9"/>
  <c r="I221" i="9"/>
  <c r="E221" i="9"/>
  <c r="I211" i="9"/>
  <c r="E211" i="9"/>
  <c r="I209" i="9"/>
  <c r="E209" i="9"/>
  <c r="I204" i="9"/>
  <c r="E204" i="9"/>
  <c r="I197" i="9"/>
  <c r="E197" i="9"/>
  <c r="I189" i="9"/>
  <c r="E189" i="9"/>
  <c r="I182" i="9"/>
  <c r="E182" i="9"/>
  <c r="I172" i="9"/>
  <c r="E172" i="9"/>
  <c r="I169" i="9"/>
  <c r="E169" i="9"/>
  <c r="I156" i="9"/>
  <c r="E156" i="9"/>
  <c r="I142" i="9"/>
  <c r="E142" i="9"/>
  <c r="I133" i="9"/>
  <c r="E133" i="9"/>
  <c r="I123" i="9"/>
  <c r="E123" i="9"/>
  <c r="I117" i="9"/>
  <c r="E117" i="9"/>
  <c r="I113" i="9"/>
  <c r="E113" i="9"/>
  <c r="I101" i="9"/>
  <c r="E101" i="9"/>
  <c r="I92" i="9"/>
  <c r="E92" i="9"/>
  <c r="I78" i="9"/>
  <c r="E78" i="9"/>
  <c r="I76" i="9"/>
  <c r="E76" i="9"/>
  <c r="I68" i="9"/>
  <c r="E68" i="9"/>
  <c r="I60" i="9"/>
  <c r="E60" i="9"/>
  <c r="I54" i="9"/>
  <c r="E54" i="9"/>
  <c r="I46" i="9"/>
  <c r="E46" i="9"/>
  <c r="I42" i="9"/>
  <c r="E42" i="9"/>
  <c r="I40" i="9"/>
  <c r="E40" i="9"/>
  <c r="I34" i="9"/>
  <c r="E34" i="9"/>
  <c r="I29" i="9"/>
  <c r="E29" i="9"/>
  <c r="I26" i="9"/>
  <c r="E26" i="9"/>
  <c r="I16" i="9"/>
  <c r="E16" i="9"/>
  <c r="I4" i="9"/>
  <c r="E4" i="9"/>
  <c r="D1247" i="9"/>
  <c r="D1248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2" i="8"/>
  <c r="D1038" i="9"/>
  <c r="D1037" i="9"/>
  <c r="D1036" i="9"/>
  <c r="D1035" i="9"/>
  <c r="D1034" i="9"/>
  <c r="D1033" i="9"/>
  <c r="D1032" i="9"/>
  <c r="D1030" i="9"/>
  <c r="D1029" i="9"/>
  <c r="D1028" i="9"/>
  <c r="D1027" i="9"/>
  <c r="D1026" i="9"/>
  <c r="D1024" i="9"/>
  <c r="D1023" i="9"/>
  <c r="D1021" i="9"/>
  <c r="D1020" i="9"/>
  <c r="D1019" i="9"/>
  <c r="D1017" i="9"/>
  <c r="D1016" i="9"/>
  <c r="D1014" i="9"/>
  <c r="D1013" i="9"/>
  <c r="D1012" i="9"/>
  <c r="D1010" i="9"/>
  <c r="D1008" i="9"/>
  <c r="D1007" i="9"/>
  <c r="D1006" i="9"/>
  <c r="D1005" i="9"/>
  <c r="D1228" i="9"/>
  <c r="D1227" i="9"/>
  <c r="D1225" i="9"/>
  <c r="D1224" i="9"/>
  <c r="D1223" i="9"/>
  <c r="D1261" i="9"/>
  <c r="D1259" i="9"/>
  <c r="D1258" i="9"/>
  <c r="D1257" i="9"/>
  <c r="D1256" i="9"/>
  <c r="D1255" i="9"/>
  <c r="D1254" i="9"/>
  <c r="D1221" i="9"/>
  <c r="D1220" i="9"/>
  <c r="D1219" i="9"/>
  <c r="D1218" i="9"/>
  <c r="D1217" i="9"/>
  <c r="D1216" i="9"/>
  <c r="D1336" i="9"/>
  <c r="D1335" i="9"/>
  <c r="D1334" i="9"/>
  <c r="D1333" i="9"/>
  <c r="D1332" i="9"/>
  <c r="D1331" i="9"/>
  <c r="D1330" i="9"/>
  <c r="D1329" i="9"/>
  <c r="D1328" i="9"/>
  <c r="D1327" i="9"/>
  <c r="D1326" i="9"/>
  <c r="D1324" i="9"/>
  <c r="D1323" i="9"/>
  <c r="D1322" i="9"/>
  <c r="D1321" i="9"/>
  <c r="D1320" i="9"/>
  <c r="D1388" i="9"/>
  <c r="D1387" i="9"/>
  <c r="D1386" i="9"/>
  <c r="D1385" i="9"/>
  <c r="D1384" i="9"/>
  <c r="D1383" i="9"/>
  <c r="D1382" i="9"/>
  <c r="D1380" i="9"/>
  <c r="D1379" i="9"/>
  <c r="D1378" i="9"/>
  <c r="D1377" i="9"/>
  <c r="D1376" i="9"/>
  <c r="D1375" i="9"/>
  <c r="D1374" i="9"/>
  <c r="D1373" i="9"/>
  <c r="D1371" i="9"/>
  <c r="D1370" i="9"/>
  <c r="D1252" i="9"/>
  <c r="D1251" i="9"/>
  <c r="D1250" i="9"/>
  <c r="D1214" i="9"/>
  <c r="D1212" i="9"/>
  <c r="D1211" i="9"/>
  <c r="D1210" i="9"/>
  <c r="D1318" i="9"/>
  <c r="D1368" i="9"/>
  <c r="D1367" i="9"/>
  <c r="D1366" i="9"/>
  <c r="D1365" i="9"/>
  <c r="D1364" i="9"/>
  <c r="D1363" i="9"/>
  <c r="D1362" i="9"/>
  <c r="D1361" i="9"/>
  <c r="D1360" i="9"/>
  <c r="D1359" i="9"/>
  <c r="D1358" i="9"/>
  <c r="D1357" i="9"/>
  <c r="D1356" i="9"/>
  <c r="D1354" i="9"/>
  <c r="D1353" i="9"/>
  <c r="D1352" i="9"/>
  <c r="D1351" i="9"/>
  <c r="D1350" i="9"/>
  <c r="D1349" i="9"/>
  <c r="D1348" i="9"/>
  <c r="D1347" i="9"/>
  <c r="D1346" i="9"/>
  <c r="D1344" i="9"/>
  <c r="D181" i="9"/>
  <c r="D180" i="9"/>
  <c r="D179" i="9"/>
  <c r="D178" i="9"/>
  <c r="D177" i="9"/>
  <c r="D176" i="9"/>
  <c r="D175" i="9"/>
  <c r="D174" i="9"/>
  <c r="D173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41" i="9"/>
  <c r="D39" i="9"/>
  <c r="D38" i="9"/>
  <c r="D37" i="9"/>
  <c r="D36" i="9"/>
  <c r="D35" i="9"/>
  <c r="D141" i="9"/>
  <c r="D140" i="9"/>
  <c r="D139" i="9"/>
  <c r="D138" i="9"/>
  <c r="D137" i="9"/>
  <c r="D136" i="9"/>
  <c r="D135" i="9"/>
  <c r="D134" i="9"/>
  <c r="D132" i="9"/>
  <c r="D131" i="9"/>
  <c r="D130" i="9"/>
  <c r="D129" i="9"/>
  <c r="D128" i="9"/>
  <c r="D127" i="9"/>
  <c r="D126" i="9"/>
  <c r="D125" i="9"/>
  <c r="D124" i="9"/>
  <c r="D122" i="9"/>
  <c r="D121" i="9"/>
  <c r="D120" i="9"/>
  <c r="D119" i="9"/>
  <c r="D118" i="9"/>
  <c r="D116" i="9"/>
  <c r="D115" i="9"/>
  <c r="D114" i="9"/>
  <c r="D112" i="9"/>
  <c r="D111" i="9"/>
  <c r="D110" i="9"/>
  <c r="D109" i="9"/>
  <c r="D108" i="9"/>
  <c r="D107" i="9"/>
  <c r="D106" i="9"/>
  <c r="D105" i="9"/>
  <c r="D104" i="9"/>
  <c r="D103" i="9"/>
  <c r="D102" i="9"/>
  <c r="D100" i="9"/>
  <c r="D99" i="9"/>
  <c r="D98" i="9"/>
  <c r="D97" i="9"/>
  <c r="D96" i="9"/>
  <c r="D95" i="9"/>
  <c r="D94" i="9"/>
  <c r="D93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7" i="9"/>
  <c r="D75" i="9"/>
  <c r="D74" i="9"/>
  <c r="D73" i="9"/>
  <c r="D72" i="9"/>
  <c r="D71" i="9"/>
  <c r="D70" i="9"/>
  <c r="D69" i="9"/>
  <c r="D67" i="9"/>
  <c r="D66" i="9"/>
  <c r="D65" i="9"/>
  <c r="D64" i="9"/>
  <c r="D63" i="9"/>
  <c r="D62" i="9"/>
  <c r="D61" i="9"/>
  <c r="D33" i="9"/>
  <c r="D32" i="9"/>
  <c r="D31" i="9"/>
  <c r="D30" i="9"/>
  <c r="D28" i="9"/>
  <c r="D27" i="9"/>
  <c r="D59" i="9"/>
  <c r="D58" i="9"/>
  <c r="D57" i="9"/>
  <c r="D56" i="9"/>
  <c r="D55" i="9"/>
  <c r="D53" i="9"/>
  <c r="D52" i="9"/>
  <c r="D51" i="9"/>
  <c r="D50" i="9"/>
  <c r="D49" i="9"/>
  <c r="D48" i="9"/>
  <c r="D47" i="9"/>
  <c r="D45" i="9"/>
  <c r="D44" i="9"/>
  <c r="D43" i="9"/>
  <c r="D1516" i="9"/>
  <c r="D1515" i="9"/>
  <c r="D1514" i="9"/>
  <c r="D1513" i="9"/>
  <c r="D1512" i="9"/>
  <c r="D1511" i="9"/>
  <c r="D1509" i="9"/>
  <c r="D1508" i="9"/>
  <c r="D1507" i="9"/>
  <c r="D1506" i="9"/>
  <c r="D1505" i="9"/>
  <c r="D1504" i="9"/>
  <c r="D1503" i="9"/>
  <c r="D1502" i="9"/>
  <c r="D1501" i="9"/>
  <c r="D1500" i="9"/>
  <c r="D1499" i="9"/>
  <c r="D1497" i="9"/>
  <c r="D1496" i="9"/>
  <c r="D1495" i="9"/>
  <c r="D1494" i="9"/>
  <c r="D1493" i="9"/>
  <c r="D1492" i="9"/>
  <c r="D1490" i="9"/>
  <c r="D1489" i="9"/>
  <c r="D1488" i="9"/>
  <c r="D1487" i="9"/>
  <c r="D1486" i="9"/>
  <c r="D1485" i="9"/>
  <c r="D1484" i="9"/>
  <c r="D1483" i="9"/>
  <c r="D1482" i="9"/>
  <c r="D1481" i="9"/>
  <c r="D1480" i="9"/>
  <c r="D1479" i="9"/>
  <c r="D1478" i="9"/>
  <c r="D1477" i="9"/>
  <c r="D1475" i="9"/>
  <c r="D1474" i="9"/>
  <c r="D1473" i="9"/>
  <c r="D1472" i="9"/>
  <c r="D1471" i="9"/>
  <c r="D1470" i="9"/>
  <c r="D1469" i="9"/>
  <c r="D1468" i="9"/>
  <c r="D1467" i="9"/>
  <c r="D1466" i="9"/>
  <c r="D1465" i="9"/>
  <c r="D1464" i="9"/>
  <c r="D1462" i="9"/>
  <c r="D1461" i="9"/>
  <c r="D1460" i="9"/>
  <c r="D1459" i="9"/>
  <c r="D1458" i="9"/>
  <c r="D1457" i="9"/>
  <c r="D1579" i="9"/>
  <c r="D1578" i="9"/>
  <c r="D1577" i="9"/>
  <c r="D1576" i="9"/>
  <c r="D1575" i="9"/>
  <c r="D1574" i="9"/>
  <c r="D769" i="9"/>
  <c r="D765" i="9"/>
  <c r="D764" i="9"/>
  <c r="D763" i="9"/>
  <c r="D762" i="9"/>
  <c r="D761" i="9"/>
  <c r="D760" i="9"/>
  <c r="D759" i="9"/>
  <c r="D758" i="9"/>
  <c r="D757" i="9"/>
  <c r="D755" i="9"/>
  <c r="D754" i="9"/>
  <c r="D753" i="9"/>
  <c r="D752" i="9"/>
  <c r="D751" i="9"/>
  <c r="D750" i="9"/>
  <c r="D749" i="9"/>
  <c r="D747" i="9"/>
  <c r="D746" i="9"/>
  <c r="D745" i="9"/>
  <c r="D744" i="9"/>
  <c r="D743" i="9"/>
  <c r="D741" i="9"/>
  <c r="D740" i="9"/>
  <c r="D738" i="9"/>
  <c r="D737" i="9"/>
  <c r="D736" i="9"/>
  <c r="D735" i="9"/>
  <c r="D734" i="9"/>
  <c r="D733" i="9"/>
  <c r="D732" i="9"/>
  <c r="D731" i="9"/>
  <c r="D730" i="9"/>
  <c r="D729" i="9"/>
  <c r="D728" i="9"/>
  <c r="D727" i="9"/>
  <c r="D726" i="9"/>
  <c r="D724" i="9"/>
  <c r="D723" i="9"/>
  <c r="D722" i="9"/>
  <c r="D721" i="9"/>
  <c r="D720" i="9"/>
  <c r="D719" i="9"/>
  <c r="D717" i="9"/>
  <c r="D716" i="9"/>
  <c r="D715" i="9"/>
  <c r="D714" i="9"/>
  <c r="D713" i="9"/>
  <c r="D712" i="9"/>
  <c r="D711" i="9"/>
  <c r="D709" i="9"/>
  <c r="D708" i="9"/>
  <c r="D707" i="9"/>
  <c r="D706" i="9"/>
  <c r="D705" i="9"/>
  <c r="D703" i="9"/>
  <c r="D702" i="9"/>
  <c r="D701" i="9"/>
  <c r="D700" i="9"/>
  <c r="D698" i="9"/>
  <c r="D697" i="9"/>
  <c r="D696" i="9"/>
  <c r="D695" i="9"/>
  <c r="D694" i="9"/>
  <c r="D693" i="9"/>
  <c r="D692" i="9"/>
  <c r="D691" i="9"/>
  <c r="D690" i="9"/>
  <c r="D689" i="9"/>
  <c r="D688" i="9"/>
  <c r="D687" i="9"/>
  <c r="D686" i="9"/>
  <c r="D685" i="9"/>
  <c r="D684" i="9"/>
  <c r="D683" i="9"/>
  <c r="D681" i="9"/>
  <c r="D680" i="9"/>
  <c r="D679" i="9"/>
  <c r="D678" i="9"/>
  <c r="D677" i="9"/>
  <c r="D676" i="9"/>
  <c r="D674" i="9"/>
  <c r="D673" i="9"/>
  <c r="D671" i="9"/>
  <c r="D670" i="9"/>
  <c r="D669" i="9"/>
  <c r="D667" i="9"/>
  <c r="D666" i="9"/>
  <c r="D665" i="9"/>
  <c r="D664" i="9"/>
  <c r="D663" i="9"/>
  <c r="D662" i="9"/>
  <c r="D661" i="9"/>
  <c r="D660" i="9"/>
  <c r="D658" i="9"/>
  <c r="D657" i="9"/>
  <c r="D656" i="9"/>
  <c r="D655" i="9"/>
  <c r="D653" i="9"/>
  <c r="D652" i="9"/>
  <c r="D651" i="9"/>
  <c r="D650" i="9"/>
  <c r="D649" i="9"/>
  <c r="D648" i="9"/>
  <c r="D647" i="9"/>
  <c r="D646" i="9"/>
  <c r="D645" i="9"/>
  <c r="D643" i="9"/>
  <c r="D642" i="9"/>
  <c r="D641" i="9"/>
  <c r="D640" i="9"/>
  <c r="D639" i="9"/>
  <c r="D638" i="9"/>
  <c r="D637" i="9"/>
  <c r="D636" i="9"/>
  <c r="D635" i="9"/>
  <c r="D633" i="9"/>
  <c r="D632" i="9"/>
  <c r="D631" i="9"/>
  <c r="D630" i="9"/>
  <c r="D629" i="9"/>
  <c r="D628" i="9"/>
  <c r="D627" i="9"/>
  <c r="D626" i="9"/>
  <c r="D625" i="9"/>
  <c r="D624" i="9"/>
  <c r="D623" i="9"/>
  <c r="D622" i="9"/>
  <c r="D621" i="9"/>
  <c r="D619" i="9"/>
  <c r="D618" i="9"/>
  <c r="D617" i="9"/>
  <c r="D616" i="9"/>
  <c r="D615" i="9"/>
  <c r="D614" i="9"/>
  <c r="D606" i="9"/>
  <c r="D605" i="9"/>
  <c r="D604" i="9"/>
  <c r="D603" i="9"/>
  <c r="D602" i="9"/>
  <c r="D601" i="9"/>
  <c r="D600" i="9"/>
  <c r="D599" i="9"/>
  <c r="D598" i="9"/>
  <c r="D597" i="9"/>
  <c r="D595" i="9"/>
  <c r="D594" i="9"/>
  <c r="D593" i="9"/>
  <c r="D592" i="9"/>
  <c r="D591" i="9"/>
  <c r="D590" i="9"/>
  <c r="D589" i="9"/>
  <c r="D588" i="9"/>
  <c r="D587" i="9"/>
  <c r="D586" i="9"/>
  <c r="D585" i="9"/>
  <c r="D583" i="9"/>
  <c r="D582" i="9"/>
  <c r="D581" i="9"/>
  <c r="D580" i="9"/>
  <c r="D579" i="9"/>
  <c r="D578" i="9"/>
  <c r="D577" i="9"/>
  <c r="D576" i="9"/>
  <c r="D574" i="9"/>
  <c r="D573" i="9"/>
  <c r="D572" i="9"/>
  <c r="D571" i="9"/>
  <c r="D570" i="9"/>
  <c r="D569" i="9"/>
  <c r="D568" i="9"/>
  <c r="D567" i="9"/>
  <c r="D565" i="9"/>
  <c r="D564" i="9"/>
  <c r="D563" i="9"/>
  <c r="D562" i="9"/>
  <c r="D561" i="9"/>
  <c r="D560" i="9"/>
  <c r="D559" i="9"/>
  <c r="D557" i="9"/>
  <c r="D555" i="9"/>
  <c r="D554" i="9"/>
  <c r="D553" i="9"/>
  <c r="D552" i="9"/>
  <c r="D551" i="9"/>
  <c r="D550" i="9"/>
  <c r="D549" i="9"/>
  <c r="D548" i="9"/>
  <c r="D547" i="9"/>
  <c r="D546" i="9"/>
  <c r="D545" i="9"/>
  <c r="D543" i="9"/>
  <c r="D542" i="9"/>
  <c r="D541" i="9"/>
  <c r="D540" i="9"/>
  <c r="D539" i="9"/>
  <c r="D538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2" i="9"/>
  <c r="D521" i="9"/>
  <c r="D520" i="9"/>
  <c r="D519" i="9"/>
  <c r="D518" i="9"/>
  <c r="D517" i="9"/>
  <c r="D516" i="9"/>
  <c r="D515" i="9"/>
  <c r="D514" i="9"/>
  <c r="D512" i="9"/>
  <c r="D511" i="9"/>
  <c r="D510" i="9"/>
  <c r="D509" i="9"/>
  <c r="D508" i="9"/>
  <c r="D507" i="9"/>
  <c r="D506" i="9"/>
  <c r="D504" i="9"/>
  <c r="D503" i="9"/>
  <c r="D502" i="9"/>
  <c r="D501" i="9"/>
  <c r="D500" i="9"/>
  <c r="D499" i="9"/>
  <c r="D498" i="9"/>
  <c r="D497" i="9"/>
  <c r="D496" i="9"/>
  <c r="D494" i="9"/>
  <c r="D493" i="9"/>
  <c r="D492" i="9"/>
  <c r="D491" i="9"/>
  <c r="D490" i="9"/>
  <c r="D489" i="9"/>
  <c r="D488" i="9"/>
  <c r="D486" i="9"/>
  <c r="D485" i="9"/>
  <c r="D483" i="9"/>
  <c r="D482" i="9"/>
  <c r="D481" i="9"/>
  <c r="D479" i="9"/>
  <c r="D478" i="9"/>
  <c r="D477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1288" i="9"/>
  <c r="D1286" i="9"/>
  <c r="D1285" i="9"/>
  <c r="D1595" i="9"/>
  <c r="D1594" i="9"/>
  <c r="D1593" i="9"/>
  <c r="D1592" i="9"/>
  <c r="D1591" i="9"/>
  <c r="D1589" i="9"/>
  <c r="D1588" i="9"/>
  <c r="D1587" i="9"/>
  <c r="D1586" i="9"/>
  <c r="D961" i="9"/>
  <c r="D976" i="9"/>
  <c r="D975" i="9"/>
  <c r="D974" i="9"/>
  <c r="D972" i="9"/>
  <c r="D971" i="9"/>
  <c r="D969" i="9"/>
  <c r="D968" i="9"/>
  <c r="D966" i="9"/>
  <c r="D965" i="9"/>
  <c r="D963" i="9"/>
  <c r="D1064" i="9"/>
  <c r="D1062" i="9"/>
  <c r="D1060" i="9"/>
  <c r="D1059" i="9"/>
  <c r="D1057" i="9"/>
  <c r="D1055" i="9"/>
  <c r="D1053" i="9"/>
  <c r="D1051" i="9"/>
  <c r="D1050" i="9"/>
  <c r="D1049" i="9"/>
  <c r="D1048" i="9"/>
  <c r="D1046" i="9"/>
  <c r="D1044" i="9"/>
  <c r="D959" i="9"/>
  <c r="D958" i="9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2" i="7"/>
  <c r="B796" i="4" l="1"/>
  <c r="J257" i="9"/>
  <c r="J668" i="9"/>
  <c r="J1284" i="9"/>
  <c r="J1301" i="9"/>
  <c r="J78" i="9"/>
  <c r="J211" i="9"/>
  <c r="J495" i="9"/>
  <c r="J537" i="9"/>
  <c r="J766" i="9"/>
  <c r="J1004" i="9"/>
  <c r="J1039" i="9"/>
  <c r="J1343" i="9"/>
  <c r="J1372" i="9"/>
  <c r="J1456" i="9"/>
  <c r="J1498" i="9"/>
  <c r="J123" i="9"/>
  <c r="J169" i="9"/>
  <c r="J276" i="9"/>
  <c r="J318" i="9"/>
  <c r="J815" i="9"/>
  <c r="J858" i="9"/>
  <c r="J1246" i="9"/>
  <c r="J1416" i="9"/>
  <c r="J1538" i="9"/>
  <c r="J42" i="9"/>
  <c r="J364" i="9"/>
  <c r="J404" i="9"/>
  <c r="J448" i="9"/>
  <c r="J584" i="9"/>
  <c r="J620" i="9"/>
  <c r="J718" i="9"/>
  <c r="J903" i="9"/>
  <c r="J943" i="9"/>
  <c r="J977" i="9"/>
  <c r="J1085" i="9"/>
  <c r="J1126" i="9"/>
  <c r="J1169" i="9"/>
  <c r="J1209" i="9"/>
  <c r="E1602" i="9"/>
  <c r="I1602" i="9"/>
</calcChain>
</file>

<file path=xl/sharedStrings.xml><?xml version="1.0" encoding="utf-8"?>
<sst xmlns="http://schemas.openxmlformats.org/spreadsheetml/2006/main" count="41453" uniqueCount="2714">
  <si>
    <t>班級名稱</t>
  </si>
  <si>
    <t>學號</t>
  </si>
  <si>
    <t>姓名</t>
  </si>
  <si>
    <t>科目名稱</t>
  </si>
  <si>
    <t>分數</t>
  </si>
  <si>
    <t>科學分</t>
  </si>
  <si>
    <t>科目類別</t>
  </si>
  <si>
    <t>機械一甲</t>
  </si>
  <si>
    <t>111101</t>
  </si>
  <si>
    <t>吳軒禎</t>
  </si>
  <si>
    <t>國語文</t>
  </si>
  <si>
    <t>必</t>
  </si>
  <si>
    <t>學科</t>
  </si>
  <si>
    <t>111106</t>
  </si>
  <si>
    <t>吳恆緯</t>
  </si>
  <si>
    <t>111112</t>
  </si>
  <si>
    <t>李毓瑋</t>
  </si>
  <si>
    <t>111117</t>
  </si>
  <si>
    <t>許景翔</t>
  </si>
  <si>
    <t>111118</t>
  </si>
  <si>
    <t>許輇緷</t>
  </si>
  <si>
    <t>111122</t>
  </si>
  <si>
    <t>陳昱新</t>
  </si>
  <si>
    <t>111126</t>
  </si>
  <si>
    <t>曾郡安</t>
  </si>
  <si>
    <t>鑄造一甲</t>
  </si>
  <si>
    <t>112106</t>
  </si>
  <si>
    <t>吳宸宇</t>
  </si>
  <si>
    <t>112107</t>
  </si>
  <si>
    <t>巫宥叡</t>
  </si>
  <si>
    <t>112109</t>
  </si>
  <si>
    <t>杜肇原</t>
  </si>
  <si>
    <t>112121</t>
  </si>
  <si>
    <t>陳貝樂</t>
  </si>
  <si>
    <t>112124</t>
  </si>
  <si>
    <t>陳竑志</t>
  </si>
  <si>
    <t>112125</t>
  </si>
  <si>
    <t>黃宇鋐</t>
  </si>
  <si>
    <t>112129</t>
  </si>
  <si>
    <t>趙宇威</t>
  </si>
  <si>
    <t>112132</t>
  </si>
  <si>
    <t>蕭修平</t>
  </si>
  <si>
    <t>112133</t>
  </si>
  <si>
    <t>謝承峻</t>
  </si>
  <si>
    <t>電機一甲</t>
  </si>
  <si>
    <t>114104</t>
  </si>
  <si>
    <t>牛盛平</t>
  </si>
  <si>
    <t>114111</t>
  </si>
  <si>
    <t>林展暉</t>
  </si>
  <si>
    <t>114112</t>
  </si>
  <si>
    <t>林宏洋</t>
  </si>
  <si>
    <t>114120</t>
  </si>
  <si>
    <t>張頊杰</t>
  </si>
  <si>
    <t>114123</t>
  </si>
  <si>
    <t>陳廷軒</t>
  </si>
  <si>
    <t>114131</t>
  </si>
  <si>
    <t>黃斌</t>
  </si>
  <si>
    <t>114132</t>
  </si>
  <si>
    <t>葉承宥</t>
  </si>
  <si>
    <t>114135</t>
  </si>
  <si>
    <t>蔡忠穎</t>
  </si>
  <si>
    <t>114136</t>
  </si>
  <si>
    <t>蕭博允</t>
  </si>
  <si>
    <t>114138</t>
  </si>
  <si>
    <t>鍾佳達</t>
  </si>
  <si>
    <t>資訊一甲</t>
  </si>
  <si>
    <t>114603</t>
  </si>
  <si>
    <t>王鈞禾</t>
  </si>
  <si>
    <t>114606</t>
  </si>
  <si>
    <t>吳承熹</t>
  </si>
  <si>
    <t>114607</t>
  </si>
  <si>
    <t>李冠毅</t>
  </si>
  <si>
    <t>114609</t>
  </si>
  <si>
    <t>李紘宇</t>
  </si>
  <si>
    <t>114610</t>
  </si>
  <si>
    <t>李晨誌</t>
  </si>
  <si>
    <t>114621</t>
  </si>
  <si>
    <t>陳梓勳</t>
  </si>
  <si>
    <t>114628</t>
  </si>
  <si>
    <t>黃敬恆</t>
  </si>
  <si>
    <t>114634</t>
  </si>
  <si>
    <t>賴鵬宇</t>
  </si>
  <si>
    <t>114636</t>
  </si>
  <si>
    <t>羅孫德宇</t>
  </si>
  <si>
    <t>機械一乙</t>
  </si>
  <si>
    <t>111204</t>
  </si>
  <si>
    <t>李柏穎</t>
  </si>
  <si>
    <t>111206</t>
  </si>
  <si>
    <t>李晟浩</t>
  </si>
  <si>
    <t>111208</t>
  </si>
  <si>
    <t>周宥騰</t>
  </si>
  <si>
    <t>111213</t>
  </si>
  <si>
    <t>連益賢</t>
  </si>
  <si>
    <t>111234</t>
  </si>
  <si>
    <t>鄭傑銘</t>
  </si>
  <si>
    <t>111235</t>
  </si>
  <si>
    <t>賴治宇</t>
  </si>
  <si>
    <t>電機一丙</t>
  </si>
  <si>
    <t>114302</t>
  </si>
  <si>
    <t>柯怡瑄</t>
  </si>
  <si>
    <t>114305</t>
  </si>
  <si>
    <t>吳允文</t>
  </si>
  <si>
    <t>114306</t>
  </si>
  <si>
    <t>吳佳憲</t>
  </si>
  <si>
    <t>114307</t>
  </si>
  <si>
    <t>李安麒</t>
  </si>
  <si>
    <t>114308</t>
  </si>
  <si>
    <t>李忠陽</t>
  </si>
  <si>
    <t>114310</t>
  </si>
  <si>
    <t>李昆憲</t>
  </si>
  <si>
    <t>114317</t>
  </si>
  <si>
    <t>徐愷</t>
  </si>
  <si>
    <t>114318</t>
  </si>
  <si>
    <t>張世欣</t>
  </si>
  <si>
    <t>114325</t>
  </si>
  <si>
    <t>許祐嘉</t>
  </si>
  <si>
    <t>114329</t>
  </si>
  <si>
    <t>黃子建</t>
  </si>
  <si>
    <t>114331</t>
  </si>
  <si>
    <t>楊文睿</t>
  </si>
  <si>
    <t>114332</t>
  </si>
  <si>
    <t>鄒勝帆</t>
  </si>
  <si>
    <t>製圖一丙</t>
  </si>
  <si>
    <t>116301</t>
  </si>
  <si>
    <t>史靖媗</t>
  </si>
  <si>
    <t>116306</t>
  </si>
  <si>
    <t>張祐萍</t>
  </si>
  <si>
    <t>116320</t>
  </si>
  <si>
    <t>林冠綸</t>
  </si>
  <si>
    <t>116325</t>
  </si>
  <si>
    <t>郭文宇</t>
  </si>
  <si>
    <t>116330</t>
  </si>
  <si>
    <t>楊庭愷</t>
  </si>
  <si>
    <t>116332</t>
  </si>
  <si>
    <t>楊閔博</t>
  </si>
  <si>
    <t>116334</t>
  </si>
  <si>
    <t>劉承祐</t>
  </si>
  <si>
    <t>116335</t>
  </si>
  <si>
    <t>鄧景瑋</t>
  </si>
  <si>
    <t>116337</t>
  </si>
  <si>
    <t>唐長廷</t>
  </si>
  <si>
    <t>應英一乙</t>
  </si>
  <si>
    <t>118221</t>
  </si>
  <si>
    <t>吳尚軒</t>
  </si>
  <si>
    <t>118222</t>
  </si>
  <si>
    <t>巫宥寰</t>
  </si>
  <si>
    <t>118224</t>
  </si>
  <si>
    <t>洪旭宸</t>
  </si>
  <si>
    <t>118226</t>
  </si>
  <si>
    <t>張凱翔</t>
  </si>
  <si>
    <t>118228</t>
  </si>
  <si>
    <t>陳宥宇</t>
  </si>
  <si>
    <t>118230</t>
  </si>
  <si>
    <t>傅家育</t>
  </si>
  <si>
    <t>118234</t>
  </si>
  <si>
    <t>蘇俊憲</t>
  </si>
  <si>
    <t>118235</t>
  </si>
  <si>
    <t>李承翰</t>
  </si>
  <si>
    <t>電機一乙</t>
  </si>
  <si>
    <t>114213</t>
  </si>
  <si>
    <t>卓成達</t>
  </si>
  <si>
    <t>114221</t>
  </si>
  <si>
    <t>陳志勛</t>
  </si>
  <si>
    <t>114222</t>
  </si>
  <si>
    <t>陳冠源</t>
  </si>
  <si>
    <t>114225</t>
  </si>
  <si>
    <t>傅奕嘉</t>
  </si>
  <si>
    <t>114229</t>
  </si>
  <si>
    <t>黃睿宏</t>
  </si>
  <si>
    <t>114237</t>
  </si>
  <si>
    <t>魏子翔</t>
  </si>
  <si>
    <t>體育一甲</t>
  </si>
  <si>
    <t>110110</t>
  </si>
  <si>
    <t>陳冠禔</t>
  </si>
  <si>
    <t>汽車一乙</t>
  </si>
  <si>
    <t>113203</t>
  </si>
  <si>
    <t>吳思翰</t>
  </si>
  <si>
    <t>113209</t>
  </si>
  <si>
    <t>林育嶔</t>
  </si>
  <si>
    <t>113211</t>
  </si>
  <si>
    <t>林祐羽</t>
  </si>
  <si>
    <t>113212</t>
  </si>
  <si>
    <t>林郡毅</t>
  </si>
  <si>
    <t>113217</t>
  </si>
  <si>
    <t>張鈞翔</t>
  </si>
  <si>
    <t>113220</t>
  </si>
  <si>
    <t>許洹語</t>
  </si>
  <si>
    <t>113221</t>
  </si>
  <si>
    <t>郭永旭</t>
  </si>
  <si>
    <t>113224</t>
  </si>
  <si>
    <t>陳威劭</t>
  </si>
  <si>
    <t>113225</t>
  </si>
  <si>
    <t>113226</t>
  </si>
  <si>
    <t>陳家和</t>
  </si>
  <si>
    <t>模具一乙</t>
  </si>
  <si>
    <t>115204</t>
  </si>
  <si>
    <t>吳建宥</t>
  </si>
  <si>
    <t>115208</t>
  </si>
  <si>
    <t>林佑誠</t>
  </si>
  <si>
    <t>115209</t>
  </si>
  <si>
    <t>林呈諺</t>
  </si>
  <si>
    <t>115212</t>
  </si>
  <si>
    <t>洪崇恩</t>
  </si>
  <si>
    <t>115213</t>
  </si>
  <si>
    <t>胡元瀚</t>
  </si>
  <si>
    <t>115215</t>
  </si>
  <si>
    <t>徐翔泰</t>
  </si>
  <si>
    <t>115216</t>
  </si>
  <si>
    <t>張富凱</t>
  </si>
  <si>
    <t>115229</t>
  </si>
  <si>
    <t>黃琮凱</t>
  </si>
  <si>
    <t>115231</t>
  </si>
  <si>
    <t>趙文豪</t>
  </si>
  <si>
    <t>115235</t>
  </si>
  <si>
    <t>鄭寬</t>
  </si>
  <si>
    <t>115237</t>
  </si>
  <si>
    <t>譚紘志</t>
  </si>
  <si>
    <t>製圖一乙</t>
  </si>
  <si>
    <t>116207</t>
  </si>
  <si>
    <t>洪恩美</t>
  </si>
  <si>
    <t>116209</t>
  </si>
  <si>
    <t>陳苡珊</t>
  </si>
  <si>
    <t>116217</t>
  </si>
  <si>
    <t>王鈺凱</t>
  </si>
  <si>
    <t>116218</t>
  </si>
  <si>
    <t>田峻全</t>
  </si>
  <si>
    <t>116233</t>
  </si>
  <si>
    <t>黃敬峰</t>
  </si>
  <si>
    <t>116235</t>
  </si>
  <si>
    <t>蔡仁愷</t>
  </si>
  <si>
    <t>116236</t>
  </si>
  <si>
    <t>鄭閎尹</t>
  </si>
  <si>
    <t>116237</t>
  </si>
  <si>
    <t>簡睿宏</t>
  </si>
  <si>
    <t>資處一甲</t>
  </si>
  <si>
    <t>117122</t>
  </si>
  <si>
    <t>陳俊騰</t>
  </si>
  <si>
    <t>117126</t>
  </si>
  <si>
    <t>陳璽帆</t>
  </si>
  <si>
    <t>應英一甲</t>
  </si>
  <si>
    <t>118111</t>
  </si>
  <si>
    <t>許立晴</t>
  </si>
  <si>
    <t>118122</t>
  </si>
  <si>
    <t>施睿紘</t>
  </si>
  <si>
    <t>118124</t>
  </si>
  <si>
    <t>袁子祥</t>
  </si>
  <si>
    <t>鑄造一乙</t>
  </si>
  <si>
    <t>112201</t>
  </si>
  <si>
    <t>古翊揚</t>
  </si>
  <si>
    <t>112205</t>
  </si>
  <si>
    <t>李秉峰</t>
  </si>
  <si>
    <t>112206</t>
  </si>
  <si>
    <t>李宥叡</t>
  </si>
  <si>
    <t>112207</t>
  </si>
  <si>
    <t>李家澄</t>
  </si>
  <si>
    <t>112208</t>
  </si>
  <si>
    <t>卓泓翰</t>
  </si>
  <si>
    <t>112209</t>
  </si>
  <si>
    <t>周言叡</t>
  </si>
  <si>
    <t>112213</t>
  </si>
  <si>
    <t>林政誼</t>
  </si>
  <si>
    <t>112219</t>
  </si>
  <si>
    <t>許秉和</t>
  </si>
  <si>
    <t>112220</t>
  </si>
  <si>
    <t>郭祐丞</t>
  </si>
  <si>
    <t>112222</t>
  </si>
  <si>
    <t>孫少宇</t>
  </si>
  <si>
    <t>112226</t>
  </si>
  <si>
    <t>陳勝緯</t>
  </si>
  <si>
    <t>112227</t>
  </si>
  <si>
    <t>陳學澤</t>
  </si>
  <si>
    <t>112231</t>
  </si>
  <si>
    <t>詹力勳</t>
  </si>
  <si>
    <t>112234</t>
  </si>
  <si>
    <t>趙閎宇</t>
  </si>
  <si>
    <t>112235</t>
  </si>
  <si>
    <t>蘇子恩</t>
  </si>
  <si>
    <t>112236</t>
  </si>
  <si>
    <t>蘇浩瑋</t>
  </si>
  <si>
    <t>汽車一甲</t>
  </si>
  <si>
    <t>113104</t>
  </si>
  <si>
    <t>王晨宥</t>
  </si>
  <si>
    <t>113105</t>
  </si>
  <si>
    <t>白家安</t>
  </si>
  <si>
    <t>113106</t>
  </si>
  <si>
    <t>吳奇恩</t>
  </si>
  <si>
    <t>113110</t>
  </si>
  <si>
    <t>李奕威</t>
  </si>
  <si>
    <t>113117</t>
  </si>
  <si>
    <t>陳翊佑</t>
  </si>
  <si>
    <t>113118</t>
  </si>
  <si>
    <t>陳琪翰</t>
  </si>
  <si>
    <t>113130</t>
  </si>
  <si>
    <t>鄭偉晉</t>
  </si>
  <si>
    <t>資訊一乙</t>
  </si>
  <si>
    <t>114710</t>
  </si>
  <si>
    <t>林鈞楷</t>
  </si>
  <si>
    <t>114716</t>
  </si>
  <si>
    <t>高毅軒</t>
  </si>
  <si>
    <t>114733</t>
  </si>
  <si>
    <t>謝承翰</t>
  </si>
  <si>
    <t>模具一甲</t>
  </si>
  <si>
    <t>115104</t>
  </si>
  <si>
    <t>劉芸芸</t>
  </si>
  <si>
    <t>115110</t>
  </si>
  <si>
    <t>邢宸叡</t>
  </si>
  <si>
    <t>115113</t>
  </si>
  <si>
    <t>林翌嘉</t>
  </si>
  <si>
    <t>115114</t>
  </si>
  <si>
    <t>林暉祐</t>
  </si>
  <si>
    <t>115115</t>
  </si>
  <si>
    <t>林裕庭</t>
  </si>
  <si>
    <t>115116</t>
  </si>
  <si>
    <t>武學楷</t>
  </si>
  <si>
    <t>115121</t>
  </si>
  <si>
    <t>郭承祐</t>
  </si>
  <si>
    <t>115126</t>
  </si>
  <si>
    <t>陶皖謙</t>
  </si>
  <si>
    <t>115129</t>
  </si>
  <si>
    <t>葉冠右</t>
  </si>
  <si>
    <t>115134</t>
  </si>
  <si>
    <t>鄭佳宥</t>
  </si>
  <si>
    <t>製圖一甲</t>
  </si>
  <si>
    <t>116118</t>
  </si>
  <si>
    <t>李曜丞</t>
  </si>
  <si>
    <t>116129</t>
  </si>
  <si>
    <t>黃宥勛</t>
  </si>
  <si>
    <t>116132</t>
  </si>
  <si>
    <t>潘友浦</t>
  </si>
  <si>
    <t>116133</t>
  </si>
  <si>
    <t>蔡宗穎</t>
  </si>
  <si>
    <t>116134</t>
  </si>
  <si>
    <t>蔡昀翰</t>
  </si>
  <si>
    <t>116135</t>
  </si>
  <si>
    <t>蕭丞捷</t>
  </si>
  <si>
    <t>資處一乙</t>
  </si>
  <si>
    <t>117235</t>
  </si>
  <si>
    <t>謝旻佑</t>
  </si>
  <si>
    <t>112108</t>
  </si>
  <si>
    <t>李晉豪</t>
  </si>
  <si>
    <t>英語文</t>
  </si>
  <si>
    <t>112111</t>
  </si>
  <si>
    <t>林宥任</t>
  </si>
  <si>
    <t>112112</t>
  </si>
  <si>
    <t>林博宇</t>
  </si>
  <si>
    <t>112117</t>
  </si>
  <si>
    <t>張淯緯</t>
  </si>
  <si>
    <t>112118</t>
  </si>
  <si>
    <t>郭予翔</t>
  </si>
  <si>
    <t>112134</t>
  </si>
  <si>
    <t>簡賜鞍</t>
  </si>
  <si>
    <t>112136</t>
  </si>
  <si>
    <t>蘇振宇</t>
  </si>
  <si>
    <t>113108</t>
  </si>
  <si>
    <t>李明聰</t>
  </si>
  <si>
    <t>113109</t>
  </si>
  <si>
    <t>李俊賢</t>
  </si>
  <si>
    <t>113112</t>
  </si>
  <si>
    <t>林書霆</t>
  </si>
  <si>
    <t>113115</t>
  </si>
  <si>
    <t>紀伯諠</t>
  </si>
  <si>
    <t>113122</t>
  </si>
  <si>
    <t>黃盛翔</t>
  </si>
  <si>
    <t>113124</t>
  </si>
  <si>
    <t>劉宥均</t>
  </si>
  <si>
    <t>113126</t>
  </si>
  <si>
    <t>劉家佑</t>
  </si>
  <si>
    <t>116204</t>
  </si>
  <si>
    <t>李品萱</t>
  </si>
  <si>
    <t>116205</t>
  </si>
  <si>
    <t>林子渝</t>
  </si>
  <si>
    <t>116210</t>
  </si>
  <si>
    <t>廖曉靜</t>
  </si>
  <si>
    <t>116211</t>
  </si>
  <si>
    <t>蔡孟庭</t>
  </si>
  <si>
    <t>116212</t>
  </si>
  <si>
    <t>盧湘妘</t>
  </si>
  <si>
    <t>116215</t>
  </si>
  <si>
    <t>王政新</t>
  </si>
  <si>
    <t>116216</t>
  </si>
  <si>
    <t>王致竤</t>
  </si>
  <si>
    <t>116219</t>
  </si>
  <si>
    <t>李建宏</t>
  </si>
  <si>
    <t>116227</t>
  </si>
  <si>
    <t>張家叡</t>
  </si>
  <si>
    <t>116230</t>
  </si>
  <si>
    <t>陳宥愷</t>
  </si>
  <si>
    <t>117204</t>
  </si>
  <si>
    <t>洪立庭</t>
  </si>
  <si>
    <t>117205</t>
  </si>
  <si>
    <t>徐意涵</t>
  </si>
  <si>
    <t>117208</t>
  </si>
  <si>
    <t>黃雨萍</t>
  </si>
  <si>
    <t>117209</t>
  </si>
  <si>
    <t>詹詠婷</t>
  </si>
  <si>
    <t>117212</t>
  </si>
  <si>
    <t>何聰其</t>
  </si>
  <si>
    <t>117214</t>
  </si>
  <si>
    <t>呂永慶</t>
  </si>
  <si>
    <t>117218</t>
  </si>
  <si>
    <t>林嘉晟</t>
  </si>
  <si>
    <t>117222</t>
  </si>
  <si>
    <t>高崇維</t>
  </si>
  <si>
    <t>117227</t>
  </si>
  <si>
    <t>陳振宇</t>
  </si>
  <si>
    <t>117231</t>
  </si>
  <si>
    <t>劉柏笙</t>
  </si>
  <si>
    <t>117233</t>
  </si>
  <si>
    <t>蕭游</t>
  </si>
  <si>
    <t>117234</t>
  </si>
  <si>
    <t>謝言曦</t>
  </si>
  <si>
    <t>112211</t>
  </si>
  <si>
    <t>林子閎</t>
  </si>
  <si>
    <t>112215</t>
  </si>
  <si>
    <t>徐長榮</t>
  </si>
  <si>
    <t>112237</t>
  </si>
  <si>
    <t>鐘于翔</t>
  </si>
  <si>
    <t>114704</t>
  </si>
  <si>
    <t>宋承翰</t>
  </si>
  <si>
    <t>114706</t>
  </si>
  <si>
    <t>李驊庭</t>
  </si>
  <si>
    <t>114720</t>
  </si>
  <si>
    <t>陳宥勳</t>
  </si>
  <si>
    <t>114722</t>
  </si>
  <si>
    <t>陳昱瑋</t>
  </si>
  <si>
    <t>114726</t>
  </si>
  <si>
    <t>傅宥程</t>
  </si>
  <si>
    <t>114730</t>
  </si>
  <si>
    <t>蔡承恩</t>
  </si>
  <si>
    <t>114732</t>
  </si>
  <si>
    <t>賴建宏</t>
  </si>
  <si>
    <t>116302</t>
  </si>
  <si>
    <t>沈湘紜</t>
  </si>
  <si>
    <t>116317</t>
  </si>
  <si>
    <t>吳明峰</t>
  </si>
  <si>
    <t>116321</t>
  </si>
  <si>
    <t>邱梓恩</t>
  </si>
  <si>
    <t>116322</t>
  </si>
  <si>
    <t>洪浚富</t>
  </si>
  <si>
    <t>116324</t>
  </si>
  <si>
    <t>許奕紳</t>
  </si>
  <si>
    <t>111205</t>
  </si>
  <si>
    <t>李茂榮</t>
  </si>
  <si>
    <t>111210</t>
  </si>
  <si>
    <t>洪偉瑄</t>
  </si>
  <si>
    <t>111221</t>
  </si>
  <si>
    <t>程富揚</t>
  </si>
  <si>
    <t>111233</t>
  </si>
  <si>
    <t>蔡俊崧</t>
  </si>
  <si>
    <t>114103</t>
  </si>
  <si>
    <t>葉芷伶</t>
  </si>
  <si>
    <t>114107</t>
  </si>
  <si>
    <t>余銘峰</t>
  </si>
  <si>
    <t>114125</t>
  </si>
  <si>
    <t>陳浩銘</t>
  </si>
  <si>
    <t>114128</t>
  </si>
  <si>
    <t>黃俊叡</t>
  </si>
  <si>
    <t>114129</t>
  </si>
  <si>
    <t>黃柏銘</t>
  </si>
  <si>
    <t>114130</t>
  </si>
  <si>
    <t>黃柏</t>
  </si>
  <si>
    <t>114139</t>
  </si>
  <si>
    <t>羅鈞陽</t>
  </si>
  <si>
    <t>115105</t>
  </si>
  <si>
    <t>朱禹丞</t>
  </si>
  <si>
    <t>115108</t>
  </si>
  <si>
    <t>李毓澄</t>
  </si>
  <si>
    <t>115128</t>
  </si>
  <si>
    <t>楊書睿</t>
  </si>
  <si>
    <t>115130</t>
  </si>
  <si>
    <t>廖子慶</t>
  </si>
  <si>
    <t>115133</t>
  </si>
  <si>
    <t>劉建甫</t>
  </si>
  <si>
    <t>115136</t>
  </si>
  <si>
    <t>謝奇叡</t>
  </si>
  <si>
    <t>115138</t>
  </si>
  <si>
    <t>羅逸軒</t>
  </si>
  <si>
    <t>115139</t>
  </si>
  <si>
    <t>鐘泓恩</t>
  </si>
  <si>
    <t>117133</t>
  </si>
  <si>
    <t>蕭項允</t>
  </si>
  <si>
    <t>110103</t>
  </si>
  <si>
    <t>石聖恩</t>
  </si>
  <si>
    <t>110108</t>
  </si>
  <si>
    <t>郭彥承</t>
  </si>
  <si>
    <t>110114</t>
  </si>
  <si>
    <t>簡嘉德</t>
  </si>
  <si>
    <t>110116</t>
  </si>
  <si>
    <t>陳致維</t>
  </si>
  <si>
    <t>114624</t>
  </si>
  <si>
    <t>陳駿騰</t>
  </si>
  <si>
    <t>113202</t>
  </si>
  <si>
    <t>吳和穎</t>
  </si>
  <si>
    <t>113206</t>
  </si>
  <si>
    <t>李亮陞</t>
  </si>
  <si>
    <t>113210</t>
  </si>
  <si>
    <t>林冠璋</t>
  </si>
  <si>
    <t>113213</t>
  </si>
  <si>
    <t>柯彥廷</t>
  </si>
  <si>
    <t>113222</t>
  </si>
  <si>
    <t>陳亦星</t>
  </si>
  <si>
    <t>113228</t>
  </si>
  <si>
    <t>黃政安</t>
  </si>
  <si>
    <t>113230</t>
  </si>
  <si>
    <t>楊堂裕</t>
  </si>
  <si>
    <t>113232</t>
  </si>
  <si>
    <t>葉永謙</t>
  </si>
  <si>
    <t>114203</t>
  </si>
  <si>
    <t>王威傑</t>
  </si>
  <si>
    <t>114205</t>
  </si>
  <si>
    <t>江鎧傑</t>
  </si>
  <si>
    <t>114217</t>
  </si>
  <si>
    <t>高銘壕</t>
  </si>
  <si>
    <t>114227</t>
  </si>
  <si>
    <t>程宇翔</t>
  </si>
  <si>
    <t>114235</t>
  </si>
  <si>
    <t>賴俊佑</t>
  </si>
  <si>
    <t>114236</t>
  </si>
  <si>
    <t>簡宏叡</t>
  </si>
  <si>
    <t>114328</t>
  </si>
  <si>
    <t>陳曜勛</t>
  </si>
  <si>
    <t>114333</t>
  </si>
  <si>
    <t>蔡旭展</t>
  </si>
  <si>
    <t>115205</t>
  </si>
  <si>
    <t>吳浚維</t>
  </si>
  <si>
    <t>115217</t>
  </si>
  <si>
    <t>畢友維</t>
  </si>
  <si>
    <t>115218</t>
  </si>
  <si>
    <t>莊宜宗</t>
  </si>
  <si>
    <t>115223</t>
  </si>
  <si>
    <t>陳奕傑</t>
  </si>
  <si>
    <t>115225</t>
  </si>
  <si>
    <t>陳軼群</t>
  </si>
  <si>
    <t>115227</t>
  </si>
  <si>
    <t>曾翌程</t>
  </si>
  <si>
    <t>115238</t>
  </si>
  <si>
    <t>蘇裕哲</t>
  </si>
  <si>
    <t>116120</t>
  </si>
  <si>
    <t>林暐紘</t>
  </si>
  <si>
    <t>116128</t>
  </si>
  <si>
    <t>曾柏翰</t>
  </si>
  <si>
    <t>111107</t>
  </si>
  <si>
    <t>吳糴</t>
  </si>
  <si>
    <t>111111</t>
  </si>
  <si>
    <t>111119</t>
  </si>
  <si>
    <t>陳右傑</t>
  </si>
  <si>
    <t>111123</t>
  </si>
  <si>
    <t>傅俊瑋</t>
  </si>
  <si>
    <t>111130</t>
  </si>
  <si>
    <t>詹皓鈞</t>
  </si>
  <si>
    <t>111132</t>
  </si>
  <si>
    <t>蔡銘訓</t>
  </si>
  <si>
    <t>111133</t>
  </si>
  <si>
    <t>鄭丞泰</t>
  </si>
  <si>
    <t>111135</t>
  </si>
  <si>
    <t>簡郁軒</t>
  </si>
  <si>
    <t>111137</t>
  </si>
  <si>
    <t>龔侹榤</t>
  </si>
  <si>
    <t>118103</t>
  </si>
  <si>
    <t>李依璇</t>
  </si>
  <si>
    <t>118104</t>
  </si>
  <si>
    <t>李苡潔</t>
  </si>
  <si>
    <t>118108</t>
  </si>
  <si>
    <t>翁幸汝</t>
  </si>
  <si>
    <t>118109</t>
  </si>
  <si>
    <t>張舒涵</t>
  </si>
  <si>
    <t>118135</t>
  </si>
  <si>
    <t>陳柏均</t>
  </si>
  <si>
    <t>118202</t>
  </si>
  <si>
    <t>王宥芯</t>
  </si>
  <si>
    <t>118206</t>
  </si>
  <si>
    <t>周侑萱</t>
  </si>
  <si>
    <t>118211</t>
  </si>
  <si>
    <t>徐柔羽</t>
  </si>
  <si>
    <t>118220</t>
  </si>
  <si>
    <t>江柏霆</t>
  </si>
  <si>
    <t>118227</t>
  </si>
  <si>
    <t>許瑞哲</t>
  </si>
  <si>
    <t>118231</t>
  </si>
  <si>
    <t>詹家軒</t>
  </si>
  <si>
    <t>118233</t>
  </si>
  <si>
    <t>賴建銘</t>
  </si>
  <si>
    <t>英文閱讀</t>
  </si>
  <si>
    <t>選</t>
  </si>
  <si>
    <t>113125</t>
  </si>
  <si>
    <t>劉哲瑋</t>
  </si>
  <si>
    <t>116228</t>
  </si>
  <si>
    <t>張淳鈞</t>
  </si>
  <si>
    <t>112212</t>
  </si>
  <si>
    <t>林育誠</t>
  </si>
  <si>
    <t>112214</t>
  </si>
  <si>
    <t>邱翊睿</t>
  </si>
  <si>
    <t>112216</t>
  </si>
  <si>
    <t>高玄恩</t>
  </si>
  <si>
    <t>112223</t>
  </si>
  <si>
    <t>陳金丞</t>
  </si>
  <si>
    <t>112230</t>
  </si>
  <si>
    <t>葉名軒</t>
  </si>
  <si>
    <t>112232</t>
  </si>
  <si>
    <t>詹宇舜</t>
  </si>
  <si>
    <t>112233</t>
  </si>
  <si>
    <t>廖濬宏</t>
  </si>
  <si>
    <t>111211</t>
  </si>
  <si>
    <t>胡宗潁</t>
  </si>
  <si>
    <t>111214</t>
  </si>
  <si>
    <t>陳立瑋</t>
  </si>
  <si>
    <t>111230</t>
  </si>
  <si>
    <t>趙宸揚</t>
  </si>
  <si>
    <t>114105</t>
  </si>
  <si>
    <t>何佳軒</t>
  </si>
  <si>
    <t>114115</t>
  </si>
  <si>
    <t>邱靖哲</t>
  </si>
  <si>
    <t>114121</t>
  </si>
  <si>
    <t>莊士庭</t>
  </si>
  <si>
    <t>117106</t>
  </si>
  <si>
    <t>陳宥彤</t>
  </si>
  <si>
    <t>117107</t>
  </si>
  <si>
    <t>陳誼嘉</t>
  </si>
  <si>
    <t>117114</t>
  </si>
  <si>
    <t>李湘奕</t>
  </si>
  <si>
    <t>113204</t>
  </si>
  <si>
    <t>吳曜宇</t>
  </si>
  <si>
    <t>113219</t>
  </si>
  <si>
    <t>莊秉軒</t>
  </si>
  <si>
    <t>113229</t>
  </si>
  <si>
    <t>楊偉銘</t>
  </si>
  <si>
    <t>114211</t>
  </si>
  <si>
    <t>李紹霆</t>
  </si>
  <si>
    <t>114215</t>
  </si>
  <si>
    <t>金志諺</t>
  </si>
  <si>
    <t>114326</t>
  </si>
  <si>
    <t>陳世原</t>
  </si>
  <si>
    <t>114336</t>
  </si>
  <si>
    <t>薛品瑞</t>
  </si>
  <si>
    <t>115224</t>
  </si>
  <si>
    <t>陳朝昇</t>
  </si>
  <si>
    <t>數學</t>
  </si>
  <si>
    <t>114207</t>
  </si>
  <si>
    <t>吳博駿</t>
  </si>
  <si>
    <t>114208</t>
  </si>
  <si>
    <t>吳澤宇</t>
  </si>
  <si>
    <t>114214</t>
  </si>
  <si>
    <t>周書漢</t>
  </si>
  <si>
    <t>117108</t>
  </si>
  <si>
    <t>黃愛雅</t>
  </si>
  <si>
    <t>117112</t>
  </si>
  <si>
    <t>吳沛寰</t>
  </si>
  <si>
    <t>117117</t>
  </si>
  <si>
    <t>張家銘</t>
  </si>
  <si>
    <t>117118</t>
  </si>
  <si>
    <t>張耀元</t>
  </si>
  <si>
    <t>117121</t>
  </si>
  <si>
    <t>陳元浩</t>
  </si>
  <si>
    <t>117124</t>
  </si>
  <si>
    <t>陳政宇</t>
  </si>
  <si>
    <t>117128</t>
  </si>
  <si>
    <t>葉閎鈞</t>
  </si>
  <si>
    <t>117134</t>
  </si>
  <si>
    <t>謝鵬翔</t>
  </si>
  <si>
    <t>117216</t>
  </si>
  <si>
    <t>林彥圻</t>
  </si>
  <si>
    <t>117221</t>
  </si>
  <si>
    <t>洪子皓</t>
  </si>
  <si>
    <t>117225</t>
  </si>
  <si>
    <t>許宸愷</t>
  </si>
  <si>
    <t>117226</t>
  </si>
  <si>
    <t>許博崴</t>
  </si>
  <si>
    <t>111128</t>
  </si>
  <si>
    <t>游博安</t>
  </si>
  <si>
    <t>112101</t>
  </si>
  <si>
    <t>吳善鈴</t>
  </si>
  <si>
    <t>112119</t>
  </si>
  <si>
    <t>陳力路</t>
  </si>
  <si>
    <t>112120</t>
  </si>
  <si>
    <t>陳以雋</t>
  </si>
  <si>
    <t>116226</t>
  </si>
  <si>
    <t>高柏麟</t>
  </si>
  <si>
    <t>115135</t>
  </si>
  <si>
    <t>薛紹珩</t>
  </si>
  <si>
    <t>113214</t>
  </si>
  <si>
    <t>胡睿哲</t>
  </si>
  <si>
    <t>114124</t>
  </si>
  <si>
    <t>陳奕安</t>
  </si>
  <si>
    <t>114126</t>
  </si>
  <si>
    <t>彭冠樺</t>
  </si>
  <si>
    <t>114134</t>
  </si>
  <si>
    <t>蔡全佑</t>
  </si>
  <si>
    <t>113114</t>
  </si>
  <si>
    <t>姚宇翔</t>
  </si>
  <si>
    <t>114612</t>
  </si>
  <si>
    <t>林秉岳</t>
  </si>
  <si>
    <t>114615</t>
  </si>
  <si>
    <t>范庭瑋</t>
  </si>
  <si>
    <t>汽美一甲</t>
  </si>
  <si>
    <t>119104</t>
  </si>
  <si>
    <t>耿麟堯</t>
  </si>
  <si>
    <t>餐服一甲</t>
  </si>
  <si>
    <t>119304</t>
  </si>
  <si>
    <t>林美佳</t>
  </si>
  <si>
    <t>基礎數學</t>
  </si>
  <si>
    <t>110111</t>
  </si>
  <si>
    <t>黃鈺</t>
  </si>
  <si>
    <t>公民與社會</t>
  </si>
  <si>
    <t>112130</t>
  </si>
  <si>
    <t>蔡鈜亦</t>
  </si>
  <si>
    <t>115122</t>
  </si>
  <si>
    <t>陳佑霖</t>
  </si>
  <si>
    <t>119310</t>
  </si>
  <si>
    <t>胡宇勝</t>
  </si>
  <si>
    <t>地理</t>
  </si>
  <si>
    <t>112105</t>
  </si>
  <si>
    <t>朱威諺</t>
  </si>
  <si>
    <t>物理</t>
  </si>
  <si>
    <t>112116</t>
  </si>
  <si>
    <t>張柏文</t>
  </si>
  <si>
    <t>113107</t>
  </si>
  <si>
    <t>吳承諺</t>
  </si>
  <si>
    <t>113218</t>
  </si>
  <si>
    <t>張楓斌</t>
  </si>
  <si>
    <t>114613</t>
  </si>
  <si>
    <t>林詠翔</t>
  </si>
  <si>
    <t>114623</t>
  </si>
  <si>
    <t>陳軾勛</t>
  </si>
  <si>
    <t>114627</t>
  </si>
  <si>
    <t>黃郁</t>
  </si>
  <si>
    <t>114630</t>
  </si>
  <si>
    <t>劉承澔</t>
  </si>
  <si>
    <t>114633</t>
  </si>
  <si>
    <t>蕭弘德</t>
  </si>
  <si>
    <t>114705</t>
  </si>
  <si>
    <t>李冠霆</t>
  </si>
  <si>
    <t>115119</t>
  </si>
  <si>
    <t>許哲睿</t>
  </si>
  <si>
    <t>118114</t>
  </si>
  <si>
    <t>陳品妤</t>
  </si>
  <si>
    <t>118123</t>
  </si>
  <si>
    <t>紀承佑</t>
  </si>
  <si>
    <t>118129</t>
  </si>
  <si>
    <t>陳威誠</t>
  </si>
  <si>
    <t>118133</t>
  </si>
  <si>
    <t>戴子峰</t>
  </si>
  <si>
    <t>118209</t>
  </si>
  <si>
    <t>洪天語</t>
  </si>
  <si>
    <t>118229</t>
  </si>
  <si>
    <t>陳緯儒</t>
  </si>
  <si>
    <t>111105</t>
  </si>
  <si>
    <t>王于愷</t>
  </si>
  <si>
    <t>111109</t>
  </si>
  <si>
    <t>呂承恩</t>
  </si>
  <si>
    <t>111114</t>
  </si>
  <si>
    <t>林宇</t>
  </si>
  <si>
    <t>111212</t>
  </si>
  <si>
    <t>許承皓</t>
  </si>
  <si>
    <t>111219</t>
  </si>
  <si>
    <t>陳新淮</t>
  </si>
  <si>
    <t>111220</t>
  </si>
  <si>
    <t>陳毅豪</t>
  </si>
  <si>
    <t>115211</t>
  </si>
  <si>
    <t>林栩寬</t>
  </si>
  <si>
    <t>115214</t>
  </si>
  <si>
    <t>胡庭瑋</t>
  </si>
  <si>
    <t>115222</t>
  </si>
  <si>
    <t>陳冠瑋</t>
  </si>
  <si>
    <t>116107</t>
  </si>
  <si>
    <t>陳芃妤</t>
  </si>
  <si>
    <t>116108</t>
  </si>
  <si>
    <t>陳姿佑</t>
  </si>
  <si>
    <t>116110</t>
  </si>
  <si>
    <t>廖婕妤</t>
  </si>
  <si>
    <t>116111</t>
  </si>
  <si>
    <t>蔡雅華</t>
  </si>
  <si>
    <t>116113</t>
  </si>
  <si>
    <t>王稚程</t>
  </si>
  <si>
    <t>116115</t>
  </si>
  <si>
    <t>余秉洋</t>
  </si>
  <si>
    <t>116201</t>
  </si>
  <si>
    <t>王筱晴</t>
  </si>
  <si>
    <t>116303</t>
  </si>
  <si>
    <t>林嘉芸</t>
  </si>
  <si>
    <t>116305</t>
  </si>
  <si>
    <t>徐靖雅</t>
  </si>
  <si>
    <t>116307</t>
  </si>
  <si>
    <t>郭姿涵</t>
  </si>
  <si>
    <t>116311</t>
  </si>
  <si>
    <t>蔡沛旂</t>
  </si>
  <si>
    <t>116313</t>
  </si>
  <si>
    <t>顏筠珊</t>
  </si>
  <si>
    <t>116318</t>
  </si>
  <si>
    <t>吳品叡</t>
  </si>
  <si>
    <t>116326</t>
  </si>
  <si>
    <t>陳柏合</t>
  </si>
  <si>
    <t>116333</t>
  </si>
  <si>
    <t>葉宇軒</t>
  </si>
  <si>
    <t>化學</t>
  </si>
  <si>
    <t>資訊應用</t>
  </si>
  <si>
    <t>113233</t>
  </si>
  <si>
    <t>劉恩呈</t>
  </si>
  <si>
    <t>110104</t>
  </si>
  <si>
    <t>李彥琳</t>
  </si>
  <si>
    <t>111113</t>
  </si>
  <si>
    <t>沈立修</t>
  </si>
  <si>
    <t>116229</t>
  </si>
  <si>
    <t>許鎧麟</t>
  </si>
  <si>
    <t>體育</t>
  </si>
  <si>
    <t>112224</t>
  </si>
  <si>
    <t>陳宥憲</t>
  </si>
  <si>
    <t>114605</t>
  </si>
  <si>
    <t>吳宇澤</t>
  </si>
  <si>
    <t>114611</t>
  </si>
  <si>
    <t>李璟晟</t>
  </si>
  <si>
    <t>114616</t>
  </si>
  <si>
    <t>高詠瑋</t>
  </si>
  <si>
    <t>114620</t>
  </si>
  <si>
    <t>陳禹齊</t>
  </si>
  <si>
    <t>114626</t>
  </si>
  <si>
    <t>賀皓群</t>
  </si>
  <si>
    <t>112103</t>
  </si>
  <si>
    <t>陳昭玉</t>
  </si>
  <si>
    <t>112113</t>
  </si>
  <si>
    <t>洪翊豪</t>
  </si>
  <si>
    <t>113208</t>
  </si>
  <si>
    <t>李逸帆</t>
  </si>
  <si>
    <t>116315</t>
  </si>
  <si>
    <t>王博玄</t>
  </si>
  <si>
    <t>118212</t>
  </si>
  <si>
    <t>高鈺婷</t>
  </si>
  <si>
    <t>118219</t>
  </si>
  <si>
    <t>羅詩涵</t>
  </si>
  <si>
    <t>健康與護理</t>
  </si>
  <si>
    <t>112225</t>
  </si>
  <si>
    <t>陳淮澤</t>
  </si>
  <si>
    <t>113205</t>
  </si>
  <si>
    <t>李沅霖</t>
  </si>
  <si>
    <t>專項技術訓練</t>
  </si>
  <si>
    <t xml:space="preserve">專項運動技術與動作分析- </t>
  </si>
  <si>
    <t xml:space="preserve">專項運動戰術與賽事運用- </t>
  </si>
  <si>
    <t>111102</t>
  </si>
  <si>
    <t>李宜庭</t>
  </si>
  <si>
    <t>機械製造</t>
  </si>
  <si>
    <t>111217</t>
  </si>
  <si>
    <t>111223</t>
  </si>
  <si>
    <t>黃彥傑</t>
  </si>
  <si>
    <t>116125</t>
  </si>
  <si>
    <t>陳冠語</t>
  </si>
  <si>
    <t>116126</t>
  </si>
  <si>
    <t>陳宥成</t>
  </si>
  <si>
    <t>116136</t>
  </si>
  <si>
    <t>賴弈安</t>
  </si>
  <si>
    <t>116213</t>
  </si>
  <si>
    <t>簡汝臻</t>
  </si>
  <si>
    <t>機械製圖實習</t>
  </si>
  <si>
    <t>實習</t>
  </si>
  <si>
    <t>116206</t>
  </si>
  <si>
    <t>林思</t>
  </si>
  <si>
    <t>116137</t>
  </si>
  <si>
    <t>薛翊廷</t>
  </si>
  <si>
    <t>116327</t>
  </si>
  <si>
    <t>游翔恩</t>
  </si>
  <si>
    <t>製圖實習</t>
  </si>
  <si>
    <t>116127</t>
  </si>
  <si>
    <t>陳雋夫</t>
  </si>
  <si>
    <t>機械基礎綜合實習</t>
  </si>
  <si>
    <t>111136</t>
  </si>
  <si>
    <t>蘇峰楷</t>
  </si>
  <si>
    <t>機械基礎實習</t>
  </si>
  <si>
    <t>基礎鑄造實習</t>
  </si>
  <si>
    <t>工業英文</t>
  </si>
  <si>
    <t>115124</t>
  </si>
  <si>
    <t>陳品宏</t>
  </si>
  <si>
    <t>115132</t>
  </si>
  <si>
    <t>廖祐陞</t>
  </si>
  <si>
    <t>基本電學</t>
  </si>
  <si>
    <t>114631</t>
  </si>
  <si>
    <t>劉承翰</t>
  </si>
  <si>
    <t>114734</t>
  </si>
  <si>
    <t>魏睿賢</t>
  </si>
  <si>
    <t>114201</t>
  </si>
  <si>
    <t>王子濠</t>
  </si>
  <si>
    <t>114202</t>
  </si>
  <si>
    <t>王廷宇</t>
  </si>
  <si>
    <t>114206</t>
  </si>
  <si>
    <t>吳文榜</t>
  </si>
  <si>
    <t>114218</t>
  </si>
  <si>
    <t>張博軒</t>
  </si>
  <si>
    <t>114223</t>
  </si>
  <si>
    <t>陳思豪</t>
  </si>
  <si>
    <t>114228</t>
  </si>
  <si>
    <t>黃翌嘉</t>
  </si>
  <si>
    <t>114233</t>
  </si>
  <si>
    <t>劉鋐洋</t>
  </si>
  <si>
    <t>114106</t>
  </si>
  <si>
    <t>何浚賢</t>
  </si>
  <si>
    <t>114304</t>
  </si>
  <si>
    <t>何星叡</t>
  </si>
  <si>
    <t>114311</t>
  </si>
  <si>
    <t>李泓霖</t>
  </si>
  <si>
    <t>114337</t>
  </si>
  <si>
    <t>羅嵃</t>
  </si>
  <si>
    <t>底盤原理</t>
  </si>
  <si>
    <t>113136</t>
  </si>
  <si>
    <t>蘇湋翔</t>
  </si>
  <si>
    <t>引擎實習</t>
  </si>
  <si>
    <t>電動機車基礎實習</t>
  </si>
  <si>
    <t>機器腳踏車檢修實習</t>
  </si>
  <si>
    <t>基礎電子學</t>
  </si>
  <si>
    <t>114303</t>
  </si>
  <si>
    <t>彭子芸</t>
  </si>
  <si>
    <t>數位邏輯設計</t>
  </si>
  <si>
    <t>114327</t>
  </si>
  <si>
    <t>陳冠綸</t>
  </si>
  <si>
    <t>114122</t>
  </si>
  <si>
    <t>陳劭綸</t>
  </si>
  <si>
    <t>基本電學實習</t>
  </si>
  <si>
    <t>可程式控制實習</t>
  </si>
  <si>
    <t>電腦軟體設計實習</t>
  </si>
  <si>
    <t>114614</t>
  </si>
  <si>
    <t>洪康硯</t>
  </si>
  <si>
    <t>模具專業實習</t>
  </si>
  <si>
    <t>117103</t>
  </si>
  <si>
    <t>張芮嘉</t>
  </si>
  <si>
    <t>會計學</t>
  </si>
  <si>
    <t>117110</t>
  </si>
  <si>
    <t>王冠惟</t>
  </si>
  <si>
    <t>記帳實務</t>
  </si>
  <si>
    <t>117111</t>
  </si>
  <si>
    <t>江宗霖</t>
  </si>
  <si>
    <t>117115</t>
  </si>
  <si>
    <t>林佳慶</t>
  </si>
  <si>
    <t>117120</t>
  </si>
  <si>
    <t>郭銘睿</t>
  </si>
  <si>
    <t>117132</t>
  </si>
  <si>
    <t>蕭亦涵</t>
  </si>
  <si>
    <t>117220</t>
  </si>
  <si>
    <t>姜承言</t>
  </si>
  <si>
    <t>程式語言與設計</t>
  </si>
  <si>
    <t>數位科技概論</t>
  </si>
  <si>
    <t>數位科技實作</t>
  </si>
  <si>
    <t>117127</t>
  </si>
  <si>
    <t>黃仲弘</t>
  </si>
  <si>
    <t>英文繪本</t>
  </si>
  <si>
    <t>外語文書處理實務</t>
  </si>
  <si>
    <t>初階英文閱讀與寫作練習</t>
  </si>
  <si>
    <t>118121</t>
  </si>
  <si>
    <t>姚紹琦</t>
  </si>
  <si>
    <t>118201</t>
  </si>
  <si>
    <t>丁姿妘</t>
  </si>
  <si>
    <t>118225</t>
  </si>
  <si>
    <t>張家愷</t>
  </si>
  <si>
    <t>118232</t>
  </si>
  <si>
    <t>蔡承璋</t>
  </si>
  <si>
    <t>中英翻譯練習</t>
  </si>
  <si>
    <t>118115</t>
  </si>
  <si>
    <t>陳羿瑄</t>
  </si>
  <si>
    <t>118130</t>
  </si>
  <si>
    <t>黃子恩</t>
  </si>
  <si>
    <t>118218</t>
  </si>
  <si>
    <t>魏宣妘</t>
  </si>
  <si>
    <t>初階英語聽講練習</t>
  </si>
  <si>
    <t>語文</t>
  </si>
  <si>
    <t>119311</t>
  </si>
  <si>
    <t>張建新</t>
  </si>
  <si>
    <t>林佳慧</t>
  </si>
  <si>
    <t>生活管理</t>
  </si>
  <si>
    <t>119108</t>
  </si>
  <si>
    <t>許立軒</t>
  </si>
  <si>
    <t>服務導論</t>
  </si>
  <si>
    <t>人際關係與溝通</t>
  </si>
  <si>
    <t>必選修</t>
    <phoneticPr fontId="2" type="noConversion"/>
  </si>
  <si>
    <t>體育二甲</t>
  </si>
  <si>
    <t>010120</t>
  </si>
  <si>
    <t>張期平</t>
  </si>
  <si>
    <t>機械二甲</t>
  </si>
  <si>
    <t>011103</t>
  </si>
  <si>
    <t>張鈞盛</t>
  </si>
  <si>
    <t>011105</t>
  </si>
  <si>
    <t>蔡正皓</t>
  </si>
  <si>
    <t>011106</t>
  </si>
  <si>
    <t>黃育</t>
  </si>
  <si>
    <t>011112</t>
  </si>
  <si>
    <t>蔡文隆</t>
  </si>
  <si>
    <t>011119</t>
  </si>
  <si>
    <t>謝長勝</t>
  </si>
  <si>
    <t>011121</t>
  </si>
  <si>
    <t>張恆瑞</t>
  </si>
  <si>
    <t>011122</t>
  </si>
  <si>
    <t>黃冠綸</t>
  </si>
  <si>
    <t>011123</t>
  </si>
  <si>
    <t>連浩翔</t>
  </si>
  <si>
    <t>011125</t>
  </si>
  <si>
    <t>林哲安</t>
  </si>
  <si>
    <t>011128</t>
  </si>
  <si>
    <t>王信傑</t>
  </si>
  <si>
    <t>011134</t>
  </si>
  <si>
    <t>方彥</t>
  </si>
  <si>
    <t>011135</t>
  </si>
  <si>
    <t>鄭博允</t>
  </si>
  <si>
    <t>011136</t>
  </si>
  <si>
    <t>洪碩岑</t>
  </si>
  <si>
    <t>模具二乙</t>
  </si>
  <si>
    <t>015202</t>
  </si>
  <si>
    <t>蔡奕熏</t>
  </si>
  <si>
    <t>015213</t>
  </si>
  <si>
    <t>洪聖傑</t>
  </si>
  <si>
    <t>015218</t>
  </si>
  <si>
    <t>徐恩</t>
  </si>
  <si>
    <t>015221</t>
  </si>
  <si>
    <t>黃品堯</t>
  </si>
  <si>
    <t>015229</t>
  </si>
  <si>
    <t>廖世杰</t>
  </si>
  <si>
    <t>應英二甲</t>
  </si>
  <si>
    <t>018117</t>
  </si>
  <si>
    <t>張云瑄</t>
  </si>
  <si>
    <t>018119</t>
  </si>
  <si>
    <t>許竣揚</t>
  </si>
  <si>
    <t>018128</t>
  </si>
  <si>
    <t>李冠緯</t>
  </si>
  <si>
    <t>018132</t>
  </si>
  <si>
    <t>陳知見</t>
  </si>
  <si>
    <t>018133</t>
  </si>
  <si>
    <t>廖聖羽</t>
  </si>
  <si>
    <t>鑄造二乙</t>
  </si>
  <si>
    <t>012208</t>
  </si>
  <si>
    <t>黃俊騰</t>
  </si>
  <si>
    <t>012216</t>
  </si>
  <si>
    <t>吳晉宏</t>
  </si>
  <si>
    <t>012223</t>
  </si>
  <si>
    <t>黃聖傑</t>
  </si>
  <si>
    <t>012226</t>
  </si>
  <si>
    <t>黃品舜</t>
  </si>
  <si>
    <t>012231</t>
  </si>
  <si>
    <t>周遼翔</t>
  </si>
  <si>
    <t>012232</t>
  </si>
  <si>
    <t>王德軒</t>
  </si>
  <si>
    <t>012233</t>
  </si>
  <si>
    <t>鄭羿廷</t>
  </si>
  <si>
    <t>汽車二甲</t>
  </si>
  <si>
    <t>013103</t>
  </si>
  <si>
    <t>林韋汝</t>
  </si>
  <si>
    <t>013104</t>
  </si>
  <si>
    <t>郭品呈</t>
  </si>
  <si>
    <t>013111</t>
  </si>
  <si>
    <t>李永順</t>
  </si>
  <si>
    <t>013116</t>
  </si>
  <si>
    <t>陳昱佑</t>
  </si>
  <si>
    <t>013122</t>
  </si>
  <si>
    <t>楊哲輝</t>
  </si>
  <si>
    <t>013124</t>
  </si>
  <si>
    <t>侯丞安</t>
  </si>
  <si>
    <t>013130</t>
  </si>
  <si>
    <t>王翊丞</t>
  </si>
  <si>
    <t>013132</t>
  </si>
  <si>
    <t>周哲愷</t>
  </si>
  <si>
    <t>013136</t>
  </si>
  <si>
    <t>江秉壕</t>
  </si>
  <si>
    <t>電機二甲</t>
  </si>
  <si>
    <t>014126</t>
  </si>
  <si>
    <t>葉鎮銓</t>
  </si>
  <si>
    <t>014129</t>
  </si>
  <si>
    <t>簡愷志</t>
  </si>
  <si>
    <t>應英二乙</t>
  </si>
  <si>
    <t>018214</t>
  </si>
  <si>
    <t>陳惠雲</t>
  </si>
  <si>
    <t>018233</t>
  </si>
  <si>
    <t>楊竣棋</t>
  </si>
  <si>
    <t>鑄造二甲</t>
  </si>
  <si>
    <t>012104</t>
  </si>
  <si>
    <t>黃玟瑄</t>
  </si>
  <si>
    <t>012107</t>
  </si>
  <si>
    <t>黃振廷</t>
  </si>
  <si>
    <t>012119</t>
  </si>
  <si>
    <t>陳師煌</t>
  </si>
  <si>
    <t>012120</t>
  </si>
  <si>
    <t>林鉅倫</t>
  </si>
  <si>
    <t>012123</t>
  </si>
  <si>
    <t>吳鴻懿</t>
  </si>
  <si>
    <t>012125</t>
  </si>
  <si>
    <t>孫敬修</t>
  </si>
  <si>
    <t>012129</t>
  </si>
  <si>
    <t>林士恩</t>
  </si>
  <si>
    <t>012134</t>
  </si>
  <si>
    <t>洪義福</t>
  </si>
  <si>
    <t>012135</t>
  </si>
  <si>
    <t>湯益嘉</t>
  </si>
  <si>
    <t>資訊二甲</t>
  </si>
  <si>
    <t>014603</t>
  </si>
  <si>
    <t>黃煒倫</t>
  </si>
  <si>
    <t>014607</t>
  </si>
  <si>
    <t>嚴冠博</t>
  </si>
  <si>
    <t>014608</t>
  </si>
  <si>
    <t>高啟竣</t>
  </si>
  <si>
    <t>014610</t>
  </si>
  <si>
    <t>陳冠勳</t>
  </si>
  <si>
    <t>014616</t>
  </si>
  <si>
    <t>林浩齊</t>
  </si>
  <si>
    <t>014622</t>
  </si>
  <si>
    <t>顏聖軒</t>
  </si>
  <si>
    <t>014626</t>
  </si>
  <si>
    <t>王品中</t>
  </si>
  <si>
    <t>014627</t>
  </si>
  <si>
    <t>李承叡</t>
  </si>
  <si>
    <t>014631</t>
  </si>
  <si>
    <t>李崎種</t>
  </si>
  <si>
    <t>製圖二丙</t>
  </si>
  <si>
    <t>016303</t>
  </si>
  <si>
    <t>王詩涵</t>
  </si>
  <si>
    <t>016304</t>
  </si>
  <si>
    <t>柯含霖</t>
  </si>
  <si>
    <t>016305</t>
  </si>
  <si>
    <t>張立穎</t>
  </si>
  <si>
    <t>016306</t>
  </si>
  <si>
    <t>莊于葳</t>
  </si>
  <si>
    <t>016310</t>
  </si>
  <si>
    <t>黃新鈺</t>
  </si>
  <si>
    <t>016317</t>
  </si>
  <si>
    <t>張益銓</t>
  </si>
  <si>
    <t>016319</t>
  </si>
  <si>
    <t>邱群凱</t>
  </si>
  <si>
    <t>016321</t>
  </si>
  <si>
    <t>陳均為</t>
  </si>
  <si>
    <t>016322</t>
  </si>
  <si>
    <t>黃得倫</t>
  </si>
  <si>
    <t>016323</t>
  </si>
  <si>
    <t>戴鈺宸</t>
  </si>
  <si>
    <t>016325</t>
  </si>
  <si>
    <t>辜柏誠</t>
  </si>
  <si>
    <t>016327</t>
  </si>
  <si>
    <t>李楷珩</t>
  </si>
  <si>
    <t>016332</t>
  </si>
  <si>
    <t>王琮文</t>
  </si>
  <si>
    <t>016333</t>
  </si>
  <si>
    <t>柯育賢</t>
  </si>
  <si>
    <t>016335</t>
  </si>
  <si>
    <t>何重億</t>
  </si>
  <si>
    <t>016336</t>
  </si>
  <si>
    <t>林志謙</t>
  </si>
  <si>
    <t>資處二甲</t>
  </si>
  <si>
    <t>017101</t>
  </si>
  <si>
    <t>李恩蘋</t>
  </si>
  <si>
    <t>017111</t>
  </si>
  <si>
    <t>陳思慧</t>
  </si>
  <si>
    <t>017120</t>
  </si>
  <si>
    <t>黃振齊</t>
  </si>
  <si>
    <t>017130</t>
  </si>
  <si>
    <t>林宥騰</t>
  </si>
  <si>
    <t>汽車二乙</t>
  </si>
  <si>
    <t>013201</t>
  </si>
  <si>
    <t>蔣任軒</t>
  </si>
  <si>
    <t>013206</t>
  </si>
  <si>
    <t>汪咨成</t>
  </si>
  <si>
    <t>013211</t>
  </si>
  <si>
    <t>王家恩</t>
  </si>
  <si>
    <t>013212</t>
  </si>
  <si>
    <t>陳冠閎</t>
  </si>
  <si>
    <t>013214</t>
  </si>
  <si>
    <t>曹志偉</t>
  </si>
  <si>
    <t>013216</t>
  </si>
  <si>
    <t>陳振鎧</t>
  </si>
  <si>
    <t>013218</t>
  </si>
  <si>
    <t>林暉恩</t>
  </si>
  <si>
    <t>013219</t>
  </si>
  <si>
    <t>黃立穎</t>
  </si>
  <si>
    <t>013224</t>
  </si>
  <si>
    <t>呂冠頡</t>
  </si>
  <si>
    <t>013225</t>
  </si>
  <si>
    <t>陳弘翰</t>
  </si>
  <si>
    <t>013228</t>
  </si>
  <si>
    <t>王竣弘</t>
  </si>
  <si>
    <t>013229</t>
  </si>
  <si>
    <t>張楷翊</t>
  </si>
  <si>
    <t>013233</t>
  </si>
  <si>
    <t>林育綸</t>
  </si>
  <si>
    <t>機械二乙</t>
  </si>
  <si>
    <t>011205</t>
  </si>
  <si>
    <t>陳俞盛</t>
  </si>
  <si>
    <t>011207</t>
  </si>
  <si>
    <t>白建豐</t>
  </si>
  <si>
    <t>011213</t>
  </si>
  <si>
    <t>吳奇彥</t>
  </si>
  <si>
    <t>011225</t>
  </si>
  <si>
    <t>吳星輝</t>
  </si>
  <si>
    <t>011227</t>
  </si>
  <si>
    <t>周宥丞</t>
  </si>
  <si>
    <t>011234</t>
  </si>
  <si>
    <t>黃思豪</t>
  </si>
  <si>
    <t>電機二丙</t>
  </si>
  <si>
    <t>014307</t>
  </si>
  <si>
    <t>何非選</t>
  </si>
  <si>
    <t>014308</t>
  </si>
  <si>
    <t>詹士玄</t>
  </si>
  <si>
    <t>014312</t>
  </si>
  <si>
    <t>郭晉安</t>
  </si>
  <si>
    <t>製圖二甲</t>
  </si>
  <si>
    <t>016119</t>
  </si>
  <si>
    <t>林群翔</t>
  </si>
  <si>
    <t>016125</t>
  </si>
  <si>
    <t>林欣正</t>
  </si>
  <si>
    <t>016133</t>
  </si>
  <si>
    <t>陳柏軒</t>
  </si>
  <si>
    <t>016137</t>
  </si>
  <si>
    <t>陳柏偉</t>
  </si>
  <si>
    <t>電機二乙</t>
  </si>
  <si>
    <t>014211</t>
  </si>
  <si>
    <t>黃暐翰</t>
  </si>
  <si>
    <t>014214</t>
  </si>
  <si>
    <t>黃柏崴</t>
  </si>
  <si>
    <t>014215</t>
  </si>
  <si>
    <t>卓銘賢</t>
  </si>
  <si>
    <t>014219</t>
  </si>
  <si>
    <t>李和諭</t>
  </si>
  <si>
    <t>014228</t>
  </si>
  <si>
    <t>詹秝維</t>
  </si>
  <si>
    <t>014230</t>
  </si>
  <si>
    <t>劉晉宇</t>
  </si>
  <si>
    <t>014235</t>
  </si>
  <si>
    <t>洪力</t>
  </si>
  <si>
    <t>014238</t>
  </si>
  <si>
    <t>洪浩恩</t>
  </si>
  <si>
    <t>模具二甲</t>
  </si>
  <si>
    <t>015109</t>
  </si>
  <si>
    <t>潤潤</t>
  </si>
  <si>
    <t>015111</t>
  </si>
  <si>
    <t>賴億樺</t>
  </si>
  <si>
    <t>015121</t>
  </si>
  <si>
    <t>簡立至</t>
  </si>
  <si>
    <t>015129</t>
  </si>
  <si>
    <t>楊子賢</t>
  </si>
  <si>
    <t>015130</t>
  </si>
  <si>
    <t>王昱翔</t>
  </si>
  <si>
    <t>015132</t>
  </si>
  <si>
    <t>015136</t>
  </si>
  <si>
    <t>徐嘉謙</t>
  </si>
  <si>
    <t>製圖二乙</t>
  </si>
  <si>
    <t>016206</t>
  </si>
  <si>
    <t>林星妤</t>
  </si>
  <si>
    <t>016217</t>
  </si>
  <si>
    <t>蕭丞宏</t>
  </si>
  <si>
    <t>016222</t>
  </si>
  <si>
    <t>徐鵬荏</t>
  </si>
  <si>
    <t>016226</t>
  </si>
  <si>
    <t>劉建緯</t>
  </si>
  <si>
    <t>016227</t>
  </si>
  <si>
    <t>016234</t>
  </si>
  <si>
    <t>董人譽</t>
  </si>
  <si>
    <t>011203</t>
  </si>
  <si>
    <t>翁梓竣</t>
  </si>
  <si>
    <t>011208</t>
  </si>
  <si>
    <t>呂天佑</t>
  </si>
  <si>
    <t>011210</t>
  </si>
  <si>
    <t>鄒家祐</t>
  </si>
  <si>
    <t>011214</t>
  </si>
  <si>
    <t>邱韋翔</t>
  </si>
  <si>
    <t>011221</t>
  </si>
  <si>
    <t>許勝傑</t>
  </si>
  <si>
    <t>011228</t>
  </si>
  <si>
    <t>楊志杰</t>
  </si>
  <si>
    <t>011233</t>
  </si>
  <si>
    <t>廖家緯</t>
  </si>
  <si>
    <t>012209</t>
  </si>
  <si>
    <t>張睿閎</t>
  </si>
  <si>
    <t>012215</t>
  </si>
  <si>
    <t>陳柏勳</t>
  </si>
  <si>
    <t>012217</t>
  </si>
  <si>
    <t>李定閎</t>
  </si>
  <si>
    <t>012220</t>
  </si>
  <si>
    <t>樊德成</t>
  </si>
  <si>
    <t>012221</t>
  </si>
  <si>
    <t>李文豊</t>
  </si>
  <si>
    <t>012225</t>
  </si>
  <si>
    <t>蘇宥倫</t>
  </si>
  <si>
    <t>012230</t>
  </si>
  <si>
    <t>翁竣竑</t>
  </si>
  <si>
    <t>010105</t>
  </si>
  <si>
    <t>鍾宜廷</t>
  </si>
  <si>
    <t>010106</t>
  </si>
  <si>
    <t>陳其鴻</t>
  </si>
  <si>
    <t>010112</t>
  </si>
  <si>
    <t>王志緯</t>
  </si>
  <si>
    <t>010114</t>
  </si>
  <si>
    <t>鍾政辰</t>
  </si>
  <si>
    <t>010117</t>
  </si>
  <si>
    <t>林泓君</t>
  </si>
  <si>
    <t>011102</t>
  </si>
  <si>
    <t>陳冠宏</t>
  </si>
  <si>
    <t>011108</t>
  </si>
  <si>
    <t>藍文宏</t>
  </si>
  <si>
    <t>011118</t>
  </si>
  <si>
    <t>林雨呈</t>
  </si>
  <si>
    <t>011130</t>
  </si>
  <si>
    <t>楊禾駿</t>
  </si>
  <si>
    <t>011131</t>
  </si>
  <si>
    <t>卓銘聖</t>
  </si>
  <si>
    <t>013112</t>
  </si>
  <si>
    <t>余祐陞</t>
  </si>
  <si>
    <t>013131</t>
  </si>
  <si>
    <t>張博翔</t>
  </si>
  <si>
    <t>014205</t>
  </si>
  <si>
    <t>李書瑋</t>
  </si>
  <si>
    <t>014209</t>
  </si>
  <si>
    <t>詹鎧宗</t>
  </si>
  <si>
    <t>014227</t>
  </si>
  <si>
    <t>連子翰</t>
  </si>
  <si>
    <t>014233</t>
  </si>
  <si>
    <t>李榮絃</t>
  </si>
  <si>
    <t>016329</t>
  </si>
  <si>
    <t>王佳笙</t>
  </si>
  <si>
    <t>012105</t>
  </si>
  <si>
    <t>吳宏達</t>
  </si>
  <si>
    <t>012114</t>
  </si>
  <si>
    <t>邱泓凱</t>
  </si>
  <si>
    <t>012115</t>
  </si>
  <si>
    <t>顏宇</t>
  </si>
  <si>
    <t>012117</t>
  </si>
  <si>
    <t>黃德元</t>
  </si>
  <si>
    <t>012121</t>
  </si>
  <si>
    <t>賴柏宏</t>
  </si>
  <si>
    <t>012122</t>
  </si>
  <si>
    <t>沈昶宏</t>
  </si>
  <si>
    <t>012130</t>
  </si>
  <si>
    <t>吳宇翔</t>
  </si>
  <si>
    <t>016102</t>
  </si>
  <si>
    <t>卓悅君</t>
  </si>
  <si>
    <t>016103</t>
  </si>
  <si>
    <t>顏偲妘</t>
  </si>
  <si>
    <t>016107</t>
  </si>
  <si>
    <t>王御</t>
  </si>
  <si>
    <t>016124</t>
  </si>
  <si>
    <t>洪碩廷</t>
  </si>
  <si>
    <t>016126</t>
  </si>
  <si>
    <t>曾于誠</t>
  </si>
  <si>
    <t>016127</t>
  </si>
  <si>
    <t>劉康翊</t>
  </si>
  <si>
    <t>016128</t>
  </si>
  <si>
    <t>蘇品睿</t>
  </si>
  <si>
    <t>016129</t>
  </si>
  <si>
    <t>藍士閔</t>
  </si>
  <si>
    <t>016134</t>
  </si>
  <si>
    <t>謝晉元</t>
  </si>
  <si>
    <t>016136</t>
  </si>
  <si>
    <t>楊祺森</t>
  </si>
  <si>
    <t>017112</t>
  </si>
  <si>
    <t>張瓅文</t>
  </si>
  <si>
    <t>017114</t>
  </si>
  <si>
    <t>施冠妤</t>
  </si>
  <si>
    <t>017126</t>
  </si>
  <si>
    <t>劉子豪</t>
  </si>
  <si>
    <t>017129</t>
  </si>
  <si>
    <t>葉佳晉</t>
  </si>
  <si>
    <t>017132</t>
  </si>
  <si>
    <t>陳楷壬</t>
  </si>
  <si>
    <t>017134</t>
  </si>
  <si>
    <t>王勛揚</t>
  </si>
  <si>
    <t>013202</t>
  </si>
  <si>
    <t>錢昱安</t>
  </si>
  <si>
    <t>013213</t>
  </si>
  <si>
    <t>張育倫</t>
  </si>
  <si>
    <t>013223</t>
  </si>
  <si>
    <t>顏于程</t>
  </si>
  <si>
    <t>013226</t>
  </si>
  <si>
    <t>李少淮</t>
  </si>
  <si>
    <t>013231</t>
  </si>
  <si>
    <t>吳承祐</t>
  </si>
  <si>
    <t>013232</t>
  </si>
  <si>
    <t>李承恩</t>
  </si>
  <si>
    <t>013236</t>
  </si>
  <si>
    <t>江永盛</t>
  </si>
  <si>
    <t>013237</t>
  </si>
  <si>
    <t>張琮茂</t>
  </si>
  <si>
    <t>015237</t>
  </si>
  <si>
    <t>林彥佑</t>
  </si>
  <si>
    <t>014108</t>
  </si>
  <si>
    <t>李御丞</t>
  </si>
  <si>
    <t>014109</t>
  </si>
  <si>
    <t>談宸宇</t>
  </si>
  <si>
    <t>014110</t>
  </si>
  <si>
    <t>陳誌鍠</t>
  </si>
  <si>
    <t>014114</t>
  </si>
  <si>
    <t>蔡德霖</t>
  </si>
  <si>
    <t>014120</t>
  </si>
  <si>
    <t>陳宥廷</t>
  </si>
  <si>
    <t>014124</t>
  </si>
  <si>
    <t>林裕峰</t>
  </si>
  <si>
    <t>014132</t>
  </si>
  <si>
    <t>林宥丞</t>
  </si>
  <si>
    <t>014135</t>
  </si>
  <si>
    <t>陳勁</t>
  </si>
  <si>
    <t>014139</t>
  </si>
  <si>
    <t>廖樹辰</t>
  </si>
  <si>
    <t>014303</t>
  </si>
  <si>
    <t>林祐德</t>
  </si>
  <si>
    <t>014304</t>
  </si>
  <si>
    <t>郭哲瑞</t>
  </si>
  <si>
    <t>014313</t>
  </si>
  <si>
    <t>戴軒丞</t>
  </si>
  <si>
    <t>014327</t>
  </si>
  <si>
    <t>江鄧全</t>
  </si>
  <si>
    <t>014329</t>
  </si>
  <si>
    <t>李政珈</t>
  </si>
  <si>
    <t>014330</t>
  </si>
  <si>
    <t>李知豫</t>
  </si>
  <si>
    <t>014617</t>
  </si>
  <si>
    <t>014619</t>
  </si>
  <si>
    <t>黃冠廷</t>
  </si>
  <si>
    <t>014629</t>
  </si>
  <si>
    <t>林禹安</t>
  </si>
  <si>
    <t>015104</t>
  </si>
  <si>
    <t>張芸瑄</t>
  </si>
  <si>
    <t>015117</t>
  </si>
  <si>
    <t>林港熹</t>
  </si>
  <si>
    <t>015131</t>
  </si>
  <si>
    <t>黃冠凱</t>
  </si>
  <si>
    <t>015133</t>
  </si>
  <si>
    <t>高柏維</t>
  </si>
  <si>
    <t>016208</t>
  </si>
  <si>
    <t>張雅翔</t>
  </si>
  <si>
    <t>016209</t>
  </si>
  <si>
    <t>鄒家芃</t>
  </si>
  <si>
    <t>016212</t>
  </si>
  <si>
    <t>賴彥廷</t>
  </si>
  <si>
    <t>016218</t>
  </si>
  <si>
    <t>劉佳杰</t>
  </si>
  <si>
    <t>016219</t>
  </si>
  <si>
    <t>林詩耕</t>
  </si>
  <si>
    <t>016221</t>
  </si>
  <si>
    <t>鄭栩寬</t>
  </si>
  <si>
    <t>016230</t>
  </si>
  <si>
    <t>沈鴻文</t>
  </si>
  <si>
    <t>016231</t>
  </si>
  <si>
    <t>王柏凱</t>
  </si>
  <si>
    <t>資處二乙</t>
  </si>
  <si>
    <t>017208</t>
  </si>
  <si>
    <t>江紫彤</t>
  </si>
  <si>
    <t>017229</t>
  </si>
  <si>
    <t>李承哲</t>
  </si>
  <si>
    <t>011229</t>
  </si>
  <si>
    <t>曾翰柏</t>
  </si>
  <si>
    <t>012203</t>
  </si>
  <si>
    <t>葉家瑜</t>
  </si>
  <si>
    <t>012212</t>
  </si>
  <si>
    <t>李秉樺</t>
  </si>
  <si>
    <t>011114</t>
  </si>
  <si>
    <t>賴博彥</t>
  </si>
  <si>
    <t>014208</t>
  </si>
  <si>
    <t>賴士宏</t>
  </si>
  <si>
    <t>014237</t>
  </si>
  <si>
    <t>張哲豪</t>
  </si>
  <si>
    <t>016314</t>
  </si>
  <si>
    <t>何詹培遠</t>
  </si>
  <si>
    <t>016324</t>
  </si>
  <si>
    <t>毛繹安</t>
  </si>
  <si>
    <t>012108</t>
  </si>
  <si>
    <t>李宥霖</t>
  </si>
  <si>
    <t>012132</t>
  </si>
  <si>
    <t>李遠銘</t>
  </si>
  <si>
    <t>016111</t>
  </si>
  <si>
    <t>侯彥杰</t>
  </si>
  <si>
    <t>016123</t>
  </si>
  <si>
    <t>林鈺淞</t>
  </si>
  <si>
    <t>017102</t>
  </si>
  <si>
    <t>郭馨芸</t>
  </si>
  <si>
    <t>014136</t>
  </si>
  <si>
    <t>吳家愷</t>
  </si>
  <si>
    <t>014338</t>
  </si>
  <si>
    <t>曾胤瑄</t>
  </si>
  <si>
    <t>014620</t>
  </si>
  <si>
    <t>張敬昌</t>
  </si>
  <si>
    <t>016210</t>
  </si>
  <si>
    <t>李岳宸</t>
  </si>
  <si>
    <t>016214</t>
  </si>
  <si>
    <t>林頎凱</t>
  </si>
  <si>
    <t>017218</t>
  </si>
  <si>
    <t>黃柏凱</t>
  </si>
  <si>
    <t>017219</t>
  </si>
  <si>
    <t>葉修宇</t>
  </si>
  <si>
    <t>017225</t>
  </si>
  <si>
    <t>潘伯軒</t>
  </si>
  <si>
    <t>011206</t>
  </si>
  <si>
    <t>邱嘉成</t>
  </si>
  <si>
    <t>011218</t>
  </si>
  <si>
    <t>周松億</t>
  </si>
  <si>
    <t>011220</t>
  </si>
  <si>
    <t>陳齊君</t>
  </si>
  <si>
    <t>011232</t>
  </si>
  <si>
    <t>梁峻銘</t>
  </si>
  <si>
    <t>014104</t>
  </si>
  <si>
    <t>黃微雅</t>
  </si>
  <si>
    <t>018125</t>
  </si>
  <si>
    <t>徐永明</t>
  </si>
  <si>
    <t>018204</t>
  </si>
  <si>
    <t>林姿婷</t>
  </si>
  <si>
    <t>018207</t>
  </si>
  <si>
    <t>許芸禎</t>
  </si>
  <si>
    <t>018210</t>
  </si>
  <si>
    <t>謝恩敏</t>
  </si>
  <si>
    <t>018219</t>
  </si>
  <si>
    <t>張喬臻</t>
  </si>
  <si>
    <t>018227</t>
  </si>
  <si>
    <t>王宥鈞</t>
  </si>
  <si>
    <t>015234</t>
  </si>
  <si>
    <t>許修豪</t>
  </si>
  <si>
    <t>016330</t>
  </si>
  <si>
    <t>王祈錩</t>
  </si>
  <si>
    <t>016101</t>
  </si>
  <si>
    <t>吳雨潔</t>
  </si>
  <si>
    <t>016130</t>
  </si>
  <si>
    <t>林泳勳</t>
  </si>
  <si>
    <t>016135</t>
  </si>
  <si>
    <t>陳宣崴</t>
  </si>
  <si>
    <t>012110</t>
  </si>
  <si>
    <t>許均睿</t>
  </si>
  <si>
    <t>012111</t>
  </si>
  <si>
    <t>高允佑</t>
  </si>
  <si>
    <t>012127</t>
  </si>
  <si>
    <t>吳炘祐</t>
  </si>
  <si>
    <t>012133</t>
  </si>
  <si>
    <t>廖星羽</t>
  </si>
  <si>
    <t>014204</t>
  </si>
  <si>
    <t>許智豪</t>
  </si>
  <si>
    <t>014305</t>
  </si>
  <si>
    <t>丁裕峰</t>
  </si>
  <si>
    <t>014306</t>
  </si>
  <si>
    <t>陳彥亨</t>
  </si>
  <si>
    <t>014310</t>
  </si>
  <si>
    <t>楊凱勝</t>
  </si>
  <si>
    <t>014323</t>
  </si>
  <si>
    <t>張輔恩</t>
  </si>
  <si>
    <t>016223</t>
  </si>
  <si>
    <t>黃子峻</t>
  </si>
  <si>
    <t>016232</t>
  </si>
  <si>
    <t>莊宥彥</t>
  </si>
  <si>
    <t>016233</t>
  </si>
  <si>
    <t>劉昊儀</t>
  </si>
  <si>
    <t>016235</t>
  </si>
  <si>
    <t>張騏烽</t>
  </si>
  <si>
    <t>010108</t>
  </si>
  <si>
    <t>鄒偉恆</t>
  </si>
  <si>
    <t>010110</t>
  </si>
  <si>
    <t>蔣官峰</t>
  </si>
  <si>
    <t>010116</t>
  </si>
  <si>
    <t>李宗恩</t>
  </si>
  <si>
    <t>010118</t>
  </si>
  <si>
    <t>許元愷</t>
  </si>
  <si>
    <t>012205</t>
  </si>
  <si>
    <t>姚謹哲</t>
  </si>
  <si>
    <t>012206</t>
  </si>
  <si>
    <t>黃亦莨</t>
  </si>
  <si>
    <t>012219</t>
  </si>
  <si>
    <t>黃定綸</t>
  </si>
  <si>
    <t>012224</t>
  </si>
  <si>
    <t>胡箴恩</t>
  </si>
  <si>
    <t>013126</t>
  </si>
  <si>
    <t>莊仕謙</t>
  </si>
  <si>
    <t>013127</t>
  </si>
  <si>
    <t>李柏叡</t>
  </si>
  <si>
    <t>013129</t>
  </si>
  <si>
    <t>簡詠翔</t>
  </si>
  <si>
    <t>011110</t>
  </si>
  <si>
    <t>黃士軒</t>
  </si>
  <si>
    <t>011126</t>
  </si>
  <si>
    <t>巫為烽</t>
  </si>
  <si>
    <t>015105</t>
  </si>
  <si>
    <t>陳駿宏</t>
  </si>
  <si>
    <t>015112</t>
  </si>
  <si>
    <t>吳東璘</t>
  </si>
  <si>
    <t>017113</t>
  </si>
  <si>
    <t>吳婉君</t>
  </si>
  <si>
    <t>017233</t>
  </si>
  <si>
    <t>董明倉</t>
  </si>
  <si>
    <t>歷史</t>
  </si>
  <si>
    <t>012113</t>
  </si>
  <si>
    <t>陳君瀚</t>
  </si>
  <si>
    <t>014302</t>
  </si>
  <si>
    <t>林柏宇</t>
  </si>
  <si>
    <t>015118</t>
  </si>
  <si>
    <t>周楷恩</t>
  </si>
  <si>
    <t>015227</t>
  </si>
  <si>
    <t>呂弈宏</t>
  </si>
  <si>
    <t>015236</t>
  </si>
  <si>
    <t>陳宥伸</t>
  </si>
  <si>
    <t>015238</t>
  </si>
  <si>
    <t>李柏勳</t>
  </si>
  <si>
    <t>014117</t>
  </si>
  <si>
    <t>林弘凱</t>
  </si>
  <si>
    <t>015207</t>
  </si>
  <si>
    <t>劉俊毅</t>
  </si>
  <si>
    <t>015228</t>
  </si>
  <si>
    <t>李定哲</t>
  </si>
  <si>
    <t>生物</t>
  </si>
  <si>
    <t>016120</t>
  </si>
  <si>
    <t>陳俊宇</t>
  </si>
  <si>
    <t>生活科技</t>
  </si>
  <si>
    <t>新媒體藝術</t>
  </si>
  <si>
    <t>011215</t>
  </si>
  <si>
    <t>郭展境</t>
  </si>
  <si>
    <t>014118</t>
  </si>
  <si>
    <t>林承遠</t>
  </si>
  <si>
    <t>014207</t>
  </si>
  <si>
    <t>何仲軒</t>
  </si>
  <si>
    <t>014216</t>
  </si>
  <si>
    <t>張傑凱</t>
  </si>
  <si>
    <t>015110</t>
  </si>
  <si>
    <t>張晉維</t>
  </si>
  <si>
    <t>015224</t>
  </si>
  <si>
    <t>王睿緯</t>
  </si>
  <si>
    <t>015226</t>
  </si>
  <si>
    <t>曹恩睿</t>
  </si>
  <si>
    <t>018135</t>
  </si>
  <si>
    <t>張少翌</t>
  </si>
  <si>
    <t>018225</t>
  </si>
  <si>
    <t>謝睿騰</t>
  </si>
  <si>
    <t>018226</t>
  </si>
  <si>
    <t>楊蘴閮</t>
  </si>
  <si>
    <t>018234</t>
  </si>
  <si>
    <t>張子強</t>
  </si>
  <si>
    <t>餐服二甲</t>
  </si>
  <si>
    <t>019314</t>
  </si>
  <si>
    <t>蔡耀鑫</t>
  </si>
  <si>
    <t>藝術生活</t>
  </si>
  <si>
    <t>專題實作</t>
  </si>
  <si>
    <t>017227</t>
  </si>
  <si>
    <t>陳宏嘉</t>
  </si>
  <si>
    <t>018231</t>
  </si>
  <si>
    <t>黃培祐</t>
  </si>
  <si>
    <t>018232</t>
  </si>
  <si>
    <t>汪宏育</t>
  </si>
  <si>
    <t>010125</t>
  </si>
  <si>
    <t>周邦彥</t>
  </si>
  <si>
    <t>專項體能訓練</t>
  </si>
  <si>
    <t>機件原理</t>
  </si>
  <si>
    <t>011231</t>
  </si>
  <si>
    <t>蔡宗志</t>
  </si>
  <si>
    <t>012210</t>
  </si>
  <si>
    <t>吳佳凱</t>
  </si>
  <si>
    <t>015135</t>
  </si>
  <si>
    <t>孫茂庭</t>
  </si>
  <si>
    <t>016118</t>
  </si>
  <si>
    <t>蔡其聖</t>
  </si>
  <si>
    <t>016131</t>
  </si>
  <si>
    <t>呂承憲</t>
  </si>
  <si>
    <t>016316</t>
  </si>
  <si>
    <t>梁凱強</t>
  </si>
  <si>
    <t>機械力學</t>
  </si>
  <si>
    <t>011235</t>
  </si>
  <si>
    <t>陳泓宇</t>
  </si>
  <si>
    <t>015101</t>
  </si>
  <si>
    <t>蔡欣凌</t>
  </si>
  <si>
    <t>015103</t>
  </si>
  <si>
    <t>林湘庭</t>
  </si>
  <si>
    <t>015106</t>
  </si>
  <si>
    <t>葉子懿</t>
  </si>
  <si>
    <t>015115</t>
  </si>
  <si>
    <t>周容</t>
  </si>
  <si>
    <t>015122</t>
  </si>
  <si>
    <t>許竣皓</t>
  </si>
  <si>
    <t>015123</t>
  </si>
  <si>
    <t>王千易</t>
  </si>
  <si>
    <t>015127</t>
  </si>
  <si>
    <t>劉定綸</t>
  </si>
  <si>
    <t>015205</t>
  </si>
  <si>
    <t>陳冠富</t>
  </si>
  <si>
    <t>015206</t>
  </si>
  <si>
    <t>吳丞軒</t>
  </si>
  <si>
    <t>015219</t>
  </si>
  <si>
    <t>葉倉農</t>
  </si>
  <si>
    <t>016313</t>
  </si>
  <si>
    <t>張賀程</t>
  </si>
  <si>
    <t>機械工作法</t>
  </si>
  <si>
    <t>電腦輔助模型實習</t>
  </si>
  <si>
    <t>電腦輔助製圖與實習</t>
  </si>
  <si>
    <t>011132</t>
  </si>
  <si>
    <t>劉柏均</t>
  </si>
  <si>
    <t>電腦輔助機械設計製圖實習</t>
  </si>
  <si>
    <t>011226</t>
  </si>
  <si>
    <t>李均程</t>
  </si>
  <si>
    <t>機械製圖實習進階</t>
  </si>
  <si>
    <t>數值控制機械實習</t>
  </si>
  <si>
    <t>015119</t>
  </si>
  <si>
    <t>陳威驊</t>
  </si>
  <si>
    <t>015215</t>
  </si>
  <si>
    <t>王聖傑</t>
  </si>
  <si>
    <t>015220</t>
  </si>
  <si>
    <t>楊宗穎</t>
  </si>
  <si>
    <t>015222</t>
  </si>
  <si>
    <t>戴偉倫</t>
  </si>
  <si>
    <t>015233</t>
  </si>
  <si>
    <t>黃玉桂</t>
  </si>
  <si>
    <t>機械綜合加工實習</t>
  </si>
  <si>
    <t>011133</t>
  </si>
  <si>
    <t>吳哲安</t>
  </si>
  <si>
    <t>機械加工實習</t>
  </si>
  <si>
    <t>鑄造實習</t>
  </si>
  <si>
    <t>013123</t>
  </si>
  <si>
    <t>陳翊碩</t>
  </si>
  <si>
    <t>汽車電學</t>
  </si>
  <si>
    <t>014604</t>
  </si>
  <si>
    <t>林佑昇</t>
  </si>
  <si>
    <t>電子學</t>
  </si>
  <si>
    <t>014605</t>
  </si>
  <si>
    <t>楊鈞傑</t>
  </si>
  <si>
    <t>014611</t>
  </si>
  <si>
    <t>李展毅</t>
  </si>
  <si>
    <t>014614</t>
  </si>
  <si>
    <t>鄭群豫</t>
  </si>
  <si>
    <t>014634</t>
  </si>
  <si>
    <t>王均睿</t>
  </si>
  <si>
    <t>014301</t>
  </si>
  <si>
    <t>吳友亮</t>
  </si>
  <si>
    <t>014311</t>
  </si>
  <si>
    <t>賴均銘</t>
  </si>
  <si>
    <t>014314</t>
  </si>
  <si>
    <t>黃宥凱</t>
  </si>
  <si>
    <t>014315</t>
  </si>
  <si>
    <t>邱義軒</t>
  </si>
  <si>
    <t>014319</t>
  </si>
  <si>
    <t>張焜傑</t>
  </si>
  <si>
    <t>014325</t>
  </si>
  <si>
    <t>沈靖宬</t>
  </si>
  <si>
    <t>014326</t>
  </si>
  <si>
    <t>周翎宇</t>
  </si>
  <si>
    <t>014107</t>
  </si>
  <si>
    <t>陳芳展</t>
  </si>
  <si>
    <t>014111</t>
  </si>
  <si>
    <t>014116</t>
  </si>
  <si>
    <t>賴禹豪</t>
  </si>
  <si>
    <t>014131</t>
  </si>
  <si>
    <t>張忠佑</t>
  </si>
  <si>
    <t>014133</t>
  </si>
  <si>
    <t>賴冠霖</t>
  </si>
  <si>
    <t>電工機械</t>
  </si>
  <si>
    <t>014223</t>
  </si>
  <si>
    <t>黃昱珽</t>
  </si>
  <si>
    <t>014234</t>
  </si>
  <si>
    <t>林晉豪</t>
  </si>
  <si>
    <t>014316</t>
  </si>
  <si>
    <t>郭鎵強</t>
  </si>
  <si>
    <t>電子學實習</t>
  </si>
  <si>
    <t>014601</t>
  </si>
  <si>
    <t>黃馨霈</t>
  </si>
  <si>
    <t>單晶片微處理機實習</t>
  </si>
  <si>
    <t>014615</t>
  </si>
  <si>
    <t>徐偉瀚</t>
  </si>
  <si>
    <t>014623</t>
  </si>
  <si>
    <t>許博維</t>
  </si>
  <si>
    <t>014624</t>
  </si>
  <si>
    <t>陳學霆</t>
  </si>
  <si>
    <t>行動裝置應用實習</t>
  </si>
  <si>
    <t>014632</t>
  </si>
  <si>
    <t>林煒哲</t>
  </si>
  <si>
    <t>量測與工作圖實習</t>
  </si>
  <si>
    <t>實物測繪實習</t>
  </si>
  <si>
    <t>017201</t>
  </si>
  <si>
    <t>魏翊如</t>
  </si>
  <si>
    <t>017206</t>
  </si>
  <si>
    <t>王辰方</t>
  </si>
  <si>
    <t>017223</t>
  </si>
  <si>
    <t>李冠葳</t>
  </si>
  <si>
    <t>017107</t>
  </si>
  <si>
    <t>廖奕筑</t>
  </si>
  <si>
    <t>017117</t>
  </si>
  <si>
    <t>洪翊馨</t>
  </si>
  <si>
    <t>017124</t>
  </si>
  <si>
    <t>高義凱</t>
  </si>
  <si>
    <t>會計實作</t>
  </si>
  <si>
    <t>017204</t>
  </si>
  <si>
    <t>蔡媃安</t>
  </si>
  <si>
    <t>017106</t>
  </si>
  <si>
    <t>鄭若婕</t>
  </si>
  <si>
    <t>經濟學</t>
  </si>
  <si>
    <t>網頁設計</t>
  </si>
  <si>
    <t>017105</t>
  </si>
  <si>
    <t>黃詠葳</t>
  </si>
  <si>
    <t>017119</t>
  </si>
  <si>
    <t>汪宗郁</t>
  </si>
  <si>
    <t>017123</t>
  </si>
  <si>
    <t>吳軍佑</t>
  </si>
  <si>
    <t>017221</t>
  </si>
  <si>
    <t>張裕詮</t>
  </si>
  <si>
    <t>017224</t>
  </si>
  <si>
    <t>江元亨</t>
  </si>
  <si>
    <t>017226</t>
  </si>
  <si>
    <t>蕭龍</t>
  </si>
  <si>
    <t>文創商品設計</t>
  </si>
  <si>
    <t>018213</t>
  </si>
  <si>
    <t>王淨</t>
  </si>
  <si>
    <t>數位科技應用</t>
  </si>
  <si>
    <t>018223</t>
  </si>
  <si>
    <t>劉家齊</t>
  </si>
  <si>
    <t>多媒體英文</t>
  </si>
  <si>
    <t>018224</t>
  </si>
  <si>
    <t>葉冠廷</t>
  </si>
  <si>
    <t>018228</t>
  </si>
  <si>
    <t>倪家亨</t>
  </si>
  <si>
    <t>商用英文實務</t>
  </si>
  <si>
    <t>018202</t>
  </si>
  <si>
    <t>王宴均</t>
  </si>
  <si>
    <t>018220</t>
  </si>
  <si>
    <t>杜騰侑</t>
  </si>
  <si>
    <t>外語簡報實務</t>
  </si>
  <si>
    <t>018130</t>
  </si>
  <si>
    <t>周家彰</t>
  </si>
  <si>
    <t>018206</t>
  </si>
  <si>
    <t>018212</t>
  </si>
  <si>
    <t>王品淳</t>
  </si>
  <si>
    <t>018230</t>
  </si>
  <si>
    <t>吳秉霖</t>
  </si>
  <si>
    <t>018101</t>
  </si>
  <si>
    <t>張維芳</t>
  </si>
  <si>
    <t>字彙與閱讀</t>
  </si>
  <si>
    <t>018110</t>
  </si>
  <si>
    <t>李佩螢</t>
  </si>
  <si>
    <t>018111</t>
  </si>
  <si>
    <t>葉紫婷</t>
  </si>
  <si>
    <t>018122</t>
  </si>
  <si>
    <t>曾崇軒</t>
  </si>
  <si>
    <t>018221</t>
  </si>
  <si>
    <t>林凱</t>
  </si>
  <si>
    <t>中階英語聽講練習</t>
  </si>
  <si>
    <t>018216</t>
  </si>
  <si>
    <t>向品</t>
  </si>
  <si>
    <t>門市二甲</t>
  </si>
  <si>
    <t>019209</t>
  </si>
  <si>
    <t>吳冠穎</t>
  </si>
  <si>
    <t>觀光休閒</t>
  </si>
  <si>
    <t>019214</t>
  </si>
  <si>
    <t>林峰誼</t>
  </si>
  <si>
    <t>職場清潔實作</t>
  </si>
  <si>
    <t>衛生與安全概論</t>
  </si>
  <si>
    <t>019311</t>
  </si>
  <si>
    <t>林伯謙</t>
  </si>
  <si>
    <t>019304</t>
  </si>
  <si>
    <t>賴妍羽</t>
  </si>
  <si>
    <t>事務機器與電腦應用概論</t>
  </si>
  <si>
    <t>商店管理實務</t>
  </si>
  <si>
    <t>019303</t>
  </si>
  <si>
    <t>陳珮綺</t>
  </si>
  <si>
    <t>餐飲內場清潔實習</t>
  </si>
  <si>
    <t>餐飲外場清潔實習</t>
  </si>
  <si>
    <t>家事處理實作</t>
  </si>
  <si>
    <t>姓名1</t>
  </si>
  <si>
    <r>
      <rPr>
        <sz val="10"/>
        <rFont val="微軟正黑體"/>
        <family val="2"/>
        <charset val="136"/>
      </rPr>
      <t>必</t>
    </r>
    <r>
      <rPr>
        <sz val="10"/>
        <rFont val="Arial"/>
        <family val="2"/>
      </rPr>
      <t>/</t>
    </r>
    <r>
      <rPr>
        <sz val="10"/>
        <rFont val="微軟正黑體"/>
        <family val="2"/>
        <charset val="136"/>
      </rPr>
      <t>選</t>
    </r>
    <r>
      <rPr>
        <sz val="10"/>
        <rFont val="細明體"/>
        <family val="2"/>
        <charset val="136"/>
      </rPr>
      <t>修</t>
    </r>
    <phoneticPr fontId="2" type="noConversion"/>
  </si>
  <si>
    <r>
      <rPr>
        <sz val="12"/>
        <rFont val="微軟正黑體"/>
        <family val="2"/>
        <charset val="136"/>
      </rPr>
      <t>必</t>
    </r>
    <r>
      <rPr>
        <sz val="12"/>
        <rFont val="Arial"/>
        <family val="2"/>
      </rPr>
      <t>/</t>
    </r>
    <r>
      <rPr>
        <sz val="12"/>
        <rFont val="微軟正黑體"/>
        <family val="2"/>
        <charset val="136"/>
      </rPr>
      <t>選</t>
    </r>
    <r>
      <rPr>
        <sz val="12"/>
        <rFont val="細明體"/>
        <family val="2"/>
        <charset val="136"/>
      </rPr>
      <t>修</t>
    </r>
    <phoneticPr fontId="2" type="noConversion"/>
  </si>
  <si>
    <t>汽車一乙 計數</t>
  </si>
  <si>
    <t>汽車一甲 計數</t>
  </si>
  <si>
    <t>資訊一乙 計數</t>
  </si>
  <si>
    <t>資訊一甲 計數</t>
  </si>
  <si>
    <t>資處一乙 計數</t>
  </si>
  <si>
    <t>資處一甲 計數</t>
  </si>
  <si>
    <t>電機一乙 計數</t>
  </si>
  <si>
    <t>電機一丙 計數</t>
  </si>
  <si>
    <t>電機一甲 計數</t>
  </si>
  <si>
    <t>製圖一乙 計數</t>
  </si>
  <si>
    <t>製圖一丙 計數</t>
  </si>
  <si>
    <t>製圖一甲 計數</t>
  </si>
  <si>
    <t>模具一乙 計數</t>
  </si>
  <si>
    <t>模具一甲 計數</t>
  </si>
  <si>
    <t>機械一乙 計數</t>
  </si>
  <si>
    <t>機械一甲 計數</t>
  </si>
  <si>
    <t>應英一乙 計數</t>
  </si>
  <si>
    <t>應英一甲 計數</t>
  </si>
  <si>
    <t>鑄造一乙 計數</t>
  </si>
  <si>
    <t>鑄造一甲 計數</t>
  </si>
  <si>
    <t>體育一甲 計數</t>
  </si>
  <si>
    <t>總計數</t>
  </si>
  <si>
    <t>汽車二乙 計數</t>
  </si>
  <si>
    <t>汽車二甲 計數</t>
  </si>
  <si>
    <t>資訊二甲 計數</t>
  </si>
  <si>
    <t>資處二乙 計數</t>
  </si>
  <si>
    <t>資處二甲 計數</t>
  </si>
  <si>
    <t>電機二乙 計數</t>
  </si>
  <si>
    <t>電機二丙 計數</t>
  </si>
  <si>
    <t>電機二甲 計數</t>
  </si>
  <si>
    <t>製圖二乙 計數</t>
  </si>
  <si>
    <t>製圖二丙 計數</t>
  </si>
  <si>
    <t>製圖二甲 計數</t>
  </si>
  <si>
    <t>模具二乙 計數</t>
  </si>
  <si>
    <t>模具二甲 計數</t>
  </si>
  <si>
    <t>機械二乙 計數</t>
  </si>
  <si>
    <t>機械二甲 計數</t>
  </si>
  <si>
    <t>應英二乙 計數</t>
  </si>
  <si>
    <t>應英二甲 計數</t>
  </si>
  <si>
    <t>鑄造二乙 計數</t>
  </si>
  <si>
    <t>鑄造二甲 計數</t>
  </si>
  <si>
    <t>體育二甲 計數</t>
  </si>
  <si>
    <t>補考成績</t>
    <phoneticPr fontId="2" type="noConversion"/>
  </si>
  <si>
    <t>科目班級</t>
    <phoneticPr fontId="2" type="noConversion"/>
  </si>
  <si>
    <t>必/選修</t>
    <phoneticPr fontId="2" type="noConversion"/>
  </si>
  <si>
    <t>姓名</t>
    <phoneticPr fontId="2" type="noConversion"/>
  </si>
  <si>
    <r>
      <rPr>
        <sz val="12"/>
        <rFont val="微軟正黑體"/>
        <family val="2"/>
        <charset val="136"/>
      </rPr>
      <t>英語文</t>
    </r>
    <r>
      <rPr>
        <sz val="12"/>
        <rFont val="Arial"/>
        <family val="2"/>
      </rPr>
      <t>2</t>
    </r>
    <phoneticPr fontId="2" type="noConversion"/>
  </si>
  <si>
    <r>
      <rPr>
        <sz val="12"/>
        <rFont val="微軟正黑體"/>
        <family val="2"/>
        <charset val="136"/>
      </rPr>
      <t>數學</t>
    </r>
    <r>
      <rPr>
        <sz val="12"/>
        <rFont val="Arial"/>
        <family val="2"/>
      </rPr>
      <t>2</t>
    </r>
    <phoneticPr fontId="2" type="noConversion"/>
  </si>
  <si>
    <r>
      <rPr>
        <sz val="12"/>
        <rFont val="微軟正黑體"/>
        <family val="2"/>
        <charset val="136"/>
      </rPr>
      <t>數學</t>
    </r>
    <r>
      <rPr>
        <sz val="12"/>
        <rFont val="Arial"/>
        <family val="2"/>
      </rPr>
      <t>4</t>
    </r>
    <phoneticPr fontId="2" type="noConversion"/>
  </si>
  <si>
    <r>
      <rPr>
        <sz val="12"/>
        <rFont val="微軟正黑體"/>
        <family val="2"/>
        <charset val="136"/>
      </rPr>
      <t>數學</t>
    </r>
    <r>
      <rPr>
        <sz val="12"/>
        <rFont val="Arial"/>
        <family val="2"/>
      </rPr>
      <t>5</t>
    </r>
    <phoneticPr fontId="2" type="noConversion"/>
  </si>
  <si>
    <r>
      <rPr>
        <sz val="12"/>
        <rFont val="微軟正黑體"/>
        <family val="2"/>
        <charset val="136"/>
      </rPr>
      <t>物理</t>
    </r>
    <r>
      <rPr>
        <sz val="12"/>
        <rFont val="Arial"/>
        <family val="2"/>
      </rPr>
      <t>2</t>
    </r>
    <phoneticPr fontId="2" type="noConversion"/>
  </si>
  <si>
    <t>國語文</t>
    <phoneticPr fontId="2" type="noConversion"/>
  </si>
  <si>
    <r>
      <rPr>
        <sz val="12"/>
        <rFont val="微軟正黑體"/>
        <family val="2"/>
        <charset val="136"/>
      </rPr>
      <t>英語文</t>
    </r>
    <r>
      <rPr>
        <sz val="12"/>
        <rFont val="Arial"/>
        <family val="2"/>
      </rPr>
      <t>5</t>
    </r>
    <phoneticPr fontId="2" type="noConversion"/>
  </si>
  <si>
    <t>公民與社會-鑄造二乙 計數</t>
  </si>
  <si>
    <t>化學-電機二乙 計數</t>
  </si>
  <si>
    <t>化學-電機二甲 計數</t>
  </si>
  <si>
    <t>化學-模具二乙 計數</t>
  </si>
  <si>
    <t>化學-模具二甲 計數</t>
  </si>
  <si>
    <t>生物-製圖二乙 計數</t>
  </si>
  <si>
    <t>生物-製圖二丙 計數</t>
  </si>
  <si>
    <t>生物-製圖二甲 計數</t>
  </si>
  <si>
    <t>生物-機械二乙 計數</t>
  </si>
  <si>
    <t>生物-應英二乙 計數</t>
  </si>
  <si>
    <t>地理-資訊二甲 計數</t>
  </si>
  <si>
    <t>地理-製圖二乙 計數</t>
  </si>
  <si>
    <t>地理-製圖二丙 計數</t>
  </si>
  <si>
    <t>地理-製圖二甲 計數</t>
  </si>
  <si>
    <t>地理-機械二乙 計數</t>
  </si>
  <si>
    <t>字彙與閱讀-應英二乙 計數</t>
  </si>
  <si>
    <t>字彙與閱讀-應英二甲 計數</t>
  </si>
  <si>
    <t>汽車電學-汽車二乙 計數</t>
  </si>
  <si>
    <t>汽車電學-汽車二甲 計數</t>
  </si>
  <si>
    <t>電子學-資訊二甲 計數</t>
  </si>
  <si>
    <t>電子學-電機二乙 計數</t>
  </si>
  <si>
    <t>電子學-電機二丙 計數</t>
  </si>
  <si>
    <t>電子學-電機二甲 計數</t>
  </si>
  <si>
    <t>電工機械-電機二乙 計數</t>
  </si>
  <si>
    <t>電工機械-電機二丙 計數</t>
  </si>
  <si>
    <t>電工機械-電機二甲 計數</t>
  </si>
  <si>
    <t>機件原理-製圖二乙 計數</t>
  </si>
  <si>
    <t>機件原理-製圖二丙 計數</t>
  </si>
  <si>
    <t>機件原理-製圖二甲 計數</t>
  </si>
  <si>
    <t>機件原理-模具二甲 計數</t>
  </si>
  <si>
    <t>機件原理-機械二乙 計數</t>
  </si>
  <si>
    <t>機件原理-機械二甲 計數</t>
  </si>
  <si>
    <t>機件原理-鑄造二乙 計數</t>
  </si>
  <si>
    <t>機件原理-鑄造二甲 計數</t>
  </si>
  <si>
    <t>機械力學-製圖二乙 計數</t>
  </si>
  <si>
    <t>機械力學-製圖二丙 計數</t>
  </si>
  <si>
    <t>機械力學-製圖二甲 計數</t>
  </si>
  <si>
    <t>機械力學-模具二乙 計數</t>
  </si>
  <si>
    <t>機械力學-模具二甲 計數</t>
  </si>
  <si>
    <t>機械力學-機械二乙 計數</t>
  </si>
  <si>
    <t>機械力學-鑄造二乙 計數</t>
  </si>
  <si>
    <t>機械力學-鑄造二甲 計數</t>
  </si>
  <si>
    <t>機械工作法-機械二乙 計數</t>
  </si>
  <si>
    <t>機械工作法-機械二甲 計數</t>
  </si>
  <si>
    <t>歷史-汽車二乙 計數</t>
  </si>
  <si>
    <t>歷史-汽車二甲 計數</t>
  </si>
  <si>
    <t>歷史-電機二丙 計數</t>
  </si>
  <si>
    <t>歷史-電機二甲 計數</t>
  </si>
  <si>
    <t>歷史-模具二乙 計數</t>
  </si>
  <si>
    <t>歷史-模具二甲 計數</t>
  </si>
  <si>
    <t>歷史-鑄造二乙 計數</t>
  </si>
  <si>
    <t>歷史-鑄造二甲 計數</t>
  </si>
  <si>
    <r>
      <rPr>
        <sz val="12"/>
        <rFont val="微軟正黑體"/>
        <family val="2"/>
        <charset val="136"/>
      </rPr>
      <t>地理</t>
    </r>
    <r>
      <rPr>
        <sz val="12"/>
        <rFont val="Arial"/>
        <family val="2"/>
      </rPr>
      <t>6</t>
    </r>
    <phoneticPr fontId="2" type="noConversion"/>
  </si>
  <si>
    <r>
      <rPr>
        <sz val="12"/>
        <rFont val="微軟正黑體"/>
        <family val="2"/>
        <charset val="136"/>
      </rPr>
      <t>英語文</t>
    </r>
    <r>
      <rPr>
        <sz val="12"/>
        <rFont val="Arial"/>
        <family val="2"/>
      </rPr>
      <t>4</t>
    </r>
    <phoneticPr fontId="2" type="noConversion"/>
  </si>
  <si>
    <r>
      <rPr>
        <sz val="12"/>
        <rFont val="微軟正黑體"/>
        <family val="2"/>
        <charset val="136"/>
      </rPr>
      <t>英語文</t>
    </r>
    <r>
      <rPr>
        <sz val="12"/>
        <rFont val="Arial"/>
        <family val="2"/>
      </rPr>
      <t>6</t>
    </r>
    <phoneticPr fontId="2" type="noConversion"/>
  </si>
  <si>
    <r>
      <rPr>
        <sz val="12"/>
        <rFont val="微軟正黑體"/>
        <family val="2"/>
        <charset val="136"/>
      </rPr>
      <t>國語文</t>
    </r>
    <r>
      <rPr>
        <sz val="12"/>
        <rFont val="Arial"/>
        <family val="2"/>
      </rPr>
      <t>6</t>
    </r>
    <phoneticPr fontId="2" type="noConversion"/>
  </si>
  <si>
    <r>
      <rPr>
        <sz val="12"/>
        <rFont val="微軟正黑體"/>
        <family val="2"/>
        <charset val="136"/>
      </rPr>
      <t>數學</t>
    </r>
    <r>
      <rPr>
        <sz val="12"/>
        <rFont val="Arial"/>
        <family val="2"/>
      </rPr>
      <t>6</t>
    </r>
    <phoneticPr fontId="2" type="noConversion"/>
  </si>
  <si>
    <r>
      <rPr>
        <sz val="12"/>
        <rFont val="微軟正黑體"/>
        <family val="2"/>
        <charset val="136"/>
      </rPr>
      <t>數學</t>
    </r>
    <r>
      <rPr>
        <sz val="12"/>
        <rFont val="Arial"/>
        <family val="2"/>
      </rPr>
      <t>4</t>
    </r>
    <r>
      <rPr>
        <sz val="12"/>
        <rFont val="Arial"/>
        <family val="2"/>
        <charset val="136"/>
      </rPr>
      <t>B</t>
    </r>
    <phoneticPr fontId="2" type="noConversion"/>
  </si>
  <si>
    <r>
      <rPr>
        <sz val="12"/>
        <rFont val="微軟正黑體"/>
        <family val="2"/>
        <charset val="136"/>
      </rPr>
      <t>數學</t>
    </r>
    <r>
      <rPr>
        <sz val="12"/>
        <rFont val="Arial"/>
        <family val="2"/>
      </rPr>
      <t>5B</t>
    </r>
    <r>
      <rPr>
        <sz val="12"/>
        <rFont val="Arial"/>
        <family val="2"/>
        <charset val="136"/>
      </rPr>
      <t/>
    </r>
  </si>
  <si>
    <r>
      <rPr>
        <sz val="12"/>
        <rFont val="微軟正黑體"/>
        <family val="2"/>
        <charset val="136"/>
      </rPr>
      <t>數學</t>
    </r>
    <r>
      <rPr>
        <sz val="12"/>
        <rFont val="Arial"/>
        <family val="2"/>
      </rPr>
      <t>6B</t>
    </r>
    <r>
      <rPr>
        <sz val="12"/>
        <rFont val="Arial"/>
        <family val="2"/>
        <charset val="136"/>
      </rPr>
      <t/>
    </r>
  </si>
  <si>
    <r>
      <rPr>
        <sz val="12"/>
        <rFont val="微軟正黑體"/>
        <family val="2"/>
        <charset val="136"/>
      </rPr>
      <t>數學</t>
    </r>
    <r>
      <rPr>
        <sz val="12"/>
        <rFont val="Arial"/>
        <family val="2"/>
      </rPr>
      <t>7B</t>
    </r>
    <r>
      <rPr>
        <sz val="12"/>
        <rFont val="Arial"/>
        <family val="2"/>
        <charset val="136"/>
      </rPr>
      <t/>
    </r>
  </si>
  <si>
    <r>
      <rPr>
        <sz val="12"/>
        <rFont val="微軟正黑體"/>
        <family val="2"/>
        <charset val="136"/>
      </rPr>
      <t>數學</t>
    </r>
    <r>
      <rPr>
        <sz val="12"/>
        <rFont val="Arial"/>
        <family val="2"/>
      </rPr>
      <t>8B</t>
    </r>
    <r>
      <rPr>
        <sz val="12"/>
        <rFont val="Arial"/>
        <family val="2"/>
        <charset val="136"/>
      </rPr>
      <t/>
    </r>
  </si>
  <si>
    <r>
      <rPr>
        <sz val="12"/>
        <rFont val="微軟正黑體"/>
        <family val="2"/>
        <charset val="136"/>
      </rPr>
      <t>數學</t>
    </r>
    <r>
      <rPr>
        <sz val="12"/>
        <rFont val="Arial"/>
        <family val="2"/>
      </rPr>
      <t>9B</t>
    </r>
    <r>
      <rPr>
        <sz val="12"/>
        <rFont val="Arial"/>
        <family val="2"/>
        <charset val="136"/>
      </rPr>
      <t/>
    </r>
  </si>
  <si>
    <r>
      <rPr>
        <sz val="12"/>
        <rFont val="微軟正黑體"/>
        <family val="2"/>
        <charset val="136"/>
      </rPr>
      <t>物理</t>
    </r>
    <r>
      <rPr>
        <sz val="12"/>
        <rFont val="Arial"/>
        <family val="2"/>
      </rPr>
      <t>A</t>
    </r>
    <phoneticPr fontId="2" type="noConversion"/>
  </si>
  <si>
    <r>
      <rPr>
        <sz val="12"/>
        <rFont val="微軟正黑體"/>
        <family val="2"/>
        <charset val="136"/>
      </rPr>
      <t>英語文</t>
    </r>
    <r>
      <rPr>
        <sz val="12"/>
        <rFont val="Arial"/>
        <family val="2"/>
      </rPr>
      <t>2</t>
    </r>
    <r>
      <rPr>
        <sz val="12"/>
        <rFont val="Arial"/>
        <family val="2"/>
        <charset val="136"/>
      </rPr>
      <t>B</t>
    </r>
    <phoneticPr fontId="2" type="noConversion"/>
  </si>
  <si>
    <r>
      <rPr>
        <sz val="12"/>
        <rFont val="微軟正黑體"/>
        <family val="2"/>
        <charset val="136"/>
      </rPr>
      <t>健康與護理</t>
    </r>
    <r>
      <rPr>
        <sz val="12"/>
        <rFont val="Arial"/>
        <family val="2"/>
      </rPr>
      <t>5</t>
    </r>
    <phoneticPr fontId="2" type="noConversion"/>
  </si>
  <si>
    <t>國語文5</t>
  </si>
  <si>
    <t>國語文5</t>
    <phoneticPr fontId="2" type="noConversion"/>
  </si>
  <si>
    <t>基礎數學5</t>
    <phoneticPr fontId="2" type="noConversion"/>
  </si>
  <si>
    <r>
      <rPr>
        <sz val="12"/>
        <rFont val="微軟正黑體"/>
        <family val="2"/>
        <charset val="136"/>
      </rPr>
      <t>基礎數學</t>
    </r>
    <r>
      <rPr>
        <sz val="12"/>
        <rFont val="Arial"/>
        <family val="2"/>
      </rPr>
      <t>5</t>
    </r>
    <phoneticPr fontId="2" type="noConversion"/>
  </si>
  <si>
    <t>物理2</t>
  </si>
  <si>
    <t>物理2</t>
    <phoneticPr fontId="2" type="noConversion"/>
  </si>
  <si>
    <r>
      <rPr>
        <sz val="12"/>
        <rFont val="微軟正黑體"/>
        <family val="2"/>
        <charset val="136"/>
      </rPr>
      <t>英語文</t>
    </r>
    <r>
      <rPr>
        <sz val="12"/>
        <rFont val="Arial"/>
        <family val="2"/>
      </rPr>
      <t>2B</t>
    </r>
    <phoneticPr fontId="2" type="noConversion"/>
  </si>
  <si>
    <t>科目-班級</t>
    <phoneticPr fontId="2" type="noConversion"/>
  </si>
  <si>
    <t>工業英文-模具一甲</t>
  </si>
  <si>
    <t>公民與社會-資處一乙</t>
  </si>
  <si>
    <t>公民與社會-製圖一甲</t>
  </si>
  <si>
    <t>公民與社會-模具一甲</t>
  </si>
  <si>
    <t>公民與社會-應英一乙</t>
  </si>
  <si>
    <t>公民與社會-鑄造一甲</t>
  </si>
  <si>
    <t>化學-資處一乙</t>
  </si>
  <si>
    <t>化學-資處一甲</t>
  </si>
  <si>
    <t>底盤原理-汽車一乙</t>
  </si>
  <si>
    <t>底盤原理-汽車一甲</t>
  </si>
  <si>
    <t>物理2-汽車一乙</t>
  </si>
  <si>
    <t>物理2-汽車一甲</t>
  </si>
  <si>
    <t>物理2-資訊一乙</t>
  </si>
  <si>
    <t>物理2-資訊一甲</t>
  </si>
  <si>
    <t>物理2-製圖一乙</t>
  </si>
  <si>
    <t>物理2-製圖一丙</t>
  </si>
  <si>
    <t>物理2-製圖一甲</t>
  </si>
  <si>
    <t>物理2-模具一乙</t>
  </si>
  <si>
    <t>物理2-模具一甲</t>
  </si>
  <si>
    <t>物理2-機械一乙</t>
  </si>
  <si>
    <t>物理2-機械一甲</t>
  </si>
  <si>
    <t>物理A</t>
  </si>
  <si>
    <t>物理A-應英一乙</t>
  </si>
  <si>
    <t>物理A-應英一甲</t>
  </si>
  <si>
    <t>物理2-鑄造一乙</t>
  </si>
  <si>
    <t>物理2-鑄造一甲</t>
  </si>
  <si>
    <t>英語文2</t>
  </si>
  <si>
    <t>英語文2-汽車一乙</t>
  </si>
  <si>
    <t>英語文2-汽車一甲</t>
  </si>
  <si>
    <t>英語文2-資訊一乙</t>
  </si>
  <si>
    <t>英語文2-資訊一甲</t>
  </si>
  <si>
    <t>英語文2-資處一乙</t>
  </si>
  <si>
    <t>英語文2-資處一甲</t>
  </si>
  <si>
    <t>英語文2-電機一乙</t>
  </si>
  <si>
    <t>英語文2-電機一丙</t>
  </si>
  <si>
    <t>英語文2-電機一甲</t>
  </si>
  <si>
    <t>英語文2-製圖一乙</t>
  </si>
  <si>
    <t>英語文2-製圖一丙</t>
  </si>
  <si>
    <t>英語文2-製圖一甲</t>
  </si>
  <si>
    <t>英語文2-模具一乙</t>
  </si>
  <si>
    <t>英語文2-模具一甲</t>
  </si>
  <si>
    <t>英語文2-機械一乙</t>
  </si>
  <si>
    <t>英語文2-機械一甲</t>
  </si>
  <si>
    <t>英語文2B</t>
  </si>
  <si>
    <t>英語文2B-應英一乙</t>
  </si>
  <si>
    <t>英語文2B-應英一甲</t>
  </si>
  <si>
    <t>英語文2-鑄造一乙</t>
  </si>
  <si>
    <t>英語文2-鑄造一甲</t>
  </si>
  <si>
    <t>英語文5</t>
  </si>
  <si>
    <t>英語文5-體育一甲</t>
  </si>
  <si>
    <t>健康與護理-汽車一乙</t>
  </si>
  <si>
    <t>健康與護理-資訊一甲</t>
  </si>
  <si>
    <t>健康與護理-電機一甲</t>
  </si>
  <si>
    <t>健康與護理-製圖一丙</t>
  </si>
  <si>
    <t>健康與護理-模具一乙</t>
  </si>
  <si>
    <t>健康與護理-模具一甲</t>
  </si>
  <si>
    <t>健康與護理-機械一甲</t>
  </si>
  <si>
    <t>健康與護理-鑄造一乙</t>
  </si>
  <si>
    <t>健康與護理-鑄造一甲</t>
  </si>
  <si>
    <t>健康與護理5</t>
  </si>
  <si>
    <t>健康與護理5-體育一甲</t>
  </si>
  <si>
    <t>國語文-汽車一乙</t>
  </si>
  <si>
    <t>國語文-汽車一甲</t>
  </si>
  <si>
    <t>國語文-資訊一乙</t>
  </si>
  <si>
    <t>國語文-資訊一甲</t>
  </si>
  <si>
    <t>國語文-資處一乙</t>
  </si>
  <si>
    <t>國語文-資處一甲</t>
  </si>
  <si>
    <t>國語文-電機一乙</t>
  </si>
  <si>
    <t>國語文-電機一丙</t>
  </si>
  <si>
    <t>國語文-電機一甲</t>
  </si>
  <si>
    <t>國語文-製圖一乙</t>
  </si>
  <si>
    <t>國語文-製圖一丙</t>
  </si>
  <si>
    <t>國語文-製圖一甲</t>
  </si>
  <si>
    <t>國語文-模具一乙</t>
  </si>
  <si>
    <t>國語文-模具一甲</t>
  </si>
  <si>
    <t>國語文-機械一乙</t>
  </si>
  <si>
    <t>國語文-機械一甲</t>
  </si>
  <si>
    <t>國語文-應英一乙</t>
  </si>
  <si>
    <t>國語文-應英一甲</t>
  </si>
  <si>
    <t>國語文-鑄造一乙</t>
  </si>
  <si>
    <t>國語文-鑄造一甲</t>
  </si>
  <si>
    <t>國語文5-體育一甲</t>
  </si>
  <si>
    <t>基本電學-資訊一乙</t>
  </si>
  <si>
    <t>基本電學-資訊一甲</t>
  </si>
  <si>
    <t>基本電學-電機一乙</t>
  </si>
  <si>
    <t>基本電學-電機一丙</t>
  </si>
  <si>
    <t>基本電學-電機一甲</t>
  </si>
  <si>
    <t>基礎電子學-資訊一乙</t>
  </si>
  <si>
    <t>基礎電子學-資訊一甲</t>
  </si>
  <si>
    <t>基礎數學5-體育一甲</t>
  </si>
  <si>
    <t>會計學-資處一乙</t>
  </si>
  <si>
    <t>數位科技概論-應英一甲</t>
  </si>
  <si>
    <t>數位邏輯設計-電機一乙</t>
  </si>
  <si>
    <t>數位邏輯設計-電機一丙</t>
  </si>
  <si>
    <t>數位邏輯設計-電機一甲</t>
  </si>
  <si>
    <t>數學-汽車一乙</t>
  </si>
  <si>
    <t>數學-汽車一甲</t>
  </si>
  <si>
    <t>數學-資訊一甲</t>
  </si>
  <si>
    <t>數學2</t>
  </si>
  <si>
    <t>數學2-資處一乙</t>
  </si>
  <si>
    <t>數學2-資處一甲</t>
  </si>
  <si>
    <t>數學-電機一乙</t>
  </si>
  <si>
    <t>數學-電機一丙</t>
  </si>
  <si>
    <t>數學-電機一甲</t>
  </si>
  <si>
    <t>數學-製圖一乙</t>
  </si>
  <si>
    <t>數學-製圖一甲</t>
  </si>
  <si>
    <t>數學-模具一乙</t>
  </si>
  <si>
    <t>數學-模具一甲</t>
  </si>
  <si>
    <t>數學-機械一甲</t>
  </si>
  <si>
    <t>數學-鑄造一甲</t>
  </si>
  <si>
    <t>數學5</t>
  </si>
  <si>
    <t>數學5-體育一甲</t>
  </si>
  <si>
    <t>機械製造-製圖一乙</t>
  </si>
  <si>
    <t>機械製造-製圖一丙</t>
  </si>
  <si>
    <t>機械製造-製圖一甲</t>
  </si>
  <si>
    <t>機械製造-模具一甲</t>
  </si>
  <si>
    <t>機械製造-機械一乙</t>
  </si>
  <si>
    <t>機械製造-機械一甲</t>
  </si>
  <si>
    <t>機械製造-鑄造一乙</t>
  </si>
  <si>
    <t>機械製造-鑄造一甲</t>
  </si>
  <si>
    <r>
      <rPr>
        <sz val="12"/>
        <rFont val="微軟正黑體"/>
        <family val="2"/>
        <charset val="136"/>
      </rPr>
      <t>國語文</t>
    </r>
    <r>
      <rPr>
        <sz val="12"/>
        <rFont val="Arial"/>
        <family val="2"/>
      </rPr>
      <t>2</t>
    </r>
    <phoneticPr fontId="2" type="noConversion"/>
  </si>
  <si>
    <r>
      <rPr>
        <sz val="12"/>
        <rFont val="微軟正黑體"/>
        <family val="2"/>
        <charset val="136"/>
      </rPr>
      <t>國語文</t>
    </r>
    <r>
      <rPr>
        <sz val="12"/>
        <rFont val="Arial"/>
        <family val="2"/>
      </rPr>
      <t>4</t>
    </r>
    <phoneticPr fontId="2" type="noConversion"/>
  </si>
  <si>
    <t>國語文4</t>
    <phoneticPr fontId="2" type="noConversion"/>
  </si>
  <si>
    <t>工業英文-模具一甲 計數</t>
  </si>
  <si>
    <t>公民與社會-資處一乙 計數</t>
  </si>
  <si>
    <t>公民與社會-製圖一甲 計數</t>
  </si>
  <si>
    <t>公民與社會-模具一甲 計數</t>
  </si>
  <si>
    <t>公民與社會-應英一乙 計數</t>
  </si>
  <si>
    <t>公民與社會-鑄造一甲 計數</t>
  </si>
  <si>
    <t>化學-資處一乙 計數</t>
  </si>
  <si>
    <t>化學-資處一甲 計數</t>
  </si>
  <si>
    <t>地理6-體育二甲 計數</t>
  </si>
  <si>
    <t>底盤原理-汽車一乙 計數</t>
  </si>
  <si>
    <t>底盤原理-汽車一甲 計數</t>
  </si>
  <si>
    <t>物理2-汽車一乙 計數</t>
  </si>
  <si>
    <t>物理2-汽車一甲 計數</t>
  </si>
  <si>
    <t>物理2-資訊一乙 計數</t>
  </si>
  <si>
    <t>物理2-資訊一甲 計數</t>
  </si>
  <si>
    <t>物理2-製圖一乙 計數</t>
  </si>
  <si>
    <t>物理2-製圖一丙 計數</t>
  </si>
  <si>
    <t>物理2-製圖一甲 計數</t>
  </si>
  <si>
    <t>物理2-模具一乙 計數</t>
  </si>
  <si>
    <t>物理2-模具一甲 計數</t>
  </si>
  <si>
    <t>物理2-機械一乙 計數</t>
  </si>
  <si>
    <t>物理2-機械一甲 計數</t>
  </si>
  <si>
    <t>物理2-鑄造一乙 計數</t>
  </si>
  <si>
    <t>物理2-鑄造一甲 計數</t>
  </si>
  <si>
    <t>物理A-應英一乙 計數</t>
  </si>
  <si>
    <t>物理A-應英一甲 計數</t>
  </si>
  <si>
    <t>英語文2B-應英一乙 計數</t>
  </si>
  <si>
    <t>英語文2B-應英一甲 計數</t>
  </si>
  <si>
    <t>英語文2-汽車一乙 計數</t>
  </si>
  <si>
    <t>英語文2-汽車一甲 計數</t>
  </si>
  <si>
    <t>英語文2-資訊一乙 計數</t>
  </si>
  <si>
    <t>英語文2-資訊一甲 計數</t>
  </si>
  <si>
    <t>英語文2-資處一乙 計數</t>
  </si>
  <si>
    <t>英語文2-資處一甲 計數</t>
  </si>
  <si>
    <t>英語文2-電機一乙 計數</t>
  </si>
  <si>
    <t>英語文2-電機一丙 計數</t>
  </si>
  <si>
    <t>英語文2-電機一甲 計數</t>
  </si>
  <si>
    <t>英語文2-製圖一乙 計數</t>
  </si>
  <si>
    <t>英語文2-製圖一丙 計數</t>
  </si>
  <si>
    <t>英語文2-製圖一甲 計數</t>
  </si>
  <si>
    <t>英語文2-模具一乙 計數</t>
  </si>
  <si>
    <t>英語文2-模具一甲 計數</t>
  </si>
  <si>
    <t>英語文2-機械一乙 計數</t>
  </si>
  <si>
    <t>英語文2-機械一甲 計數</t>
  </si>
  <si>
    <t>英語文2-鑄造一乙 計數</t>
  </si>
  <si>
    <t>英語文2-鑄造一甲 計數</t>
  </si>
  <si>
    <t>英語文4-汽車二乙 計數</t>
  </si>
  <si>
    <t>英語文4-汽車二甲 計數</t>
  </si>
  <si>
    <t>英語文4-資訊二甲 計數</t>
  </si>
  <si>
    <t>英語文4-資處二乙 計數</t>
  </si>
  <si>
    <t>英語文4-資處二甲 計數</t>
  </si>
  <si>
    <t>英語文4-電機二乙 計數</t>
  </si>
  <si>
    <t>英語文4-電機二丙 計數</t>
  </si>
  <si>
    <t>英語文4-電機二甲 計數</t>
  </si>
  <si>
    <t>英語文4-製圖二乙 計數</t>
  </si>
  <si>
    <t>英語文4-製圖二丙 計數</t>
  </si>
  <si>
    <t>英語文4-製圖二甲 計數</t>
  </si>
  <si>
    <t>英語文4-模具二乙 計數</t>
  </si>
  <si>
    <t>英語文4-模具二甲 計數</t>
  </si>
  <si>
    <t>英語文4-機械二乙 計數</t>
  </si>
  <si>
    <t>英語文4-機械二甲 計數</t>
  </si>
  <si>
    <t>英語文4-鑄造二乙 計數</t>
  </si>
  <si>
    <t>英語文4-鑄造二甲 計數</t>
  </si>
  <si>
    <t>英語文5-體育一甲 計數</t>
  </si>
  <si>
    <t>英語文6-體育二甲 計數</t>
  </si>
  <si>
    <t>健康與護理5-體育一甲 計數</t>
  </si>
  <si>
    <t>健康與護理-汽車一乙 計數</t>
  </si>
  <si>
    <t>健康與護理-資訊一甲 計數</t>
  </si>
  <si>
    <t>健康與護理-電機一甲 計數</t>
  </si>
  <si>
    <t>健康與護理-製圖一丙 計數</t>
  </si>
  <si>
    <t>健康與護理-模具一乙 計數</t>
  </si>
  <si>
    <t>健康與護理-模具一甲 計數</t>
  </si>
  <si>
    <t>健康與護理-機械一甲 計數</t>
  </si>
  <si>
    <t>健康與護理-鑄造一乙 計數</t>
  </si>
  <si>
    <t>健康與護理-鑄造一甲 計數</t>
  </si>
  <si>
    <t>國語文5-體育一甲 計數</t>
  </si>
  <si>
    <t>國語文6-體育二甲 計數</t>
  </si>
  <si>
    <t>國語文-汽車一乙 計數</t>
  </si>
  <si>
    <t>國語文-汽車一甲 計數</t>
  </si>
  <si>
    <t>國語文4-汽車二乙 計數</t>
  </si>
  <si>
    <t>國語文4-汽車二甲 計數</t>
  </si>
  <si>
    <t>國語文-資訊一乙 計數</t>
  </si>
  <si>
    <t>國語文-資訊一甲 計數</t>
  </si>
  <si>
    <t>國語文4-資訊二甲 計數</t>
  </si>
  <si>
    <t>國語文-資處一乙 計數</t>
  </si>
  <si>
    <t>國語文-資處一甲 計數</t>
  </si>
  <si>
    <t>國語文4-資處二甲 計數</t>
  </si>
  <si>
    <t>國語文-電機一乙 計數</t>
  </si>
  <si>
    <t>國語文-電機一丙 計數</t>
  </si>
  <si>
    <t>國語文-電機一甲 計數</t>
  </si>
  <si>
    <t>國語文4-電機二乙 計數</t>
  </si>
  <si>
    <t>國語文4-電機二丙 計數</t>
  </si>
  <si>
    <t>國語文4-電機二甲 計數</t>
  </si>
  <si>
    <t>國語文-製圖一乙 計數</t>
  </si>
  <si>
    <t>國語文-製圖一丙 計數</t>
  </si>
  <si>
    <t>國語文-製圖一甲 計數</t>
  </si>
  <si>
    <t>國語文4-製圖二乙 計數</t>
  </si>
  <si>
    <t>國語文4-製圖二丙 計數</t>
  </si>
  <si>
    <t>國語文4-製圖二甲 計數</t>
  </si>
  <si>
    <t>國語文-模具一乙 計數</t>
  </si>
  <si>
    <t>國語文-模具一甲 計數</t>
  </si>
  <si>
    <t>國語文4-模具二乙 計數</t>
  </si>
  <si>
    <t>國語文4-模具二甲 計數</t>
  </si>
  <si>
    <t>國語文-機械一乙 計數</t>
  </si>
  <si>
    <t>國語文-機械一甲 計數</t>
  </si>
  <si>
    <t>國語文4-機械二乙 計數</t>
  </si>
  <si>
    <t>國語文4-機械二甲 計數</t>
  </si>
  <si>
    <t>國語文-應英一乙 計數</t>
  </si>
  <si>
    <t>國語文-應英一甲 計數</t>
  </si>
  <si>
    <t>國語文4-應英二乙 計數</t>
  </si>
  <si>
    <t>國語文4-應英二甲 計數</t>
  </si>
  <si>
    <t>國語文-鑄造一乙 計數</t>
  </si>
  <si>
    <t>國語文-鑄造一甲 計數</t>
  </si>
  <si>
    <t>國語文4-鑄造二乙 計數</t>
  </si>
  <si>
    <t>國語文4-鑄造二甲 計數</t>
  </si>
  <si>
    <t>基本電學-資訊一乙 計數</t>
  </si>
  <si>
    <t>基本電學-資訊一甲 計數</t>
  </si>
  <si>
    <t>基本電學-電機一乙 計數</t>
  </si>
  <si>
    <t>基本電學-電機一丙 計數</t>
  </si>
  <si>
    <t>基本電學-電機一甲 計數</t>
  </si>
  <si>
    <t>基礎電子學-資訊一乙 計數</t>
  </si>
  <si>
    <t>基礎電子學-資訊一甲 計數</t>
  </si>
  <si>
    <t>基礎數學5-體育一甲 計數</t>
  </si>
  <si>
    <t>數位科技概論-應英一甲 計數</t>
  </si>
  <si>
    <t>數位邏輯設計-電機一乙 計數</t>
  </si>
  <si>
    <t>數位邏輯設計-電機一丙 計數</t>
  </si>
  <si>
    <t>數位邏輯設計-電機一甲 計數</t>
  </si>
  <si>
    <t>數學2-資處一乙 計數</t>
  </si>
  <si>
    <t>數學2-資處一甲 計數</t>
  </si>
  <si>
    <t>數學4B-資處二乙 計數</t>
  </si>
  <si>
    <t>數學4B-應英二乙 計數</t>
  </si>
  <si>
    <t>數學4B-應英二甲 計數</t>
  </si>
  <si>
    <t>數學4-汽車二乙 計數</t>
  </si>
  <si>
    <t>數學4-汽車二甲 計數</t>
  </si>
  <si>
    <t>數學4-資訊二甲 計數</t>
  </si>
  <si>
    <t>數學4-電機二乙 計數</t>
  </si>
  <si>
    <t>數學4-電機二丙 計數</t>
  </si>
  <si>
    <t>數學4-電機二甲 計數</t>
  </si>
  <si>
    <t>數學4-製圖二乙 計數</t>
  </si>
  <si>
    <t>數學4-製圖二丙 計數</t>
  </si>
  <si>
    <t>數學4-製圖二甲 計數</t>
  </si>
  <si>
    <t>數學4-模具二乙 計數</t>
  </si>
  <si>
    <t>數學4-模具二甲 計數</t>
  </si>
  <si>
    <t>數學4-機械二乙 計數</t>
  </si>
  <si>
    <t>數學4-機械二甲 計數</t>
  </si>
  <si>
    <t>數學4-鑄造二乙 計數</t>
  </si>
  <si>
    <t>數學4-鑄造二甲 計數</t>
  </si>
  <si>
    <t>數學5-體育一甲 計數</t>
  </si>
  <si>
    <t>數學4B-資處二甲 計數</t>
  </si>
  <si>
    <t>數學6-體育二甲 計數</t>
  </si>
  <si>
    <t>數學-汽車一乙 計數</t>
  </si>
  <si>
    <t>數學-汽車一甲 計數</t>
  </si>
  <si>
    <t>數學-資訊一甲 計數</t>
  </si>
  <si>
    <t>數學-電機一乙 計數</t>
  </si>
  <si>
    <t>數學-電機一丙 計數</t>
  </si>
  <si>
    <t>數學-電機一甲 計數</t>
  </si>
  <si>
    <t>數學-製圖一乙 計數</t>
  </si>
  <si>
    <t>數學-製圖一甲 計數</t>
  </si>
  <si>
    <t>數學-模具一乙 計數</t>
  </si>
  <si>
    <t>數學-模具一甲 計數</t>
  </si>
  <si>
    <t>數學-機械一甲 計數</t>
  </si>
  <si>
    <t>數學-鑄造一甲 計數</t>
  </si>
  <si>
    <t>機械製造-製圖一乙 計數</t>
  </si>
  <si>
    <t>機械製造-製圖一丙 計數</t>
  </si>
  <si>
    <t>機械製造-製圖一甲 計數</t>
  </si>
  <si>
    <t>機械製造-模具一甲 計數</t>
  </si>
  <si>
    <t>機械製造-機械一乙 計數</t>
  </si>
  <si>
    <t>機械製造-機械一甲 計數</t>
  </si>
  <si>
    <t>機械製造-鑄造一乙 計數</t>
  </si>
  <si>
    <t>機械製造-鑄造一甲 計數</t>
  </si>
  <si>
    <t>節次</t>
    <phoneticPr fontId="2" type="noConversion"/>
  </si>
  <si>
    <r>
      <rPr>
        <sz val="12"/>
        <rFont val="微軟正黑體"/>
        <family val="2"/>
        <charset val="136"/>
      </rPr>
      <t>數學</t>
    </r>
    <r>
      <rPr>
        <sz val="12"/>
        <rFont val="Arial"/>
        <family val="2"/>
      </rPr>
      <t>(</t>
    </r>
    <r>
      <rPr>
        <sz val="12"/>
        <rFont val="細明體"/>
        <family val="2"/>
        <charset val="136"/>
      </rPr>
      <t>基礎</t>
    </r>
    <r>
      <rPr>
        <sz val="12"/>
        <rFont val="Arial"/>
        <family val="2"/>
      </rPr>
      <t>)5</t>
    </r>
    <phoneticPr fontId="2" type="noConversion"/>
  </si>
  <si>
    <r>
      <t>基礎數學</t>
    </r>
    <r>
      <rPr>
        <b/>
        <sz val="12"/>
        <rFont val="Arial"/>
        <family val="2"/>
      </rPr>
      <t>5-</t>
    </r>
    <r>
      <rPr>
        <b/>
        <sz val="12"/>
        <rFont val="新細明體"/>
        <family val="1"/>
        <charset val="136"/>
      </rPr>
      <t>體育一甲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</si>
  <si>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2-</t>
    </r>
    <r>
      <rPr>
        <b/>
        <sz val="12"/>
        <rFont val="新細明體"/>
        <family val="1"/>
        <charset val="136"/>
      </rPr>
      <t>資處一乙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</si>
  <si>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2-</t>
    </r>
    <r>
      <rPr>
        <b/>
        <sz val="12"/>
        <rFont val="新細明體"/>
        <family val="1"/>
        <charset val="136"/>
      </rPr>
      <t>資處一甲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</si>
  <si>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4B-</t>
    </r>
    <r>
      <rPr>
        <b/>
        <sz val="12"/>
        <rFont val="新細明體"/>
        <family val="1"/>
        <charset val="136"/>
      </rPr>
      <t>資處二乙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</si>
  <si>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4B-</t>
    </r>
    <r>
      <rPr>
        <b/>
        <sz val="12"/>
        <rFont val="新細明體"/>
        <family val="1"/>
        <charset val="136"/>
      </rPr>
      <t>資處二甲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</si>
  <si>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4B-</t>
    </r>
    <r>
      <rPr>
        <b/>
        <sz val="12"/>
        <rFont val="新細明體"/>
        <family val="1"/>
        <charset val="136"/>
      </rPr>
      <t>應英二乙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</si>
  <si>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4B-</t>
    </r>
    <r>
      <rPr>
        <b/>
        <sz val="12"/>
        <rFont val="新細明體"/>
        <family val="1"/>
        <charset val="136"/>
      </rPr>
      <t>應英二甲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</si>
  <si>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汽車二乙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</si>
  <si>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汽車二甲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</si>
  <si>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資訊二甲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</si>
  <si>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電機二乙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</si>
  <si>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電機二丙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</si>
  <si>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電機二甲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</si>
  <si>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製圖二乙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</si>
  <si>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製圖二丙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</si>
  <si>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製圖二甲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</si>
  <si>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模具二乙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</si>
  <si>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模具二甲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</si>
  <si>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機械二乙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</si>
  <si>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機械二甲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</si>
  <si>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鑄造二乙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</si>
  <si>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鑄造二甲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</si>
  <si>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5-</t>
    </r>
    <r>
      <rPr>
        <b/>
        <sz val="12"/>
        <rFont val="新細明體"/>
        <family val="1"/>
        <charset val="136"/>
      </rPr>
      <t>體育一甲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</si>
  <si>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6-</t>
    </r>
    <r>
      <rPr>
        <b/>
        <sz val="12"/>
        <rFont val="新細明體"/>
        <family val="1"/>
        <charset val="136"/>
      </rPr>
      <t>體育二甲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</si>
  <si>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汽車一乙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</si>
  <si>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汽車一甲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</si>
  <si>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資訊一甲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</si>
  <si>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</si>
  <si>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電機一丙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</si>
  <si>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</si>
  <si>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製圖一乙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</si>
  <si>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製圖一甲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</si>
  <si>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模具一乙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</si>
  <si>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模具一甲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</si>
  <si>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機械一甲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</si>
  <si>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鑄造一甲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</si>
  <si>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t>科目</t>
    <phoneticPr fontId="2" type="noConversion"/>
  </si>
  <si>
    <t>教室</t>
    <phoneticPr fontId="2" type="noConversion"/>
  </si>
  <si>
    <t>監考</t>
    <phoneticPr fontId="2" type="noConversion"/>
  </si>
  <si>
    <r>
      <rPr>
        <sz val="10"/>
        <rFont val="細明體"/>
        <family val="2"/>
        <charset val="136"/>
      </rPr>
      <t>第</t>
    </r>
    <r>
      <rPr>
        <sz val="10"/>
        <rFont val="Arial"/>
        <family val="2"/>
      </rPr>
      <t>1</t>
    </r>
    <r>
      <rPr>
        <sz val="10"/>
        <rFont val="細明體"/>
        <family val="2"/>
        <charset val="136"/>
      </rPr>
      <t>節</t>
    </r>
    <phoneticPr fontId="2" type="noConversion"/>
  </si>
  <si>
    <r>
      <t>英語文</t>
    </r>
    <r>
      <rPr>
        <b/>
        <sz val="12"/>
        <color rgb="FF000000"/>
        <rFont val="Arial"/>
        <family val="2"/>
      </rPr>
      <t>2B-</t>
    </r>
    <r>
      <rPr>
        <b/>
        <sz val="12"/>
        <color rgb="FF000000"/>
        <rFont val="新細明體"/>
        <family val="1"/>
        <charset val="136"/>
      </rPr>
      <t>應英一乙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</si>
  <si>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2B-</t>
    </r>
    <r>
      <rPr>
        <b/>
        <sz val="12"/>
        <color rgb="FF000000"/>
        <rFont val="新細明體"/>
        <family val="1"/>
        <charset val="136"/>
      </rPr>
      <t>應英一甲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</si>
  <si>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2-</t>
    </r>
    <r>
      <rPr>
        <b/>
        <sz val="12"/>
        <color rgb="FF000000"/>
        <rFont val="新細明體"/>
        <family val="1"/>
        <charset val="136"/>
      </rPr>
      <t>汽車一乙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</si>
  <si>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2-</t>
    </r>
    <r>
      <rPr>
        <b/>
        <sz val="12"/>
        <color rgb="FF000000"/>
        <rFont val="新細明體"/>
        <family val="1"/>
        <charset val="136"/>
      </rPr>
      <t>汽車一甲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</si>
  <si>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2-</t>
    </r>
    <r>
      <rPr>
        <b/>
        <sz val="12"/>
        <color rgb="FF000000"/>
        <rFont val="新細明體"/>
        <family val="1"/>
        <charset val="136"/>
      </rPr>
      <t>資訊一乙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</si>
  <si>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2-</t>
    </r>
    <r>
      <rPr>
        <b/>
        <sz val="12"/>
        <color rgb="FF000000"/>
        <rFont val="新細明體"/>
        <family val="1"/>
        <charset val="136"/>
      </rPr>
      <t>資訊一甲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</si>
  <si>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2-</t>
    </r>
    <r>
      <rPr>
        <b/>
        <sz val="12"/>
        <color rgb="FF000000"/>
        <rFont val="新細明體"/>
        <family val="1"/>
        <charset val="136"/>
      </rPr>
      <t>資處一乙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</si>
  <si>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2-</t>
    </r>
    <r>
      <rPr>
        <b/>
        <sz val="12"/>
        <color rgb="FF000000"/>
        <rFont val="新細明體"/>
        <family val="1"/>
        <charset val="136"/>
      </rPr>
      <t>資處一甲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</si>
  <si>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2-</t>
    </r>
    <r>
      <rPr>
        <b/>
        <sz val="12"/>
        <color rgb="FF000000"/>
        <rFont val="新細明體"/>
        <family val="1"/>
        <charset val="136"/>
      </rPr>
      <t>電機一乙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</si>
  <si>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2-</t>
    </r>
    <r>
      <rPr>
        <b/>
        <sz val="12"/>
        <color rgb="FF000000"/>
        <rFont val="新細明體"/>
        <family val="1"/>
        <charset val="136"/>
      </rPr>
      <t>電機一丙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</si>
  <si>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2-</t>
    </r>
    <r>
      <rPr>
        <b/>
        <sz val="12"/>
        <color rgb="FF000000"/>
        <rFont val="新細明體"/>
        <family val="1"/>
        <charset val="136"/>
      </rPr>
      <t>電機一甲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</si>
  <si>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2-</t>
    </r>
    <r>
      <rPr>
        <b/>
        <sz val="12"/>
        <color rgb="FF000000"/>
        <rFont val="新細明體"/>
        <family val="1"/>
        <charset val="136"/>
      </rPr>
      <t>製圖一乙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</si>
  <si>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2-</t>
    </r>
    <r>
      <rPr>
        <b/>
        <sz val="12"/>
        <color rgb="FF000000"/>
        <rFont val="新細明體"/>
        <family val="1"/>
        <charset val="136"/>
      </rPr>
      <t>製圖一丙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</si>
  <si>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2-</t>
    </r>
    <r>
      <rPr>
        <b/>
        <sz val="12"/>
        <color rgb="FF000000"/>
        <rFont val="新細明體"/>
        <family val="1"/>
        <charset val="136"/>
      </rPr>
      <t>製圖一甲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</si>
  <si>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2-</t>
    </r>
    <r>
      <rPr>
        <b/>
        <sz val="12"/>
        <color rgb="FF000000"/>
        <rFont val="新細明體"/>
        <family val="1"/>
        <charset val="136"/>
      </rPr>
      <t>模具一乙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</si>
  <si>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2-</t>
    </r>
    <r>
      <rPr>
        <b/>
        <sz val="12"/>
        <color rgb="FF000000"/>
        <rFont val="新細明體"/>
        <family val="1"/>
        <charset val="136"/>
      </rPr>
      <t>模具一甲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</si>
  <si>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2-</t>
    </r>
    <r>
      <rPr>
        <b/>
        <sz val="12"/>
        <color rgb="FF000000"/>
        <rFont val="新細明體"/>
        <family val="1"/>
        <charset val="136"/>
      </rPr>
      <t>機械一乙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</si>
  <si>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2-</t>
    </r>
    <r>
      <rPr>
        <b/>
        <sz val="12"/>
        <color rgb="FF000000"/>
        <rFont val="新細明體"/>
        <family val="1"/>
        <charset val="136"/>
      </rPr>
      <t>機械一甲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</si>
  <si>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2-</t>
    </r>
    <r>
      <rPr>
        <b/>
        <sz val="12"/>
        <color rgb="FF000000"/>
        <rFont val="新細明體"/>
        <family val="1"/>
        <charset val="136"/>
      </rPr>
      <t>鑄造一乙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</si>
  <si>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2-</t>
    </r>
    <r>
      <rPr>
        <b/>
        <sz val="12"/>
        <color rgb="FF000000"/>
        <rFont val="新細明體"/>
        <family val="1"/>
        <charset val="136"/>
      </rPr>
      <t>鑄造一甲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</si>
  <si>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4-</t>
    </r>
    <r>
      <rPr>
        <b/>
        <sz val="12"/>
        <color rgb="FF000000"/>
        <rFont val="新細明體"/>
        <family val="1"/>
        <charset val="136"/>
      </rPr>
      <t>汽車二乙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</si>
  <si>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4-</t>
    </r>
    <r>
      <rPr>
        <b/>
        <sz val="12"/>
        <color rgb="FF000000"/>
        <rFont val="新細明體"/>
        <family val="1"/>
        <charset val="136"/>
      </rPr>
      <t>汽車二甲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</si>
  <si>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4-</t>
    </r>
    <r>
      <rPr>
        <b/>
        <sz val="12"/>
        <color rgb="FF000000"/>
        <rFont val="新細明體"/>
        <family val="1"/>
        <charset val="136"/>
      </rPr>
      <t>資訊二甲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</si>
  <si>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4-</t>
    </r>
    <r>
      <rPr>
        <b/>
        <sz val="12"/>
        <color rgb="FF000000"/>
        <rFont val="新細明體"/>
        <family val="1"/>
        <charset val="136"/>
      </rPr>
      <t>資處二乙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</si>
  <si>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4-</t>
    </r>
    <r>
      <rPr>
        <b/>
        <sz val="12"/>
        <color rgb="FF000000"/>
        <rFont val="新細明體"/>
        <family val="1"/>
        <charset val="136"/>
      </rPr>
      <t>資處二甲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</si>
  <si>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4-</t>
    </r>
    <r>
      <rPr>
        <b/>
        <sz val="12"/>
        <color rgb="FF000000"/>
        <rFont val="新細明體"/>
        <family val="1"/>
        <charset val="136"/>
      </rPr>
      <t>電機二乙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</si>
  <si>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4-</t>
    </r>
    <r>
      <rPr>
        <b/>
        <sz val="12"/>
        <color rgb="FF000000"/>
        <rFont val="新細明體"/>
        <family val="1"/>
        <charset val="136"/>
      </rPr>
      <t>電機二丙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</si>
  <si>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4-</t>
    </r>
    <r>
      <rPr>
        <b/>
        <sz val="12"/>
        <color rgb="FF000000"/>
        <rFont val="新細明體"/>
        <family val="1"/>
        <charset val="136"/>
      </rPr>
      <t>電機二甲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</si>
  <si>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4-</t>
    </r>
    <r>
      <rPr>
        <b/>
        <sz val="12"/>
        <color rgb="FF000000"/>
        <rFont val="新細明體"/>
        <family val="1"/>
        <charset val="136"/>
      </rPr>
      <t>製圖二乙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</si>
  <si>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4-</t>
    </r>
    <r>
      <rPr>
        <b/>
        <sz val="12"/>
        <color rgb="FF000000"/>
        <rFont val="新細明體"/>
        <family val="1"/>
        <charset val="136"/>
      </rPr>
      <t>製圖二丙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</si>
  <si>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4-</t>
    </r>
    <r>
      <rPr>
        <b/>
        <sz val="12"/>
        <color rgb="FF000000"/>
        <rFont val="新細明體"/>
        <family val="1"/>
        <charset val="136"/>
      </rPr>
      <t>製圖二甲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</si>
  <si>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4-</t>
    </r>
    <r>
      <rPr>
        <b/>
        <sz val="12"/>
        <color rgb="FF000000"/>
        <rFont val="新細明體"/>
        <family val="1"/>
        <charset val="136"/>
      </rPr>
      <t>模具二乙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</si>
  <si>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4-</t>
    </r>
    <r>
      <rPr>
        <b/>
        <sz val="12"/>
        <color rgb="FF000000"/>
        <rFont val="新細明體"/>
        <family val="1"/>
        <charset val="136"/>
      </rPr>
      <t>模具二甲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</si>
  <si>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4-</t>
    </r>
    <r>
      <rPr>
        <b/>
        <sz val="12"/>
        <color rgb="FF000000"/>
        <rFont val="新細明體"/>
        <family val="1"/>
        <charset val="136"/>
      </rPr>
      <t>機械二乙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</si>
  <si>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4-</t>
    </r>
    <r>
      <rPr>
        <b/>
        <sz val="12"/>
        <color rgb="FF000000"/>
        <rFont val="新細明體"/>
        <family val="1"/>
        <charset val="136"/>
      </rPr>
      <t>機械二甲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</si>
  <si>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4-</t>
    </r>
    <r>
      <rPr>
        <b/>
        <sz val="12"/>
        <color rgb="FF000000"/>
        <rFont val="新細明體"/>
        <family val="1"/>
        <charset val="136"/>
      </rPr>
      <t>鑄造二乙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</si>
  <si>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4-</t>
    </r>
    <r>
      <rPr>
        <b/>
        <sz val="12"/>
        <color rgb="FF000000"/>
        <rFont val="新細明體"/>
        <family val="1"/>
        <charset val="136"/>
      </rPr>
      <t>鑄造二甲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</si>
  <si>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5-</t>
    </r>
    <r>
      <rPr>
        <b/>
        <sz val="12"/>
        <color rgb="FF000000"/>
        <rFont val="新細明體"/>
        <family val="1"/>
        <charset val="136"/>
      </rPr>
      <t>體育一甲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</si>
  <si>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英語文</t>
    </r>
    <r>
      <rPr>
        <b/>
        <sz val="12"/>
        <color rgb="FF000000"/>
        <rFont val="Arial"/>
        <family val="2"/>
      </rPr>
      <t>6-</t>
    </r>
    <r>
      <rPr>
        <b/>
        <sz val="12"/>
        <color rgb="FF000000"/>
        <rFont val="新細明體"/>
        <family val="1"/>
        <charset val="136"/>
      </rPr>
      <t>體育二甲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</si>
  <si>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汽車二乙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</si>
  <si>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汽車二甲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</si>
  <si>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資訊二甲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</si>
  <si>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資處二甲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</si>
  <si>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電機二乙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</si>
  <si>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電機二丙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</si>
  <si>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電機二甲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</si>
  <si>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製圖二乙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</si>
  <si>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製圖二丙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</si>
  <si>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製圖二甲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</si>
  <si>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模具二乙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</si>
  <si>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模具二甲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</si>
  <si>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機械二乙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</si>
  <si>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機械二甲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</si>
  <si>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應英二乙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</si>
  <si>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應英二甲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</si>
  <si>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鑄造二乙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</si>
  <si>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4-</t>
    </r>
    <r>
      <rPr>
        <b/>
        <sz val="12"/>
        <rFont val="新細明體"/>
        <family val="1"/>
        <charset val="136"/>
      </rPr>
      <t>鑄造二甲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</si>
  <si>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5-</t>
    </r>
    <r>
      <rPr>
        <b/>
        <sz val="12"/>
        <rFont val="新細明體"/>
        <family val="1"/>
        <charset val="136"/>
      </rPr>
      <t>體育一甲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</si>
  <si>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6-</t>
    </r>
    <r>
      <rPr>
        <b/>
        <sz val="12"/>
        <rFont val="新細明體"/>
        <family val="1"/>
        <charset val="136"/>
      </rPr>
      <t>體育二甲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</si>
  <si>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汽車一乙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</si>
  <si>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汽車一甲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</si>
  <si>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資訊一乙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</si>
  <si>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資訊一甲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</si>
  <si>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資處一乙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</si>
  <si>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資處一甲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</si>
  <si>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</si>
  <si>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電機一丙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</si>
  <si>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</si>
  <si>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製圖一乙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</si>
  <si>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製圖一丙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</si>
  <si>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製圖一甲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</si>
  <si>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模具一乙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</si>
  <si>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模具一甲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</si>
  <si>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機械一乙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</si>
  <si>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機械一甲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</si>
  <si>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應英一乙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</si>
  <si>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應英一甲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</si>
  <si>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鑄造一乙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</si>
  <si>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國語文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鑄造一甲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</si>
  <si>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公民與社會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資處一乙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</si>
  <si>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公民與社會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製圖一甲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</si>
  <si>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公民與社會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模具一甲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</si>
  <si>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公民與社會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應英一乙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</si>
  <si>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公民與社會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鑄造一甲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</si>
  <si>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公民與社會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鑄造二乙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</si>
  <si>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地理</t>
    </r>
    <r>
      <rPr>
        <b/>
        <sz val="12"/>
        <color rgb="FF000000"/>
        <rFont val="Arial"/>
        <family val="2"/>
      </rPr>
      <t>6-</t>
    </r>
    <r>
      <rPr>
        <b/>
        <sz val="12"/>
        <color rgb="FF000000"/>
        <rFont val="新細明體"/>
        <family val="1"/>
        <charset val="136"/>
      </rPr>
      <t>體育二甲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</si>
  <si>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地理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資訊二甲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</si>
  <si>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地理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製圖二乙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</si>
  <si>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地理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製圖二丙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</si>
  <si>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地理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製圖二甲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</si>
  <si>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地理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機械二乙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</si>
  <si>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健康與護理</t>
    </r>
    <r>
      <rPr>
        <b/>
        <sz val="12"/>
        <color rgb="FF000000"/>
        <rFont val="Arial"/>
        <family val="2"/>
      </rPr>
      <t>5-</t>
    </r>
    <r>
      <rPr>
        <b/>
        <sz val="12"/>
        <color rgb="FF000000"/>
        <rFont val="新細明體"/>
        <family val="1"/>
        <charset val="136"/>
      </rPr>
      <t>體育一甲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</si>
  <si>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健康與護理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汽車一乙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</si>
  <si>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健康與護理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資訊一甲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</si>
  <si>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健康與護理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電機一甲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</si>
  <si>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健康與護理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製圖一丙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</si>
  <si>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健康與護理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模具一乙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</si>
  <si>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健康與護理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模具一甲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</si>
  <si>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健康與護理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機械一甲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</si>
  <si>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健康與護理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鑄造一乙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</si>
  <si>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健康與護理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鑄造一甲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</si>
  <si>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歷史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汽車二乙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</si>
  <si>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歷史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汽車二甲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</si>
  <si>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歷史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電機二丙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</si>
  <si>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歷史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電機二甲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</si>
  <si>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歷史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模具二乙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</si>
  <si>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歷史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模具二甲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</si>
  <si>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歷史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鑄造二乙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</si>
  <si>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歷史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鑄造二甲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</si>
  <si>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化學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資處一乙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</si>
  <si>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化學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資處一甲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</si>
  <si>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化學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</si>
  <si>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化學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</si>
  <si>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化學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模具二乙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</si>
  <si>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化學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模具二甲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</si>
  <si>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生物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製圖二乙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</si>
  <si>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生物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製圖二丙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</si>
  <si>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生物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製圖二甲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</si>
  <si>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生物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機械二乙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</si>
  <si>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生物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應英二乙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</si>
  <si>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物理</t>
    </r>
    <r>
      <rPr>
        <b/>
        <sz val="12"/>
        <rFont val="Arial"/>
        <family val="2"/>
      </rPr>
      <t>2-</t>
    </r>
    <r>
      <rPr>
        <b/>
        <sz val="12"/>
        <rFont val="新細明體"/>
        <family val="1"/>
        <charset val="136"/>
      </rPr>
      <t>汽車一乙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</si>
  <si>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物理</t>
    </r>
    <r>
      <rPr>
        <b/>
        <sz val="12"/>
        <rFont val="Arial"/>
        <family val="2"/>
      </rPr>
      <t>2-</t>
    </r>
    <r>
      <rPr>
        <b/>
        <sz val="12"/>
        <rFont val="新細明體"/>
        <family val="1"/>
        <charset val="136"/>
      </rPr>
      <t>汽車一甲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</si>
  <si>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物理</t>
    </r>
    <r>
      <rPr>
        <b/>
        <sz val="12"/>
        <rFont val="Arial"/>
        <family val="2"/>
      </rPr>
      <t>2-</t>
    </r>
    <r>
      <rPr>
        <b/>
        <sz val="12"/>
        <rFont val="新細明體"/>
        <family val="1"/>
        <charset val="136"/>
      </rPr>
      <t>資訊一乙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</si>
  <si>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物理</t>
    </r>
    <r>
      <rPr>
        <b/>
        <sz val="12"/>
        <rFont val="Arial"/>
        <family val="2"/>
      </rPr>
      <t>2-</t>
    </r>
    <r>
      <rPr>
        <b/>
        <sz val="12"/>
        <rFont val="新細明體"/>
        <family val="1"/>
        <charset val="136"/>
      </rPr>
      <t>資訊一甲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</si>
  <si>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物理</t>
    </r>
    <r>
      <rPr>
        <b/>
        <sz val="12"/>
        <rFont val="Arial"/>
        <family val="2"/>
      </rPr>
      <t>2-</t>
    </r>
    <r>
      <rPr>
        <b/>
        <sz val="12"/>
        <rFont val="新細明體"/>
        <family val="1"/>
        <charset val="136"/>
      </rPr>
      <t>製圖一乙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</si>
  <si>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物理</t>
    </r>
    <r>
      <rPr>
        <b/>
        <sz val="12"/>
        <rFont val="Arial"/>
        <family val="2"/>
      </rPr>
      <t>2-</t>
    </r>
    <r>
      <rPr>
        <b/>
        <sz val="12"/>
        <rFont val="新細明體"/>
        <family val="1"/>
        <charset val="136"/>
      </rPr>
      <t>製圖一丙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</si>
  <si>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物理</t>
    </r>
    <r>
      <rPr>
        <b/>
        <sz val="12"/>
        <rFont val="Arial"/>
        <family val="2"/>
      </rPr>
      <t>2-</t>
    </r>
    <r>
      <rPr>
        <b/>
        <sz val="12"/>
        <rFont val="新細明體"/>
        <family val="1"/>
        <charset val="136"/>
      </rPr>
      <t>製圖一甲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</si>
  <si>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物理</t>
    </r>
    <r>
      <rPr>
        <b/>
        <sz val="12"/>
        <rFont val="Arial"/>
        <family val="2"/>
      </rPr>
      <t>2-</t>
    </r>
    <r>
      <rPr>
        <b/>
        <sz val="12"/>
        <rFont val="新細明體"/>
        <family val="1"/>
        <charset val="136"/>
      </rPr>
      <t>模具一乙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</si>
  <si>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物理</t>
    </r>
    <r>
      <rPr>
        <b/>
        <sz val="12"/>
        <rFont val="Arial"/>
        <family val="2"/>
      </rPr>
      <t>2-</t>
    </r>
    <r>
      <rPr>
        <b/>
        <sz val="12"/>
        <rFont val="新細明體"/>
        <family val="1"/>
        <charset val="136"/>
      </rPr>
      <t>模具一甲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</si>
  <si>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物理</t>
    </r>
    <r>
      <rPr>
        <b/>
        <sz val="12"/>
        <rFont val="Arial"/>
        <family val="2"/>
      </rPr>
      <t>2-</t>
    </r>
    <r>
      <rPr>
        <b/>
        <sz val="12"/>
        <rFont val="新細明體"/>
        <family val="1"/>
        <charset val="136"/>
      </rPr>
      <t>機械一乙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</si>
  <si>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物理</t>
    </r>
    <r>
      <rPr>
        <b/>
        <sz val="12"/>
        <rFont val="Arial"/>
        <family val="2"/>
      </rPr>
      <t>2-</t>
    </r>
    <r>
      <rPr>
        <b/>
        <sz val="12"/>
        <rFont val="新細明體"/>
        <family val="1"/>
        <charset val="136"/>
      </rPr>
      <t>機械一甲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</si>
  <si>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物理</t>
    </r>
    <r>
      <rPr>
        <b/>
        <sz val="12"/>
        <rFont val="Arial"/>
        <family val="2"/>
      </rPr>
      <t>2-</t>
    </r>
    <r>
      <rPr>
        <b/>
        <sz val="12"/>
        <rFont val="新細明體"/>
        <family val="1"/>
        <charset val="136"/>
      </rPr>
      <t>鑄造一乙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</si>
  <si>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物理</t>
    </r>
    <r>
      <rPr>
        <b/>
        <sz val="12"/>
        <rFont val="Arial"/>
        <family val="2"/>
      </rPr>
      <t>2-</t>
    </r>
    <r>
      <rPr>
        <b/>
        <sz val="12"/>
        <rFont val="新細明體"/>
        <family val="1"/>
        <charset val="136"/>
      </rPr>
      <t>鑄造一甲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</si>
  <si>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物理</t>
    </r>
    <r>
      <rPr>
        <b/>
        <sz val="12"/>
        <rFont val="Arial"/>
        <family val="2"/>
      </rPr>
      <t>A-</t>
    </r>
    <r>
      <rPr>
        <b/>
        <sz val="12"/>
        <rFont val="新細明體"/>
        <family val="1"/>
        <charset val="136"/>
      </rPr>
      <t>應英一乙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</si>
  <si>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物理</t>
    </r>
    <r>
      <rPr>
        <b/>
        <sz val="12"/>
        <rFont val="Arial"/>
        <family val="2"/>
      </rPr>
      <t>A-</t>
    </r>
    <r>
      <rPr>
        <b/>
        <sz val="12"/>
        <rFont val="新細明體"/>
        <family val="1"/>
        <charset val="136"/>
      </rPr>
      <t>應英一甲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</si>
  <si>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機件原理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機械二乙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</si>
  <si>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機件原理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機械二甲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</si>
  <si>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機械力學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機械二乙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</si>
  <si>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機械工作法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機械二乙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</si>
  <si>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機械工作法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機械二甲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</si>
  <si>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機械製造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機械一乙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</si>
  <si>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機械製造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機械一甲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</si>
  <si>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機件原理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鑄造二乙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</si>
  <si>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機件原理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鑄造二甲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</si>
  <si>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機械力學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鑄造二乙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</si>
  <si>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機械力學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鑄造二甲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</si>
  <si>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機械製造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鑄造一乙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</si>
  <si>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機械製造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鑄造一甲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</si>
  <si>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汽車電學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汽車二乙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</si>
  <si>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汽車電學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汽車二甲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</si>
  <si>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底盤原理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汽車一乙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</si>
  <si>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底盤原理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汽車一甲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</si>
  <si>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工業英文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模具一甲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</si>
  <si>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機件原理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模具二甲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</si>
  <si>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機械力學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模具二乙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</si>
  <si>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機械力學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模具二甲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</si>
  <si>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機械製造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模具一甲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</si>
  <si>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機件原理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製圖二乙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</si>
  <si>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機件原理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製圖二丙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</si>
  <si>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機件原理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製圖二甲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</si>
  <si>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機械力學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製圖二乙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</si>
  <si>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機械力學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製圖二丙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</si>
  <si>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機械力學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製圖二甲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</si>
  <si>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機械製造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製圖一乙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</si>
  <si>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機械製造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製圖一丙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</si>
  <si>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機械製造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製圖一甲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</si>
  <si>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基本電學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</si>
  <si>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基本電學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電機一丙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</si>
  <si>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基本電學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</si>
  <si>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電子學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</si>
  <si>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電子學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電機二丙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</si>
  <si>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電子學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</si>
  <si>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電工機械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電機二乙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</si>
  <si>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電工機械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電機二丙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</si>
  <si>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電工機械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電機二甲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</si>
  <si>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數位邏輯設計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電機一乙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</si>
  <si>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數位邏輯設計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電機一丙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</si>
  <si>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數位邏輯設計</t>
    </r>
    <r>
      <rPr>
        <b/>
        <sz val="12"/>
        <rFont val="Arial"/>
        <family val="2"/>
      </rPr>
      <t>-</t>
    </r>
    <r>
      <rPr>
        <b/>
        <sz val="12"/>
        <rFont val="新細明體"/>
        <family val="1"/>
        <charset val="136"/>
      </rPr>
      <t>電機一甲</t>
    </r>
    <r>
      <rPr>
        <b/>
        <sz val="12"/>
        <rFont val="Arial"/>
        <family val="2"/>
      </rPr>
      <t xml:space="preserve"> </t>
    </r>
    <r>
      <rPr>
        <b/>
        <sz val="12"/>
        <rFont val="新細明體"/>
        <family val="1"/>
        <charset val="136"/>
      </rPr>
      <t>計數</t>
    </r>
  </si>
  <si>
    <r>
      <t>基本電學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資訊一乙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</si>
  <si>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基本電學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資訊一甲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</si>
  <si>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基礎電子學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資訊一乙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</si>
  <si>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基礎電子學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資訊一甲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</si>
  <si>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電子學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資訊二甲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</si>
  <si>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字彙與閱讀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應英二乙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</si>
  <si>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字彙與閱讀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應英二甲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</si>
  <si>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r>
      <t>數位科技概論</t>
    </r>
    <r>
      <rPr>
        <b/>
        <sz val="12"/>
        <color rgb="FF000000"/>
        <rFont val="Arial"/>
        <family val="2"/>
      </rPr>
      <t>-</t>
    </r>
    <r>
      <rPr>
        <b/>
        <sz val="12"/>
        <color rgb="FF000000"/>
        <rFont val="新細明體"/>
        <family val="1"/>
        <charset val="136"/>
      </rPr>
      <t>應英一甲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新細明體"/>
        <family val="1"/>
        <charset val="136"/>
      </rPr>
      <t>計數</t>
    </r>
  </si>
  <si>
    <t xml:space="preserve">公民與社會-資處一乙 </t>
  </si>
  <si>
    <t xml:space="preserve">公民與社會-製圖一甲 </t>
  </si>
  <si>
    <t xml:space="preserve">公民與社會-模具一甲 </t>
  </si>
  <si>
    <t xml:space="preserve">公民與社會-應英一乙 </t>
  </si>
  <si>
    <t xml:space="preserve">公民與社會-鑄造一甲 </t>
  </si>
  <si>
    <t xml:space="preserve">公民與社會-鑄造二乙 </t>
  </si>
  <si>
    <t xml:space="preserve">地理6-體育二甲 </t>
  </si>
  <si>
    <t xml:space="preserve">地理-資訊二甲 </t>
  </si>
  <si>
    <t xml:space="preserve">地理-製圖二乙 </t>
  </si>
  <si>
    <t xml:space="preserve">地理-製圖二丙 </t>
  </si>
  <si>
    <t xml:space="preserve">地理-製圖二甲 </t>
  </si>
  <si>
    <t xml:space="preserve">地理-機械二乙 </t>
  </si>
  <si>
    <t xml:space="preserve">化學-資處一乙 </t>
  </si>
  <si>
    <t xml:space="preserve">化學-資處一甲 </t>
  </si>
  <si>
    <t xml:space="preserve">化學-電機二乙 </t>
  </si>
  <si>
    <t xml:space="preserve">化學-電機二甲 </t>
  </si>
  <si>
    <t xml:space="preserve">化學-模具二乙 </t>
  </si>
  <si>
    <t xml:space="preserve">化學-模具二甲 </t>
  </si>
  <si>
    <t xml:space="preserve">生物-製圖二乙 </t>
  </si>
  <si>
    <t xml:space="preserve">生物-製圖二丙 </t>
  </si>
  <si>
    <t xml:space="preserve">生物-製圖二甲 </t>
  </si>
  <si>
    <t xml:space="preserve">生物-機械二乙 </t>
  </si>
  <si>
    <t xml:space="preserve">生物-應英二乙 </t>
  </si>
  <si>
    <t xml:space="preserve">物理2-汽車一乙 </t>
  </si>
  <si>
    <t xml:space="preserve">物理2-汽車一甲 </t>
  </si>
  <si>
    <t xml:space="preserve">物理2-資訊一乙 </t>
  </si>
  <si>
    <t xml:space="preserve">物理2-資訊一甲 </t>
  </si>
  <si>
    <t xml:space="preserve">物理2-製圖一乙 </t>
  </si>
  <si>
    <t xml:space="preserve">物理2-製圖一丙 </t>
  </si>
  <si>
    <t xml:space="preserve">物理2-製圖一甲 </t>
  </si>
  <si>
    <t xml:space="preserve">物理2-模具一乙 </t>
  </si>
  <si>
    <t xml:space="preserve">物理2-模具一甲 </t>
  </si>
  <si>
    <t xml:space="preserve">物理2-機械一乙 </t>
  </si>
  <si>
    <t xml:space="preserve">物理2-機械一甲 </t>
  </si>
  <si>
    <t xml:space="preserve">物理2-鑄造一乙 </t>
  </si>
  <si>
    <t xml:space="preserve">物理2-鑄造一甲 </t>
  </si>
  <si>
    <t xml:space="preserve">物理A-應英一乙 </t>
  </si>
  <si>
    <t xml:space="preserve">物理A-應英一甲 </t>
  </si>
  <si>
    <t xml:space="preserve">機件原理-機械二乙 </t>
  </si>
  <si>
    <t xml:space="preserve">機件原理-機械二甲 </t>
  </si>
  <si>
    <t xml:space="preserve">機械力學-機械二乙 </t>
  </si>
  <si>
    <t xml:space="preserve">機械製造-機械一乙 </t>
  </si>
  <si>
    <t xml:space="preserve">機械製造-機械一甲 </t>
  </si>
  <si>
    <t xml:space="preserve">機件原理-鑄造二乙 </t>
  </si>
  <si>
    <t xml:space="preserve">機件原理-鑄造二甲 </t>
  </si>
  <si>
    <t xml:space="preserve">機械力學-鑄造二乙 </t>
  </si>
  <si>
    <t xml:space="preserve">機械力學-鑄造二甲 </t>
  </si>
  <si>
    <t xml:space="preserve">機械製造-鑄造一乙 </t>
  </si>
  <si>
    <t xml:space="preserve">機械製造-鑄造一甲 </t>
  </si>
  <si>
    <t xml:space="preserve">汽車電學-汽車二乙 </t>
  </si>
  <si>
    <t xml:space="preserve">汽車電學-汽車二甲 </t>
  </si>
  <si>
    <t xml:space="preserve">底盤原理-汽車一乙 </t>
  </si>
  <si>
    <t xml:space="preserve">底盤原理-汽車一甲 </t>
  </si>
  <si>
    <t xml:space="preserve">工業英文-模具一甲 </t>
  </si>
  <si>
    <t xml:space="preserve">機件原理-模具二甲 </t>
  </si>
  <si>
    <t xml:space="preserve">機械力學-模具二乙 </t>
  </si>
  <si>
    <t xml:space="preserve">機械力學-模具二甲 </t>
  </si>
  <si>
    <t xml:space="preserve">機械製造-模具一甲 </t>
  </si>
  <si>
    <t xml:space="preserve">機件原理-製圖二乙 </t>
  </si>
  <si>
    <t xml:space="preserve">機件原理-製圖二丙 </t>
  </si>
  <si>
    <t xml:space="preserve">機件原理-製圖二甲 </t>
  </si>
  <si>
    <t xml:space="preserve">機械力學-製圖二乙 </t>
  </si>
  <si>
    <t xml:space="preserve">機械力學-製圖二丙 </t>
  </si>
  <si>
    <t xml:space="preserve">機械力學-製圖二甲 </t>
  </si>
  <si>
    <t xml:space="preserve">機械製造-製圖一乙 </t>
  </si>
  <si>
    <t xml:space="preserve">機械製造-製圖一丙 </t>
  </si>
  <si>
    <t xml:space="preserve">機械製造-製圖一甲 </t>
  </si>
  <si>
    <t xml:space="preserve">基本電學-電機一乙 </t>
  </si>
  <si>
    <t xml:space="preserve">基本電學-電機一丙 </t>
  </si>
  <si>
    <t xml:space="preserve">基本電學-電機一甲 </t>
  </si>
  <si>
    <t xml:space="preserve">電子學-電機二乙 </t>
  </si>
  <si>
    <t xml:space="preserve">電子學-電機二丙 </t>
  </si>
  <si>
    <t xml:space="preserve">電子學-電機二甲 </t>
  </si>
  <si>
    <t xml:space="preserve">電工機械-電機二乙 </t>
  </si>
  <si>
    <t xml:space="preserve">電工機械-電機二丙 </t>
  </si>
  <si>
    <t xml:space="preserve">電工機械-電機二甲 </t>
  </si>
  <si>
    <t xml:space="preserve">數位邏輯設計-電機一乙 </t>
  </si>
  <si>
    <t xml:space="preserve">數位邏輯設計-電機一丙 </t>
  </si>
  <si>
    <t xml:space="preserve">數位邏輯設計-電機一甲 </t>
  </si>
  <si>
    <t xml:space="preserve">基本電學-資訊一乙 </t>
  </si>
  <si>
    <t xml:space="preserve">基本電學-資訊一甲 </t>
  </si>
  <si>
    <t xml:space="preserve">基礎電子學-資訊一乙 </t>
  </si>
  <si>
    <t xml:space="preserve">基礎電子學-資訊一甲 </t>
  </si>
  <si>
    <t xml:space="preserve">電子學-資訊二甲 </t>
  </si>
  <si>
    <t xml:space="preserve">字彙與閱讀-應英二乙 </t>
  </si>
  <si>
    <t xml:space="preserve">字彙與閱讀-應英二甲 </t>
  </si>
  <si>
    <t xml:space="preserve">數位科技概論-應英一甲 </t>
  </si>
  <si>
    <t xml:space="preserve">體育一甲 </t>
  </si>
  <si>
    <t xml:space="preserve">體育一甲 </t>
    <phoneticPr fontId="2" type="noConversion"/>
  </si>
  <si>
    <t xml:space="preserve">資處一乙 </t>
  </si>
  <si>
    <t xml:space="preserve">資處一甲 </t>
  </si>
  <si>
    <t xml:space="preserve">汽車二乙 </t>
  </si>
  <si>
    <t xml:space="preserve">汽車二甲 </t>
  </si>
  <si>
    <t xml:space="preserve">資訊二甲 </t>
  </si>
  <si>
    <t xml:space="preserve">電機二乙 </t>
  </si>
  <si>
    <t xml:space="preserve">電機二丙 </t>
  </si>
  <si>
    <t xml:space="preserve">電機二甲 </t>
  </si>
  <si>
    <t xml:space="preserve">製圖二乙 </t>
  </si>
  <si>
    <t xml:space="preserve">製圖二丙 </t>
  </si>
  <si>
    <t xml:space="preserve">製圖二甲 </t>
  </si>
  <si>
    <t xml:space="preserve">模具二乙 </t>
  </si>
  <si>
    <t xml:space="preserve">模具二甲 </t>
  </si>
  <si>
    <t xml:space="preserve">機械二乙 </t>
  </si>
  <si>
    <t xml:space="preserve">機械二甲 </t>
  </si>
  <si>
    <t xml:space="preserve">鑄造二乙 </t>
  </si>
  <si>
    <t xml:space="preserve">鑄造二甲 </t>
  </si>
  <si>
    <t xml:space="preserve">體育二甲 </t>
  </si>
  <si>
    <t xml:space="preserve">資處二乙 </t>
  </si>
  <si>
    <t xml:space="preserve">資處二甲 </t>
  </si>
  <si>
    <t xml:space="preserve">應英二乙 </t>
  </si>
  <si>
    <t xml:space="preserve">應英二甲 </t>
  </si>
  <si>
    <t xml:space="preserve">汽車一乙 </t>
  </si>
  <si>
    <t xml:space="preserve">汽車一甲 </t>
  </si>
  <si>
    <t xml:space="preserve">資訊一甲 </t>
  </si>
  <si>
    <t xml:space="preserve">電機一乙 </t>
  </si>
  <si>
    <t xml:space="preserve">電機一丙 </t>
  </si>
  <si>
    <t xml:space="preserve">電機一甲 </t>
  </si>
  <si>
    <t xml:space="preserve">製圖一乙 </t>
  </si>
  <si>
    <t xml:space="preserve">製圖一甲 </t>
  </si>
  <si>
    <t xml:space="preserve">模具一乙 </t>
  </si>
  <si>
    <t xml:space="preserve">模具一甲 </t>
  </si>
  <si>
    <t xml:space="preserve">機械一甲 </t>
  </si>
  <si>
    <t xml:space="preserve">鑄造一甲 </t>
  </si>
  <si>
    <t xml:space="preserve">資訊一乙 </t>
  </si>
  <si>
    <t xml:space="preserve">製圖一丙 </t>
  </si>
  <si>
    <t xml:space="preserve">機械一乙 </t>
  </si>
  <si>
    <t xml:space="preserve">鑄造一乙 </t>
  </si>
  <si>
    <t xml:space="preserve">應英一乙 </t>
  </si>
  <si>
    <t xml:space="preserve">應英一甲 </t>
  </si>
  <si>
    <t>温雅君</t>
    <phoneticPr fontId="2" type="noConversion"/>
  </si>
  <si>
    <t>英語文</t>
    <phoneticPr fontId="2" type="noConversion"/>
  </si>
  <si>
    <r>
      <rPr>
        <b/>
        <sz val="14"/>
        <rFont val="細明體"/>
        <family val="2"/>
        <charset val="136"/>
      </rPr>
      <t>自然科</t>
    </r>
    <r>
      <rPr>
        <b/>
        <sz val="14"/>
        <rFont val="Arial"/>
        <family val="2"/>
      </rPr>
      <t>(</t>
    </r>
    <r>
      <rPr>
        <b/>
        <sz val="14"/>
        <rFont val="細明體"/>
        <family val="2"/>
        <charset val="136"/>
      </rPr>
      <t>物理、化學、生物</t>
    </r>
    <r>
      <rPr>
        <b/>
        <sz val="14"/>
        <rFont val="Arial"/>
        <family val="2"/>
      </rPr>
      <t>)</t>
    </r>
    <phoneticPr fontId="2" type="noConversion"/>
  </si>
  <si>
    <r>
      <rPr>
        <b/>
        <sz val="14"/>
        <rFont val="細明體"/>
        <family val="2"/>
        <charset val="136"/>
      </rPr>
      <t>社會科</t>
    </r>
    <r>
      <rPr>
        <b/>
        <sz val="14"/>
        <rFont val="Arial"/>
        <family val="2"/>
      </rPr>
      <t>(</t>
    </r>
    <r>
      <rPr>
        <b/>
        <sz val="14"/>
        <rFont val="細明體"/>
        <family val="2"/>
        <charset val="136"/>
      </rPr>
      <t>公民與社會、地理、歷史</t>
    </r>
    <r>
      <rPr>
        <b/>
        <sz val="14"/>
        <rFont val="Arial"/>
        <family val="2"/>
      </rPr>
      <t>)</t>
    </r>
    <r>
      <rPr>
        <b/>
        <sz val="14"/>
        <rFont val="細明體"/>
        <family val="2"/>
        <charset val="136"/>
      </rPr>
      <t>、健康與護理科</t>
    </r>
    <phoneticPr fontId="2" type="noConversion"/>
  </si>
  <si>
    <r>
      <rPr>
        <b/>
        <sz val="14"/>
        <rFont val="細明體"/>
        <family val="2"/>
        <charset val="136"/>
      </rPr>
      <t>數學</t>
    </r>
    <r>
      <rPr>
        <b/>
        <sz val="14"/>
        <rFont val="Arial"/>
        <family val="2"/>
      </rPr>
      <t>(</t>
    </r>
    <r>
      <rPr>
        <b/>
        <sz val="14"/>
        <rFont val="新細明體"/>
        <family val="2"/>
        <charset val="136"/>
      </rPr>
      <t>工數、商數、</t>
    </r>
    <r>
      <rPr>
        <b/>
        <sz val="14"/>
        <rFont val="細明體"/>
        <family val="2"/>
        <charset val="136"/>
      </rPr>
      <t>基礎數學</t>
    </r>
    <r>
      <rPr>
        <b/>
        <sz val="14"/>
        <rFont val="Arial"/>
        <family val="2"/>
      </rPr>
      <t>)</t>
    </r>
    <phoneticPr fontId="2" type="noConversion"/>
  </si>
  <si>
    <t>各群科專業科目</t>
    <phoneticPr fontId="2" type="noConversion"/>
  </si>
  <si>
    <t>教室代碼</t>
    <phoneticPr fontId="2" type="noConversion"/>
  </si>
  <si>
    <t>A302</t>
    <phoneticPr fontId="2" type="noConversion"/>
  </si>
  <si>
    <t>A303</t>
    <phoneticPr fontId="2" type="noConversion"/>
  </si>
  <si>
    <t>A304</t>
    <phoneticPr fontId="2" type="noConversion"/>
  </si>
  <si>
    <t>A305</t>
    <phoneticPr fontId="2" type="noConversion"/>
  </si>
  <si>
    <t>A402</t>
    <phoneticPr fontId="2" type="noConversion"/>
  </si>
  <si>
    <t>A03</t>
    <phoneticPr fontId="2" type="noConversion"/>
  </si>
  <si>
    <t>A403</t>
    <phoneticPr fontId="2" type="noConversion"/>
  </si>
  <si>
    <t>A404</t>
    <phoneticPr fontId="2" type="noConversion"/>
  </si>
  <si>
    <t>A405</t>
    <phoneticPr fontId="2" type="noConversion"/>
  </si>
  <si>
    <t>A201</t>
    <phoneticPr fontId="2" type="noConversion"/>
  </si>
  <si>
    <t>A202</t>
    <phoneticPr fontId="2" type="noConversion"/>
  </si>
  <si>
    <t>A203</t>
    <phoneticPr fontId="2" type="noConversion"/>
  </si>
  <si>
    <t>黃仁伸</t>
    <phoneticPr fontId="2" type="noConversion"/>
  </si>
  <si>
    <t>許棟材</t>
    <phoneticPr fontId="2" type="noConversion"/>
  </si>
  <si>
    <t>陳建忠</t>
    <phoneticPr fontId="2" type="noConversion"/>
  </si>
  <si>
    <t>許品禾</t>
    <phoneticPr fontId="2" type="noConversion"/>
  </si>
  <si>
    <t>鄧力銘</t>
    <phoneticPr fontId="2" type="noConversion"/>
  </si>
  <si>
    <t>董彥臣</t>
    <phoneticPr fontId="2" type="noConversion"/>
  </si>
  <si>
    <t>林俊佑</t>
    <phoneticPr fontId="2" type="noConversion"/>
  </si>
  <si>
    <t>周明誼</t>
    <phoneticPr fontId="2" type="noConversion"/>
  </si>
  <si>
    <t>黃嘉桂</t>
    <phoneticPr fontId="2" type="noConversion"/>
  </si>
  <si>
    <r>
      <rPr>
        <sz val="10"/>
        <rFont val="細明體"/>
        <family val="2"/>
        <charset val="136"/>
      </rPr>
      <t>第</t>
    </r>
    <r>
      <rPr>
        <sz val="10"/>
        <rFont val="Arial"/>
        <family val="2"/>
      </rPr>
      <t>6|7</t>
    </r>
    <r>
      <rPr>
        <sz val="10"/>
        <rFont val="細明體"/>
        <family val="2"/>
        <charset val="136"/>
      </rPr>
      <t>節</t>
    </r>
    <phoneticPr fontId="2" type="noConversion"/>
  </si>
  <si>
    <t>14:10
|
16:00</t>
    <phoneticPr fontId="2" type="noConversion"/>
  </si>
  <si>
    <t>班級人數</t>
    <phoneticPr fontId="2" type="noConversion"/>
  </si>
  <si>
    <t>試場人數</t>
    <phoneticPr fontId="2" type="noConversion"/>
  </si>
  <si>
    <r>
      <rPr>
        <sz val="10"/>
        <rFont val="細明體"/>
        <family val="2"/>
        <charset val="136"/>
      </rPr>
      <t>第</t>
    </r>
    <r>
      <rPr>
        <sz val="10"/>
        <rFont val="Arial"/>
        <family val="2"/>
      </rPr>
      <t>2</t>
    </r>
    <r>
      <rPr>
        <sz val="10"/>
        <rFont val="細明體"/>
        <family val="2"/>
        <charset val="136"/>
      </rPr>
      <t>節</t>
    </r>
    <phoneticPr fontId="2" type="noConversion"/>
  </si>
  <si>
    <r>
      <rPr>
        <sz val="10"/>
        <rFont val="細明體"/>
        <family val="2"/>
        <charset val="136"/>
      </rPr>
      <t>第</t>
    </r>
    <r>
      <rPr>
        <sz val="10"/>
        <rFont val="Arial"/>
        <family val="2"/>
      </rPr>
      <t>3</t>
    </r>
    <r>
      <rPr>
        <sz val="10"/>
        <rFont val="細明體"/>
        <family val="2"/>
        <charset val="136"/>
      </rPr>
      <t>節</t>
    </r>
    <phoneticPr fontId="2" type="noConversion"/>
  </si>
  <si>
    <r>
      <rPr>
        <sz val="10"/>
        <rFont val="細明體"/>
        <family val="2"/>
        <charset val="136"/>
      </rPr>
      <t>第</t>
    </r>
    <r>
      <rPr>
        <sz val="10"/>
        <rFont val="Arial"/>
        <family val="2"/>
      </rPr>
      <t>5</t>
    </r>
    <r>
      <rPr>
        <sz val="10"/>
        <rFont val="細明體"/>
        <family val="2"/>
        <charset val="136"/>
      </rPr>
      <t>節</t>
    </r>
    <phoneticPr fontId="2" type="noConversion"/>
  </si>
  <si>
    <t>08:10
|
09:00</t>
    <phoneticPr fontId="2" type="noConversion"/>
  </si>
  <si>
    <t>09:10
|
10:00</t>
    <phoneticPr fontId="2" type="noConversion"/>
  </si>
  <si>
    <t>10:10
|
11:00</t>
    <phoneticPr fontId="2" type="noConversion"/>
  </si>
  <si>
    <t>11:10
|
12:00</t>
    <phoneticPr fontId="2" type="noConversion"/>
  </si>
  <si>
    <t>13:10
|
14:00</t>
    <phoneticPr fontId="2" type="noConversion"/>
  </si>
  <si>
    <t>曾鈺潔</t>
    <phoneticPr fontId="2" type="noConversion"/>
  </si>
  <si>
    <t>黃心盼</t>
    <phoneticPr fontId="2" type="noConversion"/>
  </si>
  <si>
    <t>鄭詩琦</t>
    <phoneticPr fontId="2" type="noConversion"/>
  </si>
  <si>
    <t>李金祝</t>
    <phoneticPr fontId="2" type="noConversion"/>
  </si>
  <si>
    <t>陳雅文</t>
    <phoneticPr fontId="2" type="noConversion"/>
  </si>
  <si>
    <r>
      <rPr>
        <sz val="10"/>
        <rFont val="細明體"/>
        <family val="2"/>
        <charset val="136"/>
      </rPr>
      <t>第</t>
    </r>
    <r>
      <rPr>
        <sz val="10"/>
        <rFont val="Arial"/>
        <family val="2"/>
      </rPr>
      <t>4</t>
    </r>
    <r>
      <rPr>
        <sz val="10"/>
        <rFont val="細明體"/>
        <family val="2"/>
        <charset val="136"/>
      </rPr>
      <t>節</t>
    </r>
    <phoneticPr fontId="2" type="noConversion"/>
  </si>
  <si>
    <t>陳玫芳</t>
    <phoneticPr fontId="2" type="noConversion"/>
  </si>
  <si>
    <t>鍾愛蓮</t>
    <phoneticPr fontId="2" type="noConversion"/>
  </si>
  <si>
    <t>王世勛</t>
    <phoneticPr fontId="2" type="noConversion"/>
  </si>
  <si>
    <t>洪銘蔚</t>
    <phoneticPr fontId="2" type="noConversion"/>
  </si>
  <si>
    <t>楊民仁</t>
    <phoneticPr fontId="2" type="noConversion"/>
  </si>
  <si>
    <t>沈湘屏</t>
    <phoneticPr fontId="2" type="noConversion"/>
  </si>
  <si>
    <t>賴修淳</t>
    <phoneticPr fontId="2" type="noConversion"/>
  </si>
  <si>
    <t>陳旻旻</t>
    <phoneticPr fontId="2" type="noConversion"/>
  </si>
  <si>
    <t>王懷嫻</t>
    <phoneticPr fontId="2" type="noConversion"/>
  </si>
  <si>
    <t>劉欣潔</t>
    <phoneticPr fontId="2" type="noConversion"/>
  </si>
  <si>
    <t>楊韻薇</t>
    <phoneticPr fontId="2" type="noConversion"/>
  </si>
  <si>
    <t>林筱雯</t>
    <phoneticPr fontId="2" type="noConversion"/>
  </si>
  <si>
    <t>張培倫</t>
    <phoneticPr fontId="2" type="noConversion"/>
  </si>
  <si>
    <t>張哲瑋</t>
    <phoneticPr fontId="2" type="noConversion"/>
  </si>
  <si>
    <t>林芷茜</t>
    <phoneticPr fontId="2" type="noConversion"/>
  </si>
  <si>
    <t>柯俞亘</t>
    <phoneticPr fontId="2" type="noConversion"/>
  </si>
  <si>
    <t>曾怡玲</t>
    <phoneticPr fontId="2" type="noConversion"/>
  </si>
  <si>
    <t>蕭嵐儒</t>
    <phoneticPr fontId="2" type="noConversion"/>
  </si>
  <si>
    <t>郭倍宇</t>
    <phoneticPr fontId="2" type="noConversion"/>
  </si>
  <si>
    <t>賴怡任</t>
    <phoneticPr fontId="2" type="noConversion"/>
  </si>
  <si>
    <t>盧淑玲</t>
    <phoneticPr fontId="2" type="noConversion"/>
  </si>
  <si>
    <t>陳淑青</t>
    <phoneticPr fontId="2" type="noConversion"/>
  </si>
  <si>
    <t>胥薰方</t>
    <phoneticPr fontId="2" type="noConversion"/>
  </si>
  <si>
    <r>
      <rPr>
        <b/>
        <sz val="28"/>
        <rFont val="新細明體"/>
        <family val="2"/>
        <charset val="136"/>
      </rPr>
      <t>新北市立新北高工</t>
    </r>
    <r>
      <rPr>
        <b/>
        <sz val="28"/>
        <rFont val="Arial"/>
        <family val="2"/>
      </rPr>
      <t xml:space="preserve"> 111</t>
    </r>
    <r>
      <rPr>
        <b/>
        <sz val="28"/>
        <rFont val="細明體"/>
        <family val="2"/>
        <charset val="136"/>
      </rPr>
      <t>學年</t>
    </r>
    <r>
      <rPr>
        <b/>
        <sz val="28"/>
        <rFont val="新細明體"/>
        <family val="2"/>
        <charset val="136"/>
      </rPr>
      <t>第</t>
    </r>
    <r>
      <rPr>
        <b/>
        <sz val="28"/>
        <rFont val="Arial"/>
        <family val="2"/>
      </rPr>
      <t>2</t>
    </r>
    <r>
      <rPr>
        <b/>
        <sz val="28"/>
        <rFont val="新細明體"/>
        <family val="2"/>
        <charset val="136"/>
      </rPr>
      <t>學期</t>
    </r>
    <r>
      <rPr>
        <b/>
        <sz val="28"/>
        <rFont val="Arial"/>
        <family val="2"/>
      </rPr>
      <t xml:space="preserve"> </t>
    </r>
    <r>
      <rPr>
        <b/>
        <sz val="28"/>
        <rFont val="新細明體"/>
        <family val="2"/>
        <charset val="136"/>
      </rPr>
      <t>學生不及格科目</t>
    </r>
    <r>
      <rPr>
        <b/>
        <sz val="28"/>
        <rFont val="Arial"/>
        <family val="2"/>
      </rPr>
      <t xml:space="preserve"> </t>
    </r>
    <r>
      <rPr>
        <b/>
        <sz val="28"/>
        <rFont val="新細明體"/>
        <family val="2"/>
        <charset val="136"/>
      </rPr>
      <t>補考日程表暨班級試場分配</t>
    </r>
    <phoneticPr fontId="2" type="noConversion"/>
  </si>
  <si>
    <t>吳彥興</t>
    <phoneticPr fontId="2" type="noConversion"/>
  </si>
  <si>
    <t xml:space="preserve">歷史-鑄造二乙 </t>
    <phoneticPr fontId="2" type="noConversion"/>
  </si>
  <si>
    <r>
      <t xml:space="preserve">【注意事項】
1.穿著校服，攜帶應考文具、有照片之證件，未帶證件依規定不得應考！開考後逾15分鐘不得入場。
2.高一、二各班級補考名單請請另參考公告附檔，未達補考資格、曠課達1/3總節數以上同學不得應考。
</t>
    </r>
    <r>
      <rPr>
        <b/>
        <sz val="14"/>
        <color theme="4" tint="-0.249977111117893"/>
        <rFont val="細明體"/>
        <family val="3"/>
        <charset val="136"/>
      </rPr>
      <t>3.第4節應考社會科目有衝堂，並自信能同時完成應考者，可向監考教師索取兩份試卷作答。否則請16:10至行政大樓3樓會議室領取另一份補考試卷應試。
4.</t>
    </r>
    <r>
      <rPr>
        <b/>
        <sz val="14"/>
        <color rgb="FFFF0000"/>
        <rFont val="細明體"/>
        <family val="3"/>
        <charset val="136"/>
      </rPr>
      <t>專業科目採兩節式應考。</t>
    </r>
    <phoneticPr fontId="2" type="noConversion"/>
  </si>
  <si>
    <t>補考日期：7月17日 週一    //試場在第1棟教學大樓</t>
    <phoneticPr fontId="2" type="noConversion"/>
  </si>
  <si>
    <r>
      <rPr>
        <b/>
        <sz val="12"/>
        <rFont val="Arial"/>
        <family val="2"/>
      </rPr>
      <t>2</t>
    </r>
    <r>
      <rPr>
        <b/>
        <sz val="12"/>
        <rFont val="細明體"/>
        <family val="2"/>
        <charset val="136"/>
      </rPr>
      <t>樓</t>
    </r>
    <r>
      <rPr>
        <b/>
        <sz val="12"/>
        <rFont val="Arial"/>
        <family val="2"/>
      </rPr>
      <t>(</t>
    </r>
    <r>
      <rPr>
        <b/>
        <sz val="12"/>
        <rFont val="新細明體"/>
        <family val="2"/>
        <charset val="136"/>
      </rPr>
      <t>模具</t>
    </r>
    <r>
      <rPr>
        <b/>
        <sz val="12"/>
        <rFont val="細明體"/>
        <family val="2"/>
        <charset val="136"/>
      </rPr>
      <t>三</t>
    </r>
    <r>
      <rPr>
        <b/>
        <sz val="12"/>
        <rFont val="新細明體"/>
        <family val="2"/>
        <charset val="136"/>
      </rPr>
      <t>甲</t>
    </r>
    <r>
      <rPr>
        <b/>
        <sz val="12"/>
        <rFont val="Arial"/>
        <family val="2"/>
      </rPr>
      <t>)</t>
    </r>
    <phoneticPr fontId="2" type="noConversion"/>
  </si>
  <si>
    <r>
      <rPr>
        <b/>
        <sz val="12"/>
        <rFont val="Arial"/>
        <family val="2"/>
      </rPr>
      <t>2</t>
    </r>
    <r>
      <rPr>
        <b/>
        <sz val="12"/>
        <rFont val="新細明體"/>
        <family val="2"/>
        <charset val="136"/>
      </rPr>
      <t>樓</t>
    </r>
    <r>
      <rPr>
        <b/>
        <sz val="12"/>
        <rFont val="Arial"/>
        <family val="2"/>
      </rPr>
      <t>(</t>
    </r>
    <r>
      <rPr>
        <b/>
        <sz val="12"/>
        <rFont val="新細明體"/>
        <family val="2"/>
        <charset val="136"/>
      </rPr>
      <t>鑄造三乙</t>
    </r>
    <r>
      <rPr>
        <b/>
        <sz val="12"/>
        <rFont val="Arial"/>
        <family val="2"/>
      </rPr>
      <t>)</t>
    </r>
    <phoneticPr fontId="2" type="noConversion"/>
  </si>
  <si>
    <r>
      <rPr>
        <b/>
        <sz val="12"/>
        <rFont val="Arial"/>
        <family val="2"/>
      </rPr>
      <t>2</t>
    </r>
    <r>
      <rPr>
        <b/>
        <sz val="12"/>
        <rFont val="新細明體"/>
        <family val="2"/>
        <charset val="136"/>
      </rPr>
      <t>樓</t>
    </r>
    <r>
      <rPr>
        <b/>
        <sz val="12"/>
        <rFont val="Arial"/>
        <family val="2"/>
      </rPr>
      <t>(</t>
    </r>
    <r>
      <rPr>
        <b/>
        <sz val="12"/>
        <rFont val="新細明體"/>
        <family val="2"/>
        <charset val="136"/>
      </rPr>
      <t>鑄造三甲</t>
    </r>
    <r>
      <rPr>
        <b/>
        <sz val="12"/>
        <rFont val="Arial"/>
        <family val="2"/>
      </rPr>
      <t>)</t>
    </r>
    <phoneticPr fontId="2" type="noConversion"/>
  </si>
  <si>
    <r>
      <rPr>
        <b/>
        <sz val="12"/>
        <rFont val="Arial"/>
        <family val="2"/>
      </rPr>
      <t>4</t>
    </r>
    <r>
      <rPr>
        <b/>
        <sz val="12"/>
        <rFont val="新細明體"/>
        <family val="2"/>
        <charset val="136"/>
      </rPr>
      <t>樓</t>
    </r>
    <r>
      <rPr>
        <b/>
        <sz val="12"/>
        <rFont val="Arial"/>
        <family val="2"/>
      </rPr>
      <t>(</t>
    </r>
    <r>
      <rPr>
        <b/>
        <sz val="12"/>
        <rFont val="新細明體"/>
        <family val="2"/>
        <charset val="136"/>
      </rPr>
      <t>資處三甲</t>
    </r>
    <r>
      <rPr>
        <b/>
        <sz val="12"/>
        <rFont val="Arial"/>
        <family val="2"/>
      </rPr>
      <t>)</t>
    </r>
    <r>
      <rPr>
        <b/>
        <sz val="12"/>
        <rFont val="Arial"/>
        <family val="2"/>
        <charset val="136"/>
      </rPr>
      <t>-</t>
    </r>
    <r>
      <rPr>
        <b/>
        <sz val="12"/>
        <rFont val="新細明體"/>
        <family val="2"/>
        <charset val="136"/>
      </rPr>
      <t>電機專業</t>
    </r>
    <phoneticPr fontId="2" type="noConversion"/>
  </si>
  <si>
    <r>
      <rPr>
        <b/>
        <sz val="12"/>
        <color theme="1"/>
        <rFont val="Arial"/>
        <family val="2"/>
      </rPr>
      <t>4</t>
    </r>
    <r>
      <rPr>
        <b/>
        <sz val="12"/>
        <color theme="1"/>
        <rFont val="細明體"/>
        <family val="2"/>
        <charset val="136"/>
      </rPr>
      <t>樓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細明體"/>
        <family val="2"/>
        <charset val="136"/>
      </rPr>
      <t>電機三</t>
    </r>
    <r>
      <rPr>
        <b/>
        <sz val="12"/>
        <color theme="1"/>
        <rFont val="新細明體"/>
        <family val="2"/>
        <charset val="136"/>
      </rPr>
      <t>丙</t>
    </r>
    <r>
      <rPr>
        <b/>
        <sz val="12"/>
        <color theme="1"/>
        <rFont val="Arial"/>
        <family val="2"/>
      </rPr>
      <t>)</t>
    </r>
    <phoneticPr fontId="2" type="noConversion"/>
  </si>
  <si>
    <r>
      <rPr>
        <b/>
        <sz val="12"/>
        <rFont val="Arial"/>
        <family val="2"/>
      </rPr>
      <t>4</t>
    </r>
    <r>
      <rPr>
        <b/>
        <sz val="12"/>
        <rFont val="新細明體"/>
        <family val="2"/>
        <charset val="136"/>
      </rPr>
      <t>樓</t>
    </r>
    <r>
      <rPr>
        <b/>
        <sz val="12"/>
        <rFont val="Arial"/>
        <family val="2"/>
      </rPr>
      <t>(</t>
    </r>
    <r>
      <rPr>
        <b/>
        <sz val="12"/>
        <rFont val="新細明體"/>
        <family val="2"/>
        <charset val="136"/>
      </rPr>
      <t>電機三乙</t>
    </r>
    <r>
      <rPr>
        <b/>
        <sz val="12"/>
        <rFont val="Arial"/>
        <family val="2"/>
      </rPr>
      <t>)</t>
    </r>
    <phoneticPr fontId="2" type="noConversion"/>
  </si>
  <si>
    <r>
      <rPr>
        <b/>
        <sz val="12"/>
        <rFont val="Arial"/>
        <family val="2"/>
      </rPr>
      <t>4</t>
    </r>
    <r>
      <rPr>
        <b/>
        <sz val="12"/>
        <rFont val="新細明體"/>
        <family val="2"/>
        <charset val="136"/>
      </rPr>
      <t>樓</t>
    </r>
    <r>
      <rPr>
        <b/>
        <sz val="12"/>
        <rFont val="Arial"/>
        <family val="2"/>
      </rPr>
      <t>(</t>
    </r>
    <r>
      <rPr>
        <b/>
        <sz val="12"/>
        <rFont val="新細明體"/>
        <family val="2"/>
        <charset val="136"/>
      </rPr>
      <t>電機三甲</t>
    </r>
    <r>
      <rPr>
        <b/>
        <sz val="12"/>
        <rFont val="Arial"/>
        <family val="2"/>
      </rPr>
      <t>)</t>
    </r>
    <phoneticPr fontId="2" type="noConversion"/>
  </si>
  <si>
    <t>3樓(機械三甲)</t>
  </si>
  <si>
    <t>3樓(機械三乙)</t>
  </si>
  <si>
    <t>3樓(應英三甲)</t>
  </si>
  <si>
    <t>3樓(應英三乙)</t>
  </si>
  <si>
    <t>3樓(機械三甲)-公民與社會、地理</t>
  </si>
  <si>
    <t>3樓(機械三乙)-歷史</t>
  </si>
  <si>
    <t>3樓(應英三甲)-健康與護理</t>
  </si>
  <si>
    <t>4樓(電機三甲)</t>
  </si>
  <si>
    <t>4樓(電機三乙)</t>
  </si>
  <si>
    <t>4樓(電機三丙)</t>
  </si>
  <si>
    <t>4樓(資處三甲)</t>
  </si>
  <si>
    <t>2樓(鑄造三甲)</t>
  </si>
  <si>
    <r>
      <t>3</t>
    </r>
    <r>
      <rPr>
        <b/>
        <sz val="12"/>
        <rFont val="微軟正黑體"/>
        <family val="2"/>
        <charset val="136"/>
      </rPr>
      <t>樓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機械三乙</t>
    </r>
    <r>
      <rPr>
        <b/>
        <sz val="12"/>
        <rFont val="Arial"/>
        <family val="2"/>
      </rPr>
      <t>)</t>
    </r>
    <phoneticPr fontId="2" type="noConversion"/>
  </si>
  <si>
    <r>
      <t>3</t>
    </r>
    <r>
      <rPr>
        <b/>
        <sz val="12"/>
        <rFont val="微軟正黑體"/>
        <family val="2"/>
        <charset val="136"/>
      </rPr>
      <t>樓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機械三甲</t>
    </r>
    <r>
      <rPr>
        <b/>
        <sz val="12"/>
        <rFont val="Arial"/>
        <family val="2"/>
      </rPr>
      <t>)</t>
    </r>
    <phoneticPr fontId="2" type="noConversion"/>
  </si>
  <si>
    <r>
      <t>3</t>
    </r>
    <r>
      <rPr>
        <b/>
        <sz val="12"/>
        <rFont val="微軟正黑體"/>
        <family val="2"/>
        <charset val="136"/>
      </rPr>
      <t>樓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應英三甲</t>
    </r>
    <r>
      <rPr>
        <b/>
        <sz val="12"/>
        <rFont val="Arial"/>
        <family val="2"/>
      </rPr>
      <t>)</t>
    </r>
    <phoneticPr fontId="2" type="noConversion"/>
  </si>
  <si>
    <r>
      <rPr>
        <b/>
        <sz val="12"/>
        <rFont val="Arial"/>
        <family val="2"/>
      </rPr>
      <t>3</t>
    </r>
    <r>
      <rPr>
        <b/>
        <sz val="12"/>
        <rFont val="新細明體"/>
        <family val="2"/>
        <charset val="136"/>
      </rPr>
      <t>樓</t>
    </r>
    <r>
      <rPr>
        <b/>
        <sz val="12"/>
        <rFont val="Arial"/>
        <family val="2"/>
      </rPr>
      <t>(</t>
    </r>
    <r>
      <rPr>
        <b/>
        <sz val="12"/>
        <rFont val="新細明體"/>
        <family val="2"/>
        <charset val="136"/>
      </rPr>
      <t>應英三乙</t>
    </r>
    <r>
      <rPr>
        <b/>
        <sz val="12"/>
        <rFont val="Arial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</si>
</sst>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0"/>
      <name val="Arial"/>
      <family val="2"/>
    </font>
    <font>
      <sz val="10"/>
      <name val="Arial"/>
      <family val="2"/>
    </font>
    <font>
      <sz val="9"/>
      <name val="細明體"/>
      <family val="3"/>
      <charset val="136"/>
    </font>
    <font>
      <sz val="10"/>
      <name val="Arial"/>
      <family val="2"/>
      <charset val="136"/>
    </font>
    <font>
      <sz val="10"/>
      <name val="微軟正黑體"/>
      <family val="2"/>
      <charset val="136"/>
    </font>
    <font>
      <sz val="10"/>
      <name val="細明體"/>
      <family val="3"/>
      <charset val="136"/>
    </font>
    <font>
      <sz val="10"/>
      <name val="細明體"/>
      <family val="2"/>
      <charset val="136"/>
    </font>
    <font>
      <sz val="12"/>
      <name val="Arial"/>
      <family val="2"/>
    </font>
    <font>
      <sz val="12"/>
      <name val="Arial"/>
      <family val="2"/>
      <charset val="136"/>
    </font>
    <font>
      <sz val="12"/>
      <name val="微軟正黑體"/>
      <family val="2"/>
      <charset val="136"/>
    </font>
    <font>
      <sz val="12"/>
      <name val="細明體"/>
      <family val="2"/>
      <charset val="136"/>
    </font>
    <font>
      <b/>
      <sz val="12"/>
      <name val="Arial"/>
      <family val="2"/>
    </font>
    <font>
      <b/>
      <sz val="16"/>
      <name val="Arial"/>
      <family val="2"/>
    </font>
    <font>
      <b/>
      <sz val="16"/>
      <name val="細明體"/>
      <family val="3"/>
      <charset val="136"/>
    </font>
    <font>
      <sz val="14"/>
      <name val="Arial"/>
      <family val="2"/>
    </font>
    <font>
      <b/>
      <sz val="14"/>
      <name val="Microsoft JhengHei Light"/>
      <family val="2"/>
      <charset val="136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10"/>
      <name val="新細明體"/>
      <family val="1"/>
      <charset val="136"/>
    </font>
    <font>
      <b/>
      <sz val="12"/>
      <color rgb="FF000000"/>
      <name val="新細明體"/>
      <family val="1"/>
      <charset val="136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新細明體"/>
      <family val="1"/>
      <charset val="136"/>
    </font>
    <font>
      <b/>
      <sz val="14"/>
      <name val="Arial"/>
      <family val="2"/>
      <charset val="136"/>
    </font>
    <font>
      <b/>
      <sz val="14"/>
      <name val="細明體"/>
      <family val="2"/>
      <charset val="136"/>
    </font>
    <font>
      <b/>
      <sz val="14"/>
      <name val="Arial"/>
      <family val="2"/>
    </font>
    <font>
      <b/>
      <sz val="14"/>
      <name val="新細明體"/>
      <family val="2"/>
      <charset val="136"/>
    </font>
    <font>
      <b/>
      <sz val="28"/>
      <name val="Arial"/>
      <family val="2"/>
      <charset val="136"/>
    </font>
    <font>
      <b/>
      <sz val="28"/>
      <name val="新細明體"/>
      <family val="2"/>
      <charset val="136"/>
    </font>
    <font>
      <b/>
      <sz val="28"/>
      <name val="Arial"/>
      <family val="2"/>
    </font>
    <font>
      <b/>
      <sz val="28"/>
      <name val="細明體"/>
      <family val="2"/>
      <charset val="136"/>
    </font>
    <font>
      <b/>
      <sz val="36"/>
      <color rgb="FFFF0000"/>
      <name val="Microsoft JhengHei Light"/>
      <family val="2"/>
      <charset val="136"/>
    </font>
    <font>
      <b/>
      <sz val="14"/>
      <color rgb="FFFF0000"/>
      <name val="細明體"/>
      <family val="3"/>
      <charset val="136"/>
    </font>
    <font>
      <b/>
      <sz val="14"/>
      <color theme="4" tint="-0.249977111117893"/>
      <name val="細明體"/>
      <family val="3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Arial"/>
      <family val="2"/>
    </font>
    <font>
      <b/>
      <sz val="12"/>
      <color rgb="FFFF0000"/>
      <name val="新細明體"/>
      <family val="1"/>
      <charset val="136"/>
    </font>
    <font>
      <sz val="12"/>
      <color rgb="FFFF0000"/>
      <name val="Arial"/>
      <family val="2"/>
    </font>
    <font>
      <b/>
      <sz val="12"/>
      <name val="Arial"/>
      <family val="2"/>
      <charset val="136"/>
    </font>
    <font>
      <b/>
      <sz val="12"/>
      <name val="細明體"/>
      <family val="2"/>
      <charset val="136"/>
    </font>
    <font>
      <b/>
      <sz val="12"/>
      <name val="新細明體"/>
      <family val="2"/>
      <charset val="136"/>
    </font>
    <font>
      <b/>
      <sz val="12"/>
      <name val="微軟正黑體"/>
      <family val="2"/>
      <charset val="136"/>
    </font>
    <font>
      <sz val="12"/>
      <color theme="1"/>
      <name val="Arial"/>
      <family val="2"/>
      <charset val="136"/>
    </font>
    <font>
      <sz val="12"/>
      <color theme="1"/>
      <name val="細明體"/>
      <family val="2"/>
      <charset val="136"/>
    </font>
    <font>
      <b/>
      <sz val="12"/>
      <color theme="1"/>
      <name val="Arial"/>
      <family val="2"/>
      <charset val="136"/>
    </font>
    <font>
      <b/>
      <sz val="12"/>
      <color theme="1"/>
      <name val="細明體"/>
      <family val="2"/>
      <charset val="136"/>
    </font>
    <font>
      <b/>
      <sz val="12"/>
      <color theme="1"/>
      <name val="Arial"/>
      <family val="2"/>
    </font>
    <font>
      <b/>
      <sz val="12"/>
      <color theme="1"/>
      <name val="新細明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81">
    <xf numFmtId="0" fontId="0" fillId="0" borderId="0" xfId="0"/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0" fontId="7" fillId="2" borderId="3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4" xfId="0" applyFont="1" applyFill="1" applyBorder="1" applyAlignment="1">
      <alignment horizontal="center" vertical="top"/>
    </xf>
    <xf numFmtId="0" fontId="8" fillId="2" borderId="4" xfId="0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center" vertical="top"/>
    </xf>
    <xf numFmtId="0" fontId="11" fillId="0" borderId="1" xfId="0" applyFont="1" applyBorder="1"/>
    <xf numFmtId="0" fontId="7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15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9" xfId="1" applyFont="1" applyBorder="1" applyAlignment="1">
      <alignment horizontal="left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12" xfId="0" applyFont="1" applyBorder="1" applyAlignment="1">
      <alignment horizontal="center"/>
    </xf>
    <xf numFmtId="0" fontId="7" fillId="0" borderId="13" xfId="0" applyFont="1" applyBorder="1"/>
    <xf numFmtId="0" fontId="8" fillId="0" borderId="9" xfId="0" applyFont="1" applyBorder="1"/>
    <xf numFmtId="0" fontId="8" fillId="0" borderId="1" xfId="0" applyFont="1" applyBorder="1" applyAlignment="1">
      <alignment horizontal="center" vertical="center"/>
    </xf>
    <xf numFmtId="0" fontId="9" fillId="0" borderId="9" xfId="0" applyFont="1" applyBorder="1"/>
    <xf numFmtId="0" fontId="11" fillId="0" borderId="9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5" fillId="0" borderId="6" xfId="0" applyFont="1" applyBorder="1" applyAlignment="1">
      <alignment vertical="top"/>
    </xf>
    <xf numFmtId="0" fontId="15" fillId="0" borderId="7" xfId="0" applyFont="1" applyBorder="1" applyAlignment="1">
      <alignment vertical="top"/>
    </xf>
    <xf numFmtId="0" fontId="15" fillId="0" borderId="7" xfId="0" applyFont="1" applyBorder="1" applyAlignment="1">
      <alignment horizontal="center" vertical="top"/>
    </xf>
    <xf numFmtId="0" fontId="15" fillId="0" borderId="8" xfId="0" applyFont="1" applyBorder="1" applyAlignment="1">
      <alignment vertical="top"/>
    </xf>
    <xf numFmtId="0" fontId="14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7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left" vertical="center"/>
    </xf>
    <xf numFmtId="0" fontId="11" fillId="3" borderId="9" xfId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0" xfId="1" applyFont="1" applyFill="1" applyAlignment="1">
      <alignment horizontal="center" vertical="center"/>
    </xf>
    <xf numFmtId="0" fontId="7" fillId="4" borderId="9" xfId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11" fillId="4" borderId="9" xfId="1" applyFont="1" applyFill="1" applyBorder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0" fontId="16" fillId="0" borderId="19" xfId="0" applyFont="1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9" fillId="6" borderId="19" xfId="0" applyFont="1" applyFill="1" applyBorder="1" applyAlignment="1">
      <alignment vertical="center"/>
    </xf>
    <xf numFmtId="0" fontId="21" fillId="6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0" xfId="1" applyFont="1" applyFill="1" applyAlignment="1">
      <alignment horizontal="center" vertical="center"/>
    </xf>
    <xf numFmtId="0" fontId="11" fillId="5" borderId="9" xfId="1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9" xfId="1" applyFont="1" applyFill="1" applyBorder="1" applyAlignment="1">
      <alignment horizontal="left" vertical="center"/>
    </xf>
    <xf numFmtId="0" fontId="11" fillId="5" borderId="0" xfId="1" applyFont="1" applyFill="1" applyAlignment="1">
      <alignment horizontal="left" vertical="center"/>
    </xf>
    <xf numFmtId="0" fontId="19" fillId="7" borderId="19" xfId="0" applyFont="1" applyFill="1" applyBorder="1" applyAlignment="1">
      <alignment vertical="center"/>
    </xf>
    <xf numFmtId="0" fontId="21" fillId="7" borderId="20" xfId="0" applyFont="1" applyFill="1" applyBorder="1" applyAlignment="1">
      <alignment horizontal="center" vertical="center"/>
    </xf>
    <xf numFmtId="0" fontId="22" fillId="7" borderId="21" xfId="0" applyFont="1" applyFill="1" applyBorder="1" applyAlignment="1">
      <alignment horizontal="center" vertical="center"/>
    </xf>
    <xf numFmtId="0" fontId="19" fillId="7" borderId="22" xfId="0" applyFont="1" applyFill="1" applyBorder="1" applyAlignment="1">
      <alignment vertical="center"/>
    </xf>
    <xf numFmtId="0" fontId="21" fillId="7" borderId="23" xfId="0" applyFont="1" applyFill="1" applyBorder="1" applyAlignment="1">
      <alignment horizontal="center" vertical="center"/>
    </xf>
    <xf numFmtId="0" fontId="22" fillId="7" borderId="24" xfId="0" applyFont="1" applyFill="1" applyBorder="1" applyAlignment="1">
      <alignment horizontal="center" vertical="center"/>
    </xf>
    <xf numFmtId="0" fontId="21" fillId="7" borderId="24" xfId="0" applyFont="1" applyFill="1" applyBorder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19" fillId="8" borderId="22" xfId="0" applyFont="1" applyFill="1" applyBorder="1" applyAlignment="1">
      <alignment vertical="center"/>
    </xf>
    <xf numFmtId="0" fontId="21" fillId="8" borderId="23" xfId="0" applyFont="1" applyFill="1" applyBorder="1" applyAlignment="1">
      <alignment horizontal="center" vertical="center"/>
    </xf>
    <xf numFmtId="0" fontId="22" fillId="8" borderId="24" xfId="0" applyFont="1" applyFill="1" applyBorder="1" applyAlignment="1">
      <alignment horizontal="center" vertical="center"/>
    </xf>
    <xf numFmtId="0" fontId="19" fillId="8" borderId="0" xfId="0" applyFont="1" applyFill="1" applyAlignment="1">
      <alignment vertical="center"/>
    </xf>
    <xf numFmtId="0" fontId="21" fillId="8" borderId="0" xfId="0" applyFont="1" applyFill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19" fillId="4" borderId="1" xfId="0" applyFont="1" applyFill="1" applyBorder="1" applyAlignment="1">
      <alignment vertical="top" textRotation="255"/>
    </xf>
    <xf numFmtId="0" fontId="16" fillId="11" borderId="1" xfId="0" applyFont="1" applyFill="1" applyBorder="1" applyAlignment="1">
      <alignment vertical="top" textRotation="255"/>
    </xf>
    <xf numFmtId="0" fontId="19" fillId="9" borderId="1" xfId="0" applyFont="1" applyFill="1" applyBorder="1" applyAlignment="1">
      <alignment vertical="top" textRotation="255"/>
    </xf>
    <xf numFmtId="0" fontId="16" fillId="10" borderId="1" xfId="0" applyFont="1" applyFill="1" applyBorder="1" applyAlignment="1">
      <alignment vertical="top" textRotation="255"/>
    </xf>
    <xf numFmtId="0" fontId="19" fillId="13" borderId="1" xfId="0" applyFont="1" applyFill="1" applyBorder="1" applyAlignment="1">
      <alignment vertical="top" textRotation="255"/>
    </xf>
    <xf numFmtId="0" fontId="19" fillId="10" borderId="1" xfId="0" applyFont="1" applyFill="1" applyBorder="1" applyAlignment="1">
      <alignment vertical="top" textRotation="255"/>
    </xf>
    <xf numFmtId="0" fontId="19" fillId="10" borderId="10" xfId="0" applyFont="1" applyFill="1" applyBorder="1" applyAlignment="1">
      <alignment vertical="top" textRotation="255"/>
    </xf>
    <xf numFmtId="0" fontId="21" fillId="4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1" fillId="10" borderId="10" xfId="0" applyFon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 wrapText="1"/>
    </xf>
    <xf numFmtId="0" fontId="6" fillId="0" borderId="12" xfId="0" applyFont="1" applyBorder="1"/>
    <xf numFmtId="0" fontId="19" fillId="12" borderId="1" xfId="0" applyFont="1" applyFill="1" applyBorder="1" applyAlignment="1">
      <alignment vertical="top" textRotation="255"/>
    </xf>
    <xf numFmtId="0" fontId="21" fillId="12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vertical="top" textRotation="255"/>
    </xf>
    <xf numFmtId="0" fontId="7" fillId="12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vertical="top" textRotation="255"/>
    </xf>
    <xf numFmtId="0" fontId="7" fillId="9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vertical="top" textRotation="255"/>
    </xf>
    <xf numFmtId="0" fontId="16" fillId="11" borderId="10" xfId="0" applyFont="1" applyFill="1" applyBorder="1" applyAlignment="1">
      <alignment vertical="top" textRotation="255"/>
    </xf>
    <xf numFmtId="0" fontId="7" fillId="11" borderId="10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top" textRotation="255"/>
    </xf>
    <xf numFmtId="0" fontId="19" fillId="4" borderId="10" xfId="0" applyFont="1" applyFill="1" applyBorder="1" applyAlignment="1">
      <alignment vertical="top" textRotation="255"/>
    </xf>
    <xf numFmtId="0" fontId="21" fillId="11" borderId="1" xfId="0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vertical="top" textRotation="255"/>
    </xf>
    <xf numFmtId="0" fontId="7" fillId="9" borderId="10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vertical="top" textRotation="255"/>
    </xf>
    <xf numFmtId="0" fontId="18" fillId="11" borderId="1" xfId="0" applyFont="1" applyFill="1" applyBorder="1" applyAlignment="1">
      <alignment vertical="top" textRotation="255"/>
    </xf>
    <xf numFmtId="0" fontId="18" fillId="9" borderId="1" xfId="0" applyFont="1" applyFill="1" applyBorder="1" applyAlignment="1">
      <alignment vertical="top" textRotation="255"/>
    </xf>
    <xf numFmtId="0" fontId="18" fillId="0" borderId="1" xfId="0" applyFont="1" applyBorder="1" applyAlignment="1">
      <alignment vertical="top" textRotation="255"/>
    </xf>
    <xf numFmtId="0" fontId="18" fillId="0" borderId="10" xfId="0" applyFont="1" applyBorder="1" applyAlignment="1">
      <alignment vertical="top" textRotation="255"/>
    </xf>
    <xf numFmtId="0" fontId="29" fillId="0" borderId="0" xfId="0" applyFont="1" applyAlignment="1">
      <alignment horizontal="center"/>
    </xf>
    <xf numFmtId="0" fontId="11" fillId="0" borderId="0" xfId="0" applyFont="1"/>
    <xf numFmtId="0" fontId="11" fillId="0" borderId="0" xfId="1" applyFont="1" applyAlignment="1">
      <alignment horizontal="center" vertical="center"/>
    </xf>
    <xf numFmtId="0" fontId="34" fillId="9" borderId="1" xfId="0" applyFont="1" applyFill="1" applyBorder="1" applyAlignment="1">
      <alignment vertical="top" textRotation="255"/>
    </xf>
    <xf numFmtId="0" fontId="34" fillId="10" borderId="1" xfId="0" applyFont="1" applyFill="1" applyBorder="1" applyAlignment="1">
      <alignment vertical="top" textRotation="255"/>
    </xf>
    <xf numFmtId="0" fontId="35" fillId="9" borderId="1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vertical="top" textRotation="255"/>
    </xf>
    <xf numFmtId="0" fontId="37" fillId="4" borderId="1" xfId="0" applyFont="1" applyFill="1" applyBorder="1" applyAlignment="1">
      <alignment horizontal="center" vertical="center"/>
    </xf>
    <xf numFmtId="0" fontId="23" fillId="0" borderId="7" xfId="0" applyFont="1" applyBorder="1"/>
    <xf numFmtId="0" fontId="23" fillId="0" borderId="8" xfId="0" applyFont="1" applyBorder="1"/>
    <xf numFmtId="0" fontId="38" fillId="12" borderId="1" xfId="0" applyFont="1" applyFill="1" applyBorder="1"/>
    <xf numFmtId="0" fontId="11" fillId="12" borderId="1" xfId="0" applyFont="1" applyFill="1" applyBorder="1"/>
    <xf numFmtId="0" fontId="21" fillId="4" borderId="28" xfId="0" applyFont="1" applyFill="1" applyBorder="1" applyAlignment="1">
      <alignment horizontal="center" vertical="center"/>
    </xf>
    <xf numFmtId="0" fontId="21" fillId="4" borderId="29" xfId="0" applyFont="1" applyFill="1" applyBorder="1" applyAlignment="1">
      <alignment horizontal="center" vertical="center"/>
    </xf>
    <xf numFmtId="0" fontId="21" fillId="4" borderId="33" xfId="0" applyFont="1" applyFill="1" applyBorder="1" applyAlignment="1">
      <alignment horizontal="center" vertical="center"/>
    </xf>
    <xf numFmtId="0" fontId="21" fillId="11" borderId="28" xfId="0" applyFont="1" applyFill="1" applyBorder="1" applyAlignment="1">
      <alignment horizontal="center" vertical="center"/>
    </xf>
    <xf numFmtId="0" fontId="21" fillId="11" borderId="29" xfId="0" applyFont="1" applyFill="1" applyBorder="1" applyAlignment="1">
      <alignment horizontal="center" vertical="center"/>
    </xf>
    <xf numFmtId="0" fontId="21" fillId="11" borderId="30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/>
    </xf>
    <xf numFmtId="0" fontId="8" fillId="4" borderId="26" xfId="0" applyFont="1" applyFill="1" applyBorder="1" applyAlignment="1">
      <alignment horizontal="center"/>
    </xf>
    <xf numFmtId="0" fontId="8" fillId="4" borderId="27" xfId="0" applyFont="1" applyFill="1" applyBorder="1" applyAlignment="1">
      <alignment horizontal="center"/>
    </xf>
    <xf numFmtId="0" fontId="38" fillId="11" borderId="25" xfId="0" applyFont="1" applyFill="1" applyBorder="1" applyAlignment="1">
      <alignment horizontal="center"/>
    </xf>
    <xf numFmtId="0" fontId="38" fillId="11" borderId="26" xfId="0" applyFont="1" applyFill="1" applyBorder="1" applyAlignment="1">
      <alignment horizontal="center"/>
    </xf>
    <xf numFmtId="0" fontId="38" fillId="11" borderId="27" xfId="0" applyFont="1" applyFill="1" applyBorder="1" applyAlignment="1">
      <alignment horizontal="center"/>
    </xf>
    <xf numFmtId="0" fontId="8" fillId="11" borderId="25" xfId="0" applyFont="1" applyFill="1" applyBorder="1" applyAlignment="1">
      <alignment horizontal="center"/>
    </xf>
    <xf numFmtId="0" fontId="8" fillId="11" borderId="26" xfId="0" applyFont="1" applyFill="1" applyBorder="1" applyAlignment="1">
      <alignment horizontal="center"/>
    </xf>
    <xf numFmtId="0" fontId="8" fillId="11" borderId="27" xfId="0" applyFont="1" applyFill="1" applyBorder="1" applyAlignment="1">
      <alignment horizontal="center"/>
    </xf>
    <xf numFmtId="0" fontId="10" fillId="11" borderId="25" xfId="0" applyFont="1" applyFill="1" applyBorder="1" applyAlignment="1">
      <alignment horizontal="center"/>
    </xf>
    <xf numFmtId="0" fontId="10" fillId="11" borderId="26" xfId="0" applyFont="1" applyFill="1" applyBorder="1" applyAlignment="1">
      <alignment horizontal="center"/>
    </xf>
    <xf numFmtId="0" fontId="10" fillId="11" borderId="27" xfId="0" applyFont="1" applyFill="1" applyBorder="1" applyAlignment="1">
      <alignment horizontal="center"/>
    </xf>
    <xf numFmtId="0" fontId="38" fillId="9" borderId="25" xfId="0" applyFont="1" applyFill="1" applyBorder="1" applyAlignment="1">
      <alignment horizontal="center"/>
    </xf>
    <xf numFmtId="0" fontId="38" fillId="9" borderId="26" xfId="0" applyFont="1" applyFill="1" applyBorder="1" applyAlignment="1">
      <alignment horizontal="center"/>
    </xf>
    <xf numFmtId="0" fontId="38" fillId="9" borderId="27" xfId="0" applyFont="1" applyFill="1" applyBorder="1" applyAlignment="1">
      <alignment horizontal="center"/>
    </xf>
    <xf numFmtId="0" fontId="38" fillId="4" borderId="25" xfId="0" applyFont="1" applyFill="1" applyBorder="1" applyAlignment="1">
      <alignment horizontal="center"/>
    </xf>
    <xf numFmtId="0" fontId="38" fillId="4" borderId="26" xfId="0" applyFont="1" applyFill="1" applyBorder="1" applyAlignment="1">
      <alignment horizontal="center"/>
    </xf>
    <xf numFmtId="0" fontId="38" fillId="4" borderId="27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 textRotation="255"/>
    </xf>
    <xf numFmtId="0" fontId="3" fillId="0" borderId="11" xfId="0" applyFont="1" applyBorder="1" applyAlignment="1">
      <alignment horizontal="center" vertical="center" textRotation="255"/>
    </xf>
    <xf numFmtId="0" fontId="10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24" fillId="0" borderId="34" xfId="0" applyFont="1" applyBorder="1" applyAlignment="1">
      <alignment horizontal="center"/>
    </xf>
    <xf numFmtId="0" fontId="24" fillId="0" borderId="35" xfId="0" applyFont="1" applyBorder="1" applyAlignment="1">
      <alignment horizontal="center"/>
    </xf>
    <xf numFmtId="0" fontId="24" fillId="0" borderId="36" xfId="0" applyFont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5" fillId="9" borderId="12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38" fillId="10" borderId="1" xfId="0" applyFont="1" applyFill="1" applyBorder="1" applyAlignment="1">
      <alignment horizontal="center"/>
    </xf>
    <xf numFmtId="0" fontId="44" fillId="9" borderId="1" xfId="0" applyFont="1" applyFill="1" applyBorder="1" applyAlignment="1">
      <alignment horizontal="center"/>
    </xf>
    <xf numFmtId="0" fontId="42" fillId="9" borderId="1" xfId="0" applyFont="1" applyFill="1" applyBorder="1" applyAlignment="1">
      <alignment horizontal="center"/>
    </xf>
    <xf numFmtId="0" fontId="43" fillId="9" borderId="1" xfId="0" applyFont="1" applyFill="1" applyBorder="1" applyAlignment="1">
      <alignment horizontal="center"/>
    </xf>
    <xf numFmtId="0" fontId="21" fillId="12" borderId="12" xfId="0" applyFont="1" applyFill="1" applyBorder="1" applyAlignment="1">
      <alignment horizontal="center" vertical="center"/>
    </xf>
    <xf numFmtId="0" fontId="38" fillId="12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21" fillId="9" borderId="12" xfId="0" applyFont="1" applyFill="1" applyBorder="1" applyAlignment="1">
      <alignment horizontal="center" vertical="center"/>
    </xf>
    <xf numFmtId="0" fontId="38" fillId="4" borderId="31" xfId="0" applyFont="1" applyFill="1" applyBorder="1" applyAlignment="1">
      <alignment horizontal="center"/>
    </xf>
    <xf numFmtId="0" fontId="8" fillId="4" borderId="3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38" fillId="4" borderId="1" xfId="0" applyFont="1" applyFill="1" applyBorder="1" applyAlignment="1">
      <alignment horizontal="center"/>
    </xf>
    <xf numFmtId="0" fontId="38" fillId="11" borderId="1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7" fillId="4" borderId="12" xfId="0" applyFont="1" applyFill="1" applyBorder="1" applyAlignment="1">
      <alignment horizontal="center" vertical="center"/>
    </xf>
    <xf numFmtId="0" fontId="7" fillId="11" borderId="12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38" fillId="9" borderId="1" xfId="0" applyFont="1" applyFill="1" applyBorder="1" applyAlignment="1">
      <alignment horizontal="center"/>
    </xf>
    <xf numFmtId="0" fontId="38" fillId="12" borderId="10" xfId="0" applyFont="1" applyFill="1" applyBorder="1" applyAlignment="1">
      <alignment horizontal="center"/>
    </xf>
    <xf numFmtId="0" fontId="21" fillId="10" borderId="12" xfId="0" applyFont="1" applyFill="1" applyBorder="1" applyAlignment="1">
      <alignment horizontal="center" vertical="center"/>
    </xf>
    <xf numFmtId="0" fontId="21" fillId="10" borderId="13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21" fillId="11" borderId="12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19" fillId="10" borderId="1" xfId="0" applyFont="1" applyFill="1" applyBorder="1" applyAlignment="1">
      <alignment horizontal="center" vertical="top" textRotation="255"/>
    </xf>
    <xf numFmtId="0" fontId="19" fillId="10" borderId="10" xfId="0" applyFont="1" applyFill="1" applyBorder="1" applyAlignment="1">
      <alignment horizontal="center" vertical="top" textRotation="255"/>
    </xf>
    <xf numFmtId="0" fontId="21" fillId="10" borderId="1" xfId="0" applyFont="1" applyFill="1" applyBorder="1" applyAlignment="1">
      <alignment horizontal="center" vertical="center"/>
    </xf>
    <xf numFmtId="0" fontId="21" fillId="10" borderId="10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/>
    </xf>
    <xf numFmtId="0" fontId="7" fillId="10" borderId="10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38" fillId="9" borderId="10" xfId="0" applyFont="1" applyFill="1" applyBorder="1" applyAlignment="1">
      <alignment horizontal="center"/>
    </xf>
    <xf numFmtId="0" fontId="7" fillId="12" borderId="12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8" fillId="12" borderId="10" xfId="0" applyFont="1" applyFill="1" applyBorder="1" applyAlignment="1">
      <alignment horizontal="center"/>
    </xf>
    <xf numFmtId="0" fontId="7" fillId="11" borderId="10" xfId="0" applyFont="1" applyFill="1" applyBorder="1" applyAlignment="1">
      <alignment horizontal="center"/>
    </xf>
    <xf numFmtId="0" fontId="21" fillId="4" borderId="30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/>
    </xf>
    <xf numFmtId="0" fontId="21" fillId="13" borderId="12" xfId="0" applyFont="1" applyFill="1" applyBorder="1" applyAlignment="1">
      <alignment horizontal="center" vertical="center"/>
    </xf>
    <xf numFmtId="0" fontId="7" fillId="11" borderId="13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/>
    </xf>
    <xf numFmtId="0" fontId="8" fillId="11" borderId="10" xfId="0" applyFont="1" applyFill="1" applyBorder="1" applyAlignment="1">
      <alignment horizontal="center"/>
    </xf>
    <xf numFmtId="0" fontId="38" fillId="11" borderId="10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38" fillId="13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6" fillId="0" borderId="16" xfId="0" applyFont="1" applyBorder="1" applyAlignment="1">
      <alignment horizontal="right"/>
    </xf>
    <xf numFmtId="0" fontId="6" fillId="0" borderId="32" xfId="0" applyFont="1" applyBorder="1" applyAlignment="1">
      <alignment horizontal="right"/>
    </xf>
    <xf numFmtId="0" fontId="10" fillId="0" borderId="17" xfId="0" applyFont="1" applyBorder="1" applyAlignment="1">
      <alignment horizontal="right"/>
    </xf>
    <xf numFmtId="0" fontId="10" fillId="0" borderId="27" xfId="0" applyFont="1" applyBorder="1" applyAlignment="1">
      <alignment horizontal="right"/>
    </xf>
    <xf numFmtId="0" fontId="10" fillId="4" borderId="25" xfId="0" applyFont="1" applyFill="1" applyBorder="1" applyAlignment="1">
      <alignment horizontal="center"/>
    </xf>
    <xf numFmtId="0" fontId="10" fillId="4" borderId="26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0" fontId="10" fillId="4" borderId="31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6" fillId="0" borderId="6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10" fillId="0" borderId="9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38" fillId="10" borderId="25" xfId="0" applyFont="1" applyFill="1" applyBorder="1" applyAlignment="1">
      <alignment horizontal="center"/>
    </xf>
    <xf numFmtId="0" fontId="38" fillId="10" borderId="26" xfId="0" applyFont="1" applyFill="1" applyBorder="1" applyAlignment="1">
      <alignment horizontal="center"/>
    </xf>
    <xf numFmtId="0" fontId="38" fillId="10" borderId="31" xfId="0" applyFont="1" applyFill="1" applyBorder="1" applyAlignment="1">
      <alignment horizontal="center"/>
    </xf>
    <xf numFmtId="0" fontId="10" fillId="0" borderId="16" xfId="0" applyFont="1" applyBorder="1" applyAlignment="1">
      <alignment horizontal="right"/>
    </xf>
    <xf numFmtId="0" fontId="10" fillId="0" borderId="32" xfId="0" applyFont="1" applyBorder="1" applyAlignment="1">
      <alignment horizontal="right"/>
    </xf>
  </cellXfs>
  <cellStyles count="2">
    <cellStyle name="一般" xfId="0" builtinId="0"/>
    <cellStyle name="一般 2" xfId="1" xr:uid="{6A96AF3E-6183-4D2B-A149-6F0B309BFF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9D6D-1BB2-4B23-9D17-5A1D57A6666D}">
  <sheetPr filterMode="1"/>
  <dimension ref="A1:H1141"/>
  <sheetViews>
    <sheetView workbookViewId="0">
      <selection activeCell="A937" sqref="A937:H946"/>
    </sheetView>
  </sheetViews>
  <sheetFormatPr defaultRowHeight="12.5"/>
  <cols>
    <col min="4" max="4" width="24.90625" bestFit="1" customWidth="1"/>
    <col min="224" max="224" width="7.6328125" bestFit="1" customWidth="1"/>
    <col min="225" max="225" width="0" hidden="1" customWidth="1"/>
    <col min="227" max="227" width="0" hidden="1" customWidth="1"/>
    <col min="228" max="228" width="24.90625" bestFit="1" customWidth="1"/>
    <col min="229" max="229" width="10" bestFit="1" customWidth="1"/>
    <col min="230" max="230" width="9.54296875" customWidth="1"/>
    <col min="231" max="231" width="9.54296875" bestFit="1" customWidth="1"/>
    <col min="232" max="233" width="0" hidden="1" customWidth="1"/>
    <col min="234" max="234" width="11.453125" bestFit="1" customWidth="1"/>
    <col min="235" max="253" width="0" hidden="1" customWidth="1"/>
    <col min="480" max="480" width="7.6328125" bestFit="1" customWidth="1"/>
    <col min="481" max="481" width="0" hidden="1" customWidth="1"/>
    <col min="483" max="483" width="0" hidden="1" customWidth="1"/>
    <col min="484" max="484" width="24.90625" bestFit="1" customWidth="1"/>
    <col min="485" max="485" width="10" bestFit="1" customWidth="1"/>
    <col min="486" max="486" width="9.54296875" customWidth="1"/>
    <col min="487" max="487" width="9.54296875" bestFit="1" customWidth="1"/>
    <col min="488" max="489" width="0" hidden="1" customWidth="1"/>
    <col min="490" max="490" width="11.453125" bestFit="1" customWidth="1"/>
    <col min="491" max="509" width="0" hidden="1" customWidth="1"/>
    <col min="736" max="736" width="7.6328125" bestFit="1" customWidth="1"/>
    <col min="737" max="737" width="0" hidden="1" customWidth="1"/>
    <col min="739" max="739" width="0" hidden="1" customWidth="1"/>
    <col min="740" max="740" width="24.90625" bestFit="1" customWidth="1"/>
    <col min="741" max="741" width="10" bestFit="1" customWidth="1"/>
    <col min="742" max="742" width="9.54296875" customWidth="1"/>
    <col min="743" max="743" width="9.54296875" bestFit="1" customWidth="1"/>
    <col min="744" max="745" width="0" hidden="1" customWidth="1"/>
    <col min="746" max="746" width="11.453125" bestFit="1" customWidth="1"/>
    <col min="747" max="765" width="0" hidden="1" customWidth="1"/>
    <col min="992" max="992" width="7.6328125" bestFit="1" customWidth="1"/>
    <col min="993" max="993" width="0" hidden="1" customWidth="1"/>
    <col min="995" max="995" width="0" hidden="1" customWidth="1"/>
    <col min="996" max="996" width="24.90625" bestFit="1" customWidth="1"/>
    <col min="997" max="997" width="10" bestFit="1" customWidth="1"/>
    <col min="998" max="998" width="9.54296875" customWidth="1"/>
    <col min="999" max="999" width="9.54296875" bestFit="1" customWidth="1"/>
    <col min="1000" max="1001" width="0" hidden="1" customWidth="1"/>
    <col min="1002" max="1002" width="11.453125" bestFit="1" customWidth="1"/>
    <col min="1003" max="1021" width="0" hidden="1" customWidth="1"/>
    <col min="1248" max="1248" width="7.6328125" bestFit="1" customWidth="1"/>
    <col min="1249" max="1249" width="0" hidden="1" customWidth="1"/>
    <col min="1251" max="1251" width="0" hidden="1" customWidth="1"/>
    <col min="1252" max="1252" width="24.90625" bestFit="1" customWidth="1"/>
    <col min="1253" max="1253" width="10" bestFit="1" customWidth="1"/>
    <col min="1254" max="1254" width="9.54296875" customWidth="1"/>
    <col min="1255" max="1255" width="9.54296875" bestFit="1" customWidth="1"/>
    <col min="1256" max="1257" width="0" hidden="1" customWidth="1"/>
    <col min="1258" max="1258" width="11.453125" bestFit="1" customWidth="1"/>
    <col min="1259" max="1277" width="0" hidden="1" customWidth="1"/>
    <col min="1504" max="1504" width="7.6328125" bestFit="1" customWidth="1"/>
    <col min="1505" max="1505" width="0" hidden="1" customWidth="1"/>
    <col min="1507" max="1507" width="0" hidden="1" customWidth="1"/>
    <col min="1508" max="1508" width="24.90625" bestFit="1" customWidth="1"/>
    <col min="1509" max="1509" width="10" bestFit="1" customWidth="1"/>
    <col min="1510" max="1510" width="9.54296875" customWidth="1"/>
    <col min="1511" max="1511" width="9.54296875" bestFit="1" customWidth="1"/>
    <col min="1512" max="1513" width="0" hidden="1" customWidth="1"/>
    <col min="1514" max="1514" width="11.453125" bestFit="1" customWidth="1"/>
    <col min="1515" max="1533" width="0" hidden="1" customWidth="1"/>
    <col min="1760" max="1760" width="7.6328125" bestFit="1" customWidth="1"/>
    <col min="1761" max="1761" width="0" hidden="1" customWidth="1"/>
    <col min="1763" max="1763" width="0" hidden="1" customWidth="1"/>
    <col min="1764" max="1764" width="24.90625" bestFit="1" customWidth="1"/>
    <col min="1765" max="1765" width="10" bestFit="1" customWidth="1"/>
    <col min="1766" max="1766" width="9.54296875" customWidth="1"/>
    <col min="1767" max="1767" width="9.54296875" bestFit="1" customWidth="1"/>
    <col min="1768" max="1769" width="0" hidden="1" customWidth="1"/>
    <col min="1770" max="1770" width="11.453125" bestFit="1" customWidth="1"/>
    <col min="1771" max="1789" width="0" hidden="1" customWidth="1"/>
    <col min="2016" max="2016" width="7.6328125" bestFit="1" customWidth="1"/>
    <col min="2017" max="2017" width="0" hidden="1" customWidth="1"/>
    <col min="2019" max="2019" width="0" hidden="1" customWidth="1"/>
    <col min="2020" max="2020" width="24.90625" bestFit="1" customWidth="1"/>
    <col min="2021" max="2021" width="10" bestFit="1" customWidth="1"/>
    <col min="2022" max="2022" width="9.54296875" customWidth="1"/>
    <col min="2023" max="2023" width="9.54296875" bestFit="1" customWidth="1"/>
    <col min="2024" max="2025" width="0" hidden="1" customWidth="1"/>
    <col min="2026" max="2026" width="11.453125" bestFit="1" customWidth="1"/>
    <col min="2027" max="2045" width="0" hidden="1" customWidth="1"/>
    <col min="2272" max="2272" width="7.6328125" bestFit="1" customWidth="1"/>
    <col min="2273" max="2273" width="0" hidden="1" customWidth="1"/>
    <col min="2275" max="2275" width="0" hidden="1" customWidth="1"/>
    <col min="2276" max="2276" width="24.90625" bestFit="1" customWidth="1"/>
    <col min="2277" max="2277" width="10" bestFit="1" customWidth="1"/>
    <col min="2278" max="2278" width="9.54296875" customWidth="1"/>
    <col min="2279" max="2279" width="9.54296875" bestFit="1" customWidth="1"/>
    <col min="2280" max="2281" width="0" hidden="1" customWidth="1"/>
    <col min="2282" max="2282" width="11.453125" bestFit="1" customWidth="1"/>
    <col min="2283" max="2301" width="0" hidden="1" customWidth="1"/>
    <col min="2528" max="2528" width="7.6328125" bestFit="1" customWidth="1"/>
    <col min="2529" max="2529" width="0" hidden="1" customWidth="1"/>
    <col min="2531" max="2531" width="0" hidden="1" customWidth="1"/>
    <col min="2532" max="2532" width="24.90625" bestFit="1" customWidth="1"/>
    <col min="2533" max="2533" width="10" bestFit="1" customWidth="1"/>
    <col min="2534" max="2534" width="9.54296875" customWidth="1"/>
    <col min="2535" max="2535" width="9.54296875" bestFit="1" customWidth="1"/>
    <col min="2536" max="2537" width="0" hidden="1" customWidth="1"/>
    <col min="2538" max="2538" width="11.453125" bestFit="1" customWidth="1"/>
    <col min="2539" max="2557" width="0" hidden="1" customWidth="1"/>
    <col min="2784" max="2784" width="7.6328125" bestFit="1" customWidth="1"/>
    <col min="2785" max="2785" width="0" hidden="1" customWidth="1"/>
    <col min="2787" max="2787" width="0" hidden="1" customWidth="1"/>
    <col min="2788" max="2788" width="24.90625" bestFit="1" customWidth="1"/>
    <col min="2789" max="2789" width="10" bestFit="1" customWidth="1"/>
    <col min="2790" max="2790" width="9.54296875" customWidth="1"/>
    <col min="2791" max="2791" width="9.54296875" bestFit="1" customWidth="1"/>
    <col min="2792" max="2793" width="0" hidden="1" customWidth="1"/>
    <col min="2794" max="2794" width="11.453125" bestFit="1" customWidth="1"/>
    <col min="2795" max="2813" width="0" hidden="1" customWidth="1"/>
    <col min="3040" max="3040" width="7.6328125" bestFit="1" customWidth="1"/>
    <col min="3041" max="3041" width="0" hidden="1" customWidth="1"/>
    <col min="3043" max="3043" width="0" hidden="1" customWidth="1"/>
    <col min="3044" max="3044" width="24.90625" bestFit="1" customWidth="1"/>
    <col min="3045" max="3045" width="10" bestFit="1" customWidth="1"/>
    <col min="3046" max="3046" width="9.54296875" customWidth="1"/>
    <col min="3047" max="3047" width="9.54296875" bestFit="1" customWidth="1"/>
    <col min="3048" max="3049" width="0" hidden="1" customWidth="1"/>
    <col min="3050" max="3050" width="11.453125" bestFit="1" customWidth="1"/>
    <col min="3051" max="3069" width="0" hidden="1" customWidth="1"/>
    <col min="3296" max="3296" width="7.6328125" bestFit="1" customWidth="1"/>
    <col min="3297" max="3297" width="0" hidden="1" customWidth="1"/>
    <col min="3299" max="3299" width="0" hidden="1" customWidth="1"/>
    <col min="3300" max="3300" width="24.90625" bestFit="1" customWidth="1"/>
    <col min="3301" max="3301" width="10" bestFit="1" customWidth="1"/>
    <col min="3302" max="3302" width="9.54296875" customWidth="1"/>
    <col min="3303" max="3303" width="9.54296875" bestFit="1" customWidth="1"/>
    <col min="3304" max="3305" width="0" hidden="1" customWidth="1"/>
    <col min="3306" max="3306" width="11.453125" bestFit="1" customWidth="1"/>
    <col min="3307" max="3325" width="0" hidden="1" customWidth="1"/>
    <col min="3552" max="3552" width="7.6328125" bestFit="1" customWidth="1"/>
    <col min="3553" max="3553" width="0" hidden="1" customWidth="1"/>
    <col min="3555" max="3555" width="0" hidden="1" customWidth="1"/>
    <col min="3556" max="3556" width="24.90625" bestFit="1" customWidth="1"/>
    <col min="3557" max="3557" width="10" bestFit="1" customWidth="1"/>
    <col min="3558" max="3558" width="9.54296875" customWidth="1"/>
    <col min="3559" max="3559" width="9.54296875" bestFit="1" customWidth="1"/>
    <col min="3560" max="3561" width="0" hidden="1" customWidth="1"/>
    <col min="3562" max="3562" width="11.453125" bestFit="1" customWidth="1"/>
    <col min="3563" max="3581" width="0" hidden="1" customWidth="1"/>
    <col min="3808" max="3808" width="7.6328125" bestFit="1" customWidth="1"/>
    <col min="3809" max="3809" width="0" hidden="1" customWidth="1"/>
    <col min="3811" max="3811" width="0" hidden="1" customWidth="1"/>
    <col min="3812" max="3812" width="24.90625" bestFit="1" customWidth="1"/>
    <col min="3813" max="3813" width="10" bestFit="1" customWidth="1"/>
    <col min="3814" max="3814" width="9.54296875" customWidth="1"/>
    <col min="3815" max="3815" width="9.54296875" bestFit="1" customWidth="1"/>
    <col min="3816" max="3817" width="0" hidden="1" customWidth="1"/>
    <col min="3818" max="3818" width="11.453125" bestFit="1" customWidth="1"/>
    <col min="3819" max="3837" width="0" hidden="1" customWidth="1"/>
    <col min="4064" max="4064" width="7.6328125" bestFit="1" customWidth="1"/>
    <col min="4065" max="4065" width="0" hidden="1" customWidth="1"/>
    <col min="4067" max="4067" width="0" hidden="1" customWidth="1"/>
    <col min="4068" max="4068" width="24.90625" bestFit="1" customWidth="1"/>
    <col min="4069" max="4069" width="10" bestFit="1" customWidth="1"/>
    <col min="4070" max="4070" width="9.54296875" customWidth="1"/>
    <col min="4071" max="4071" width="9.54296875" bestFit="1" customWidth="1"/>
    <col min="4072" max="4073" width="0" hidden="1" customWidth="1"/>
    <col min="4074" max="4074" width="11.453125" bestFit="1" customWidth="1"/>
    <col min="4075" max="4093" width="0" hidden="1" customWidth="1"/>
    <col min="4320" max="4320" width="7.6328125" bestFit="1" customWidth="1"/>
    <col min="4321" max="4321" width="0" hidden="1" customWidth="1"/>
    <col min="4323" max="4323" width="0" hidden="1" customWidth="1"/>
    <col min="4324" max="4324" width="24.90625" bestFit="1" customWidth="1"/>
    <col min="4325" max="4325" width="10" bestFit="1" customWidth="1"/>
    <col min="4326" max="4326" width="9.54296875" customWidth="1"/>
    <col min="4327" max="4327" width="9.54296875" bestFit="1" customWidth="1"/>
    <col min="4328" max="4329" width="0" hidden="1" customWidth="1"/>
    <col min="4330" max="4330" width="11.453125" bestFit="1" customWidth="1"/>
    <col min="4331" max="4349" width="0" hidden="1" customWidth="1"/>
    <col min="4576" max="4576" width="7.6328125" bestFit="1" customWidth="1"/>
    <col min="4577" max="4577" width="0" hidden="1" customWidth="1"/>
    <col min="4579" max="4579" width="0" hidden="1" customWidth="1"/>
    <col min="4580" max="4580" width="24.90625" bestFit="1" customWidth="1"/>
    <col min="4581" max="4581" width="10" bestFit="1" customWidth="1"/>
    <col min="4582" max="4582" width="9.54296875" customWidth="1"/>
    <col min="4583" max="4583" width="9.54296875" bestFit="1" customWidth="1"/>
    <col min="4584" max="4585" width="0" hidden="1" customWidth="1"/>
    <col min="4586" max="4586" width="11.453125" bestFit="1" customWidth="1"/>
    <col min="4587" max="4605" width="0" hidden="1" customWidth="1"/>
    <col min="4832" max="4832" width="7.6328125" bestFit="1" customWidth="1"/>
    <col min="4833" max="4833" width="0" hidden="1" customWidth="1"/>
    <col min="4835" max="4835" width="0" hidden="1" customWidth="1"/>
    <col min="4836" max="4836" width="24.90625" bestFit="1" customWidth="1"/>
    <col min="4837" max="4837" width="10" bestFit="1" customWidth="1"/>
    <col min="4838" max="4838" width="9.54296875" customWidth="1"/>
    <col min="4839" max="4839" width="9.54296875" bestFit="1" customWidth="1"/>
    <col min="4840" max="4841" width="0" hidden="1" customWidth="1"/>
    <col min="4842" max="4842" width="11.453125" bestFit="1" customWidth="1"/>
    <col min="4843" max="4861" width="0" hidden="1" customWidth="1"/>
    <col min="5088" max="5088" width="7.6328125" bestFit="1" customWidth="1"/>
    <col min="5089" max="5089" width="0" hidden="1" customWidth="1"/>
    <col min="5091" max="5091" width="0" hidden="1" customWidth="1"/>
    <col min="5092" max="5092" width="24.90625" bestFit="1" customWidth="1"/>
    <col min="5093" max="5093" width="10" bestFit="1" customWidth="1"/>
    <col min="5094" max="5094" width="9.54296875" customWidth="1"/>
    <col min="5095" max="5095" width="9.54296875" bestFit="1" customWidth="1"/>
    <col min="5096" max="5097" width="0" hidden="1" customWidth="1"/>
    <col min="5098" max="5098" width="11.453125" bestFit="1" customWidth="1"/>
    <col min="5099" max="5117" width="0" hidden="1" customWidth="1"/>
    <col min="5344" max="5344" width="7.6328125" bestFit="1" customWidth="1"/>
    <col min="5345" max="5345" width="0" hidden="1" customWidth="1"/>
    <col min="5347" max="5347" width="0" hidden="1" customWidth="1"/>
    <col min="5348" max="5348" width="24.90625" bestFit="1" customWidth="1"/>
    <col min="5349" max="5349" width="10" bestFit="1" customWidth="1"/>
    <col min="5350" max="5350" width="9.54296875" customWidth="1"/>
    <col min="5351" max="5351" width="9.54296875" bestFit="1" customWidth="1"/>
    <col min="5352" max="5353" width="0" hidden="1" customWidth="1"/>
    <col min="5354" max="5354" width="11.453125" bestFit="1" customWidth="1"/>
    <col min="5355" max="5373" width="0" hidden="1" customWidth="1"/>
    <col min="5600" max="5600" width="7.6328125" bestFit="1" customWidth="1"/>
    <col min="5601" max="5601" width="0" hidden="1" customWidth="1"/>
    <col min="5603" max="5603" width="0" hidden="1" customWidth="1"/>
    <col min="5604" max="5604" width="24.90625" bestFit="1" customWidth="1"/>
    <col min="5605" max="5605" width="10" bestFit="1" customWidth="1"/>
    <col min="5606" max="5606" width="9.54296875" customWidth="1"/>
    <col min="5607" max="5607" width="9.54296875" bestFit="1" customWidth="1"/>
    <col min="5608" max="5609" width="0" hidden="1" customWidth="1"/>
    <col min="5610" max="5610" width="11.453125" bestFit="1" customWidth="1"/>
    <col min="5611" max="5629" width="0" hidden="1" customWidth="1"/>
    <col min="5856" max="5856" width="7.6328125" bestFit="1" customWidth="1"/>
    <col min="5857" max="5857" width="0" hidden="1" customWidth="1"/>
    <col min="5859" max="5859" width="0" hidden="1" customWidth="1"/>
    <col min="5860" max="5860" width="24.90625" bestFit="1" customWidth="1"/>
    <col min="5861" max="5861" width="10" bestFit="1" customWidth="1"/>
    <col min="5862" max="5862" width="9.54296875" customWidth="1"/>
    <col min="5863" max="5863" width="9.54296875" bestFit="1" customWidth="1"/>
    <col min="5864" max="5865" width="0" hidden="1" customWidth="1"/>
    <col min="5866" max="5866" width="11.453125" bestFit="1" customWidth="1"/>
    <col min="5867" max="5885" width="0" hidden="1" customWidth="1"/>
    <col min="6112" max="6112" width="7.6328125" bestFit="1" customWidth="1"/>
    <col min="6113" max="6113" width="0" hidden="1" customWidth="1"/>
    <col min="6115" max="6115" width="0" hidden="1" customWidth="1"/>
    <col min="6116" max="6116" width="24.90625" bestFit="1" customWidth="1"/>
    <col min="6117" max="6117" width="10" bestFit="1" customWidth="1"/>
    <col min="6118" max="6118" width="9.54296875" customWidth="1"/>
    <col min="6119" max="6119" width="9.54296875" bestFit="1" customWidth="1"/>
    <col min="6120" max="6121" width="0" hidden="1" customWidth="1"/>
    <col min="6122" max="6122" width="11.453125" bestFit="1" customWidth="1"/>
    <col min="6123" max="6141" width="0" hidden="1" customWidth="1"/>
    <col min="6368" max="6368" width="7.6328125" bestFit="1" customWidth="1"/>
    <col min="6369" max="6369" width="0" hidden="1" customWidth="1"/>
    <col min="6371" max="6371" width="0" hidden="1" customWidth="1"/>
    <col min="6372" max="6372" width="24.90625" bestFit="1" customWidth="1"/>
    <col min="6373" max="6373" width="10" bestFit="1" customWidth="1"/>
    <col min="6374" max="6374" width="9.54296875" customWidth="1"/>
    <col min="6375" max="6375" width="9.54296875" bestFit="1" customWidth="1"/>
    <col min="6376" max="6377" width="0" hidden="1" customWidth="1"/>
    <col min="6378" max="6378" width="11.453125" bestFit="1" customWidth="1"/>
    <col min="6379" max="6397" width="0" hidden="1" customWidth="1"/>
    <col min="6624" max="6624" width="7.6328125" bestFit="1" customWidth="1"/>
    <col min="6625" max="6625" width="0" hidden="1" customWidth="1"/>
    <col min="6627" max="6627" width="0" hidden="1" customWidth="1"/>
    <col min="6628" max="6628" width="24.90625" bestFit="1" customWidth="1"/>
    <col min="6629" max="6629" width="10" bestFit="1" customWidth="1"/>
    <col min="6630" max="6630" width="9.54296875" customWidth="1"/>
    <col min="6631" max="6631" width="9.54296875" bestFit="1" customWidth="1"/>
    <col min="6632" max="6633" width="0" hidden="1" customWidth="1"/>
    <col min="6634" max="6634" width="11.453125" bestFit="1" customWidth="1"/>
    <col min="6635" max="6653" width="0" hidden="1" customWidth="1"/>
    <col min="6880" max="6880" width="7.6328125" bestFit="1" customWidth="1"/>
    <col min="6881" max="6881" width="0" hidden="1" customWidth="1"/>
    <col min="6883" max="6883" width="0" hidden="1" customWidth="1"/>
    <col min="6884" max="6884" width="24.90625" bestFit="1" customWidth="1"/>
    <col min="6885" max="6885" width="10" bestFit="1" customWidth="1"/>
    <col min="6886" max="6886" width="9.54296875" customWidth="1"/>
    <col min="6887" max="6887" width="9.54296875" bestFit="1" customWidth="1"/>
    <col min="6888" max="6889" width="0" hidden="1" customWidth="1"/>
    <col min="6890" max="6890" width="11.453125" bestFit="1" customWidth="1"/>
    <col min="6891" max="6909" width="0" hidden="1" customWidth="1"/>
    <col min="7136" max="7136" width="7.6328125" bestFit="1" customWidth="1"/>
    <col min="7137" max="7137" width="0" hidden="1" customWidth="1"/>
    <col min="7139" max="7139" width="0" hidden="1" customWidth="1"/>
    <col min="7140" max="7140" width="24.90625" bestFit="1" customWidth="1"/>
    <col min="7141" max="7141" width="10" bestFit="1" customWidth="1"/>
    <col min="7142" max="7142" width="9.54296875" customWidth="1"/>
    <col min="7143" max="7143" width="9.54296875" bestFit="1" customWidth="1"/>
    <col min="7144" max="7145" width="0" hidden="1" customWidth="1"/>
    <col min="7146" max="7146" width="11.453125" bestFit="1" customWidth="1"/>
    <col min="7147" max="7165" width="0" hidden="1" customWidth="1"/>
    <col min="7392" max="7392" width="7.6328125" bestFit="1" customWidth="1"/>
    <col min="7393" max="7393" width="0" hidden="1" customWidth="1"/>
    <col min="7395" max="7395" width="0" hidden="1" customWidth="1"/>
    <col min="7396" max="7396" width="24.90625" bestFit="1" customWidth="1"/>
    <col min="7397" max="7397" width="10" bestFit="1" customWidth="1"/>
    <col min="7398" max="7398" width="9.54296875" customWidth="1"/>
    <col min="7399" max="7399" width="9.54296875" bestFit="1" customWidth="1"/>
    <col min="7400" max="7401" width="0" hidden="1" customWidth="1"/>
    <col min="7402" max="7402" width="11.453125" bestFit="1" customWidth="1"/>
    <col min="7403" max="7421" width="0" hidden="1" customWidth="1"/>
    <col min="7648" max="7648" width="7.6328125" bestFit="1" customWidth="1"/>
    <col min="7649" max="7649" width="0" hidden="1" customWidth="1"/>
    <col min="7651" max="7651" width="0" hidden="1" customWidth="1"/>
    <col min="7652" max="7652" width="24.90625" bestFit="1" customWidth="1"/>
    <col min="7653" max="7653" width="10" bestFit="1" customWidth="1"/>
    <col min="7654" max="7654" width="9.54296875" customWidth="1"/>
    <col min="7655" max="7655" width="9.54296875" bestFit="1" customWidth="1"/>
    <col min="7656" max="7657" width="0" hidden="1" customWidth="1"/>
    <col min="7658" max="7658" width="11.453125" bestFit="1" customWidth="1"/>
    <col min="7659" max="7677" width="0" hidden="1" customWidth="1"/>
    <col min="7904" max="7904" width="7.6328125" bestFit="1" customWidth="1"/>
    <col min="7905" max="7905" width="0" hidden="1" customWidth="1"/>
    <col min="7907" max="7907" width="0" hidden="1" customWidth="1"/>
    <col min="7908" max="7908" width="24.90625" bestFit="1" customWidth="1"/>
    <col min="7909" max="7909" width="10" bestFit="1" customWidth="1"/>
    <col min="7910" max="7910" width="9.54296875" customWidth="1"/>
    <col min="7911" max="7911" width="9.54296875" bestFit="1" customWidth="1"/>
    <col min="7912" max="7913" width="0" hidden="1" customWidth="1"/>
    <col min="7914" max="7914" width="11.453125" bestFit="1" customWidth="1"/>
    <col min="7915" max="7933" width="0" hidden="1" customWidth="1"/>
    <col min="8160" max="8160" width="7.6328125" bestFit="1" customWidth="1"/>
    <col min="8161" max="8161" width="0" hidden="1" customWidth="1"/>
    <col min="8163" max="8163" width="0" hidden="1" customWidth="1"/>
    <col min="8164" max="8164" width="24.90625" bestFit="1" customWidth="1"/>
    <col min="8165" max="8165" width="10" bestFit="1" customWidth="1"/>
    <col min="8166" max="8166" width="9.54296875" customWidth="1"/>
    <col min="8167" max="8167" width="9.54296875" bestFit="1" customWidth="1"/>
    <col min="8168" max="8169" width="0" hidden="1" customWidth="1"/>
    <col min="8170" max="8170" width="11.453125" bestFit="1" customWidth="1"/>
    <col min="8171" max="8189" width="0" hidden="1" customWidth="1"/>
    <col min="8416" max="8416" width="7.6328125" bestFit="1" customWidth="1"/>
    <col min="8417" max="8417" width="0" hidden="1" customWidth="1"/>
    <col min="8419" max="8419" width="0" hidden="1" customWidth="1"/>
    <col min="8420" max="8420" width="24.90625" bestFit="1" customWidth="1"/>
    <col min="8421" max="8421" width="10" bestFit="1" customWidth="1"/>
    <col min="8422" max="8422" width="9.54296875" customWidth="1"/>
    <col min="8423" max="8423" width="9.54296875" bestFit="1" customWidth="1"/>
    <col min="8424" max="8425" width="0" hidden="1" customWidth="1"/>
    <col min="8426" max="8426" width="11.453125" bestFit="1" customWidth="1"/>
    <col min="8427" max="8445" width="0" hidden="1" customWidth="1"/>
    <col min="8672" max="8672" width="7.6328125" bestFit="1" customWidth="1"/>
    <col min="8673" max="8673" width="0" hidden="1" customWidth="1"/>
    <col min="8675" max="8675" width="0" hidden="1" customWidth="1"/>
    <col min="8676" max="8676" width="24.90625" bestFit="1" customWidth="1"/>
    <col min="8677" max="8677" width="10" bestFit="1" customWidth="1"/>
    <col min="8678" max="8678" width="9.54296875" customWidth="1"/>
    <col min="8679" max="8679" width="9.54296875" bestFit="1" customWidth="1"/>
    <col min="8680" max="8681" width="0" hidden="1" customWidth="1"/>
    <col min="8682" max="8682" width="11.453125" bestFit="1" customWidth="1"/>
    <col min="8683" max="8701" width="0" hidden="1" customWidth="1"/>
    <col min="8928" max="8928" width="7.6328125" bestFit="1" customWidth="1"/>
    <col min="8929" max="8929" width="0" hidden="1" customWidth="1"/>
    <col min="8931" max="8931" width="0" hidden="1" customWidth="1"/>
    <col min="8932" max="8932" width="24.90625" bestFit="1" customWidth="1"/>
    <col min="8933" max="8933" width="10" bestFit="1" customWidth="1"/>
    <col min="8934" max="8934" width="9.54296875" customWidth="1"/>
    <col min="8935" max="8935" width="9.54296875" bestFit="1" customWidth="1"/>
    <col min="8936" max="8937" width="0" hidden="1" customWidth="1"/>
    <col min="8938" max="8938" width="11.453125" bestFit="1" customWidth="1"/>
    <col min="8939" max="8957" width="0" hidden="1" customWidth="1"/>
    <col min="9184" max="9184" width="7.6328125" bestFit="1" customWidth="1"/>
    <col min="9185" max="9185" width="0" hidden="1" customWidth="1"/>
    <col min="9187" max="9187" width="0" hidden="1" customWidth="1"/>
    <col min="9188" max="9188" width="24.90625" bestFit="1" customWidth="1"/>
    <col min="9189" max="9189" width="10" bestFit="1" customWidth="1"/>
    <col min="9190" max="9190" width="9.54296875" customWidth="1"/>
    <col min="9191" max="9191" width="9.54296875" bestFit="1" customWidth="1"/>
    <col min="9192" max="9193" width="0" hidden="1" customWidth="1"/>
    <col min="9194" max="9194" width="11.453125" bestFit="1" customWidth="1"/>
    <col min="9195" max="9213" width="0" hidden="1" customWidth="1"/>
    <col min="9440" max="9440" width="7.6328125" bestFit="1" customWidth="1"/>
    <col min="9441" max="9441" width="0" hidden="1" customWidth="1"/>
    <col min="9443" max="9443" width="0" hidden="1" customWidth="1"/>
    <col min="9444" max="9444" width="24.90625" bestFit="1" customWidth="1"/>
    <col min="9445" max="9445" width="10" bestFit="1" customWidth="1"/>
    <col min="9446" max="9446" width="9.54296875" customWidth="1"/>
    <col min="9447" max="9447" width="9.54296875" bestFit="1" customWidth="1"/>
    <col min="9448" max="9449" width="0" hidden="1" customWidth="1"/>
    <col min="9450" max="9450" width="11.453125" bestFit="1" customWidth="1"/>
    <col min="9451" max="9469" width="0" hidden="1" customWidth="1"/>
    <col min="9696" max="9696" width="7.6328125" bestFit="1" customWidth="1"/>
    <col min="9697" max="9697" width="0" hidden="1" customWidth="1"/>
    <col min="9699" max="9699" width="0" hidden="1" customWidth="1"/>
    <col min="9700" max="9700" width="24.90625" bestFit="1" customWidth="1"/>
    <col min="9701" max="9701" width="10" bestFit="1" customWidth="1"/>
    <col min="9702" max="9702" width="9.54296875" customWidth="1"/>
    <col min="9703" max="9703" width="9.54296875" bestFit="1" customWidth="1"/>
    <col min="9704" max="9705" width="0" hidden="1" customWidth="1"/>
    <col min="9706" max="9706" width="11.453125" bestFit="1" customWidth="1"/>
    <col min="9707" max="9725" width="0" hidden="1" customWidth="1"/>
    <col min="9952" max="9952" width="7.6328125" bestFit="1" customWidth="1"/>
    <col min="9953" max="9953" width="0" hidden="1" customWidth="1"/>
    <col min="9955" max="9955" width="0" hidden="1" customWidth="1"/>
    <col min="9956" max="9956" width="24.90625" bestFit="1" customWidth="1"/>
    <col min="9957" max="9957" width="10" bestFit="1" customWidth="1"/>
    <col min="9958" max="9958" width="9.54296875" customWidth="1"/>
    <col min="9959" max="9959" width="9.54296875" bestFit="1" customWidth="1"/>
    <col min="9960" max="9961" width="0" hidden="1" customWidth="1"/>
    <col min="9962" max="9962" width="11.453125" bestFit="1" customWidth="1"/>
    <col min="9963" max="9981" width="0" hidden="1" customWidth="1"/>
    <col min="10208" max="10208" width="7.6328125" bestFit="1" customWidth="1"/>
    <col min="10209" max="10209" width="0" hidden="1" customWidth="1"/>
    <col min="10211" max="10211" width="0" hidden="1" customWidth="1"/>
    <col min="10212" max="10212" width="24.90625" bestFit="1" customWidth="1"/>
    <col min="10213" max="10213" width="10" bestFit="1" customWidth="1"/>
    <col min="10214" max="10214" width="9.54296875" customWidth="1"/>
    <col min="10215" max="10215" width="9.54296875" bestFit="1" customWidth="1"/>
    <col min="10216" max="10217" width="0" hidden="1" customWidth="1"/>
    <col min="10218" max="10218" width="11.453125" bestFit="1" customWidth="1"/>
    <col min="10219" max="10237" width="0" hidden="1" customWidth="1"/>
    <col min="10464" max="10464" width="7.6328125" bestFit="1" customWidth="1"/>
    <col min="10465" max="10465" width="0" hidden="1" customWidth="1"/>
    <col min="10467" max="10467" width="0" hidden="1" customWidth="1"/>
    <col min="10468" max="10468" width="24.90625" bestFit="1" customWidth="1"/>
    <col min="10469" max="10469" width="10" bestFit="1" customWidth="1"/>
    <col min="10470" max="10470" width="9.54296875" customWidth="1"/>
    <col min="10471" max="10471" width="9.54296875" bestFit="1" customWidth="1"/>
    <col min="10472" max="10473" width="0" hidden="1" customWidth="1"/>
    <col min="10474" max="10474" width="11.453125" bestFit="1" customWidth="1"/>
    <col min="10475" max="10493" width="0" hidden="1" customWidth="1"/>
    <col min="10720" max="10720" width="7.6328125" bestFit="1" customWidth="1"/>
    <col min="10721" max="10721" width="0" hidden="1" customWidth="1"/>
    <col min="10723" max="10723" width="0" hidden="1" customWidth="1"/>
    <col min="10724" max="10724" width="24.90625" bestFit="1" customWidth="1"/>
    <col min="10725" max="10725" width="10" bestFit="1" customWidth="1"/>
    <col min="10726" max="10726" width="9.54296875" customWidth="1"/>
    <col min="10727" max="10727" width="9.54296875" bestFit="1" customWidth="1"/>
    <col min="10728" max="10729" width="0" hidden="1" customWidth="1"/>
    <col min="10730" max="10730" width="11.453125" bestFit="1" customWidth="1"/>
    <col min="10731" max="10749" width="0" hidden="1" customWidth="1"/>
    <col min="10976" max="10976" width="7.6328125" bestFit="1" customWidth="1"/>
    <col min="10977" max="10977" width="0" hidden="1" customWidth="1"/>
    <col min="10979" max="10979" width="0" hidden="1" customWidth="1"/>
    <col min="10980" max="10980" width="24.90625" bestFit="1" customWidth="1"/>
    <col min="10981" max="10981" width="10" bestFit="1" customWidth="1"/>
    <col min="10982" max="10982" width="9.54296875" customWidth="1"/>
    <col min="10983" max="10983" width="9.54296875" bestFit="1" customWidth="1"/>
    <col min="10984" max="10985" width="0" hidden="1" customWidth="1"/>
    <col min="10986" max="10986" width="11.453125" bestFit="1" customWidth="1"/>
    <col min="10987" max="11005" width="0" hidden="1" customWidth="1"/>
    <col min="11232" max="11232" width="7.6328125" bestFit="1" customWidth="1"/>
    <col min="11233" max="11233" width="0" hidden="1" customWidth="1"/>
    <col min="11235" max="11235" width="0" hidden="1" customWidth="1"/>
    <col min="11236" max="11236" width="24.90625" bestFit="1" customWidth="1"/>
    <col min="11237" max="11237" width="10" bestFit="1" customWidth="1"/>
    <col min="11238" max="11238" width="9.54296875" customWidth="1"/>
    <col min="11239" max="11239" width="9.54296875" bestFit="1" customWidth="1"/>
    <col min="11240" max="11241" width="0" hidden="1" customWidth="1"/>
    <col min="11242" max="11242" width="11.453125" bestFit="1" customWidth="1"/>
    <col min="11243" max="11261" width="0" hidden="1" customWidth="1"/>
    <col min="11488" max="11488" width="7.6328125" bestFit="1" customWidth="1"/>
    <col min="11489" max="11489" width="0" hidden="1" customWidth="1"/>
    <col min="11491" max="11491" width="0" hidden="1" customWidth="1"/>
    <col min="11492" max="11492" width="24.90625" bestFit="1" customWidth="1"/>
    <col min="11493" max="11493" width="10" bestFit="1" customWidth="1"/>
    <col min="11494" max="11494" width="9.54296875" customWidth="1"/>
    <col min="11495" max="11495" width="9.54296875" bestFit="1" customWidth="1"/>
    <col min="11496" max="11497" width="0" hidden="1" customWidth="1"/>
    <col min="11498" max="11498" width="11.453125" bestFit="1" customWidth="1"/>
    <col min="11499" max="11517" width="0" hidden="1" customWidth="1"/>
    <col min="11744" max="11744" width="7.6328125" bestFit="1" customWidth="1"/>
    <col min="11745" max="11745" width="0" hidden="1" customWidth="1"/>
    <col min="11747" max="11747" width="0" hidden="1" customWidth="1"/>
    <col min="11748" max="11748" width="24.90625" bestFit="1" customWidth="1"/>
    <col min="11749" max="11749" width="10" bestFit="1" customWidth="1"/>
    <col min="11750" max="11750" width="9.54296875" customWidth="1"/>
    <col min="11751" max="11751" width="9.54296875" bestFit="1" customWidth="1"/>
    <col min="11752" max="11753" width="0" hidden="1" customWidth="1"/>
    <col min="11754" max="11754" width="11.453125" bestFit="1" customWidth="1"/>
    <col min="11755" max="11773" width="0" hidden="1" customWidth="1"/>
    <col min="12000" max="12000" width="7.6328125" bestFit="1" customWidth="1"/>
    <col min="12001" max="12001" width="0" hidden="1" customWidth="1"/>
    <col min="12003" max="12003" width="0" hidden="1" customWidth="1"/>
    <col min="12004" max="12004" width="24.90625" bestFit="1" customWidth="1"/>
    <col min="12005" max="12005" width="10" bestFit="1" customWidth="1"/>
    <col min="12006" max="12006" width="9.54296875" customWidth="1"/>
    <col min="12007" max="12007" width="9.54296875" bestFit="1" customWidth="1"/>
    <col min="12008" max="12009" width="0" hidden="1" customWidth="1"/>
    <col min="12010" max="12010" width="11.453125" bestFit="1" customWidth="1"/>
    <col min="12011" max="12029" width="0" hidden="1" customWidth="1"/>
    <col min="12256" max="12256" width="7.6328125" bestFit="1" customWidth="1"/>
    <col min="12257" max="12257" width="0" hidden="1" customWidth="1"/>
    <col min="12259" max="12259" width="0" hidden="1" customWidth="1"/>
    <col min="12260" max="12260" width="24.90625" bestFit="1" customWidth="1"/>
    <col min="12261" max="12261" width="10" bestFit="1" customWidth="1"/>
    <col min="12262" max="12262" width="9.54296875" customWidth="1"/>
    <col min="12263" max="12263" width="9.54296875" bestFit="1" customWidth="1"/>
    <col min="12264" max="12265" width="0" hidden="1" customWidth="1"/>
    <col min="12266" max="12266" width="11.453125" bestFit="1" customWidth="1"/>
    <col min="12267" max="12285" width="0" hidden="1" customWidth="1"/>
    <col min="12512" max="12512" width="7.6328125" bestFit="1" customWidth="1"/>
    <col min="12513" max="12513" width="0" hidden="1" customWidth="1"/>
    <col min="12515" max="12515" width="0" hidden="1" customWidth="1"/>
    <col min="12516" max="12516" width="24.90625" bestFit="1" customWidth="1"/>
    <col min="12517" max="12517" width="10" bestFit="1" customWidth="1"/>
    <col min="12518" max="12518" width="9.54296875" customWidth="1"/>
    <col min="12519" max="12519" width="9.54296875" bestFit="1" customWidth="1"/>
    <col min="12520" max="12521" width="0" hidden="1" customWidth="1"/>
    <col min="12522" max="12522" width="11.453125" bestFit="1" customWidth="1"/>
    <col min="12523" max="12541" width="0" hidden="1" customWidth="1"/>
    <col min="12768" max="12768" width="7.6328125" bestFit="1" customWidth="1"/>
    <col min="12769" max="12769" width="0" hidden="1" customWidth="1"/>
    <col min="12771" max="12771" width="0" hidden="1" customWidth="1"/>
    <col min="12772" max="12772" width="24.90625" bestFit="1" customWidth="1"/>
    <col min="12773" max="12773" width="10" bestFit="1" customWidth="1"/>
    <col min="12774" max="12774" width="9.54296875" customWidth="1"/>
    <col min="12775" max="12775" width="9.54296875" bestFit="1" customWidth="1"/>
    <col min="12776" max="12777" width="0" hidden="1" customWidth="1"/>
    <col min="12778" max="12778" width="11.453125" bestFit="1" customWidth="1"/>
    <col min="12779" max="12797" width="0" hidden="1" customWidth="1"/>
    <col min="13024" max="13024" width="7.6328125" bestFit="1" customWidth="1"/>
    <col min="13025" max="13025" width="0" hidden="1" customWidth="1"/>
    <col min="13027" max="13027" width="0" hidden="1" customWidth="1"/>
    <col min="13028" max="13028" width="24.90625" bestFit="1" customWidth="1"/>
    <col min="13029" max="13029" width="10" bestFit="1" customWidth="1"/>
    <col min="13030" max="13030" width="9.54296875" customWidth="1"/>
    <col min="13031" max="13031" width="9.54296875" bestFit="1" customWidth="1"/>
    <col min="13032" max="13033" width="0" hidden="1" customWidth="1"/>
    <col min="13034" max="13034" width="11.453125" bestFit="1" customWidth="1"/>
    <col min="13035" max="13053" width="0" hidden="1" customWidth="1"/>
    <col min="13280" max="13280" width="7.6328125" bestFit="1" customWidth="1"/>
    <col min="13281" max="13281" width="0" hidden="1" customWidth="1"/>
    <col min="13283" max="13283" width="0" hidden="1" customWidth="1"/>
    <col min="13284" max="13284" width="24.90625" bestFit="1" customWidth="1"/>
    <col min="13285" max="13285" width="10" bestFit="1" customWidth="1"/>
    <col min="13286" max="13286" width="9.54296875" customWidth="1"/>
    <col min="13287" max="13287" width="9.54296875" bestFit="1" customWidth="1"/>
    <col min="13288" max="13289" width="0" hidden="1" customWidth="1"/>
    <col min="13290" max="13290" width="11.453125" bestFit="1" customWidth="1"/>
    <col min="13291" max="13309" width="0" hidden="1" customWidth="1"/>
    <col min="13536" max="13536" width="7.6328125" bestFit="1" customWidth="1"/>
    <col min="13537" max="13537" width="0" hidden="1" customWidth="1"/>
    <col min="13539" max="13539" width="0" hidden="1" customWidth="1"/>
    <col min="13540" max="13540" width="24.90625" bestFit="1" customWidth="1"/>
    <col min="13541" max="13541" width="10" bestFit="1" customWidth="1"/>
    <col min="13542" max="13542" width="9.54296875" customWidth="1"/>
    <col min="13543" max="13543" width="9.54296875" bestFit="1" customWidth="1"/>
    <col min="13544" max="13545" width="0" hidden="1" customWidth="1"/>
    <col min="13546" max="13546" width="11.453125" bestFit="1" customWidth="1"/>
    <col min="13547" max="13565" width="0" hidden="1" customWidth="1"/>
    <col min="13792" max="13792" width="7.6328125" bestFit="1" customWidth="1"/>
    <col min="13793" max="13793" width="0" hidden="1" customWidth="1"/>
    <col min="13795" max="13795" width="0" hidden="1" customWidth="1"/>
    <col min="13796" max="13796" width="24.90625" bestFit="1" customWidth="1"/>
    <col min="13797" max="13797" width="10" bestFit="1" customWidth="1"/>
    <col min="13798" max="13798" width="9.54296875" customWidth="1"/>
    <col min="13799" max="13799" width="9.54296875" bestFit="1" customWidth="1"/>
    <col min="13800" max="13801" width="0" hidden="1" customWidth="1"/>
    <col min="13802" max="13802" width="11.453125" bestFit="1" customWidth="1"/>
    <col min="13803" max="13821" width="0" hidden="1" customWidth="1"/>
    <col min="14048" max="14048" width="7.6328125" bestFit="1" customWidth="1"/>
    <col min="14049" max="14049" width="0" hidden="1" customWidth="1"/>
    <col min="14051" max="14051" width="0" hidden="1" customWidth="1"/>
    <col min="14052" max="14052" width="24.90625" bestFit="1" customWidth="1"/>
    <col min="14053" max="14053" width="10" bestFit="1" customWidth="1"/>
    <col min="14054" max="14054" width="9.54296875" customWidth="1"/>
    <col min="14055" max="14055" width="9.54296875" bestFit="1" customWidth="1"/>
    <col min="14056" max="14057" width="0" hidden="1" customWidth="1"/>
    <col min="14058" max="14058" width="11.453125" bestFit="1" customWidth="1"/>
    <col min="14059" max="14077" width="0" hidden="1" customWidth="1"/>
    <col min="14304" max="14304" width="7.6328125" bestFit="1" customWidth="1"/>
    <col min="14305" max="14305" width="0" hidden="1" customWidth="1"/>
    <col min="14307" max="14307" width="0" hidden="1" customWidth="1"/>
    <col min="14308" max="14308" width="24.90625" bestFit="1" customWidth="1"/>
    <col min="14309" max="14309" width="10" bestFit="1" customWidth="1"/>
    <col min="14310" max="14310" width="9.54296875" customWidth="1"/>
    <col min="14311" max="14311" width="9.54296875" bestFit="1" customWidth="1"/>
    <col min="14312" max="14313" width="0" hidden="1" customWidth="1"/>
    <col min="14314" max="14314" width="11.453125" bestFit="1" customWidth="1"/>
    <col min="14315" max="14333" width="0" hidden="1" customWidth="1"/>
    <col min="14560" max="14560" width="7.6328125" bestFit="1" customWidth="1"/>
    <col min="14561" max="14561" width="0" hidden="1" customWidth="1"/>
    <col min="14563" max="14563" width="0" hidden="1" customWidth="1"/>
    <col min="14564" max="14564" width="24.90625" bestFit="1" customWidth="1"/>
    <col min="14565" max="14565" width="10" bestFit="1" customWidth="1"/>
    <col min="14566" max="14566" width="9.54296875" customWidth="1"/>
    <col min="14567" max="14567" width="9.54296875" bestFit="1" customWidth="1"/>
    <col min="14568" max="14569" width="0" hidden="1" customWidth="1"/>
    <col min="14570" max="14570" width="11.453125" bestFit="1" customWidth="1"/>
    <col min="14571" max="14589" width="0" hidden="1" customWidth="1"/>
    <col min="14816" max="14816" width="7.6328125" bestFit="1" customWidth="1"/>
    <col min="14817" max="14817" width="0" hidden="1" customWidth="1"/>
    <col min="14819" max="14819" width="0" hidden="1" customWidth="1"/>
    <col min="14820" max="14820" width="24.90625" bestFit="1" customWidth="1"/>
    <col min="14821" max="14821" width="10" bestFit="1" customWidth="1"/>
    <col min="14822" max="14822" width="9.54296875" customWidth="1"/>
    <col min="14823" max="14823" width="9.54296875" bestFit="1" customWidth="1"/>
    <col min="14824" max="14825" width="0" hidden="1" customWidth="1"/>
    <col min="14826" max="14826" width="11.453125" bestFit="1" customWidth="1"/>
    <col min="14827" max="14845" width="0" hidden="1" customWidth="1"/>
    <col min="15072" max="15072" width="7.6328125" bestFit="1" customWidth="1"/>
    <col min="15073" max="15073" width="0" hidden="1" customWidth="1"/>
    <col min="15075" max="15075" width="0" hidden="1" customWidth="1"/>
    <col min="15076" max="15076" width="24.90625" bestFit="1" customWidth="1"/>
    <col min="15077" max="15077" width="10" bestFit="1" customWidth="1"/>
    <col min="15078" max="15078" width="9.54296875" customWidth="1"/>
    <col min="15079" max="15079" width="9.54296875" bestFit="1" customWidth="1"/>
    <col min="15080" max="15081" width="0" hidden="1" customWidth="1"/>
    <col min="15082" max="15082" width="11.453125" bestFit="1" customWidth="1"/>
    <col min="15083" max="15101" width="0" hidden="1" customWidth="1"/>
    <col min="15328" max="15328" width="7.6328125" bestFit="1" customWidth="1"/>
    <col min="15329" max="15329" width="0" hidden="1" customWidth="1"/>
    <col min="15331" max="15331" width="0" hidden="1" customWidth="1"/>
    <col min="15332" max="15332" width="24.90625" bestFit="1" customWidth="1"/>
    <col min="15333" max="15333" width="10" bestFit="1" customWidth="1"/>
    <col min="15334" max="15334" width="9.54296875" customWidth="1"/>
    <col min="15335" max="15335" width="9.54296875" bestFit="1" customWidth="1"/>
    <col min="15336" max="15337" width="0" hidden="1" customWidth="1"/>
    <col min="15338" max="15338" width="11.453125" bestFit="1" customWidth="1"/>
    <col min="15339" max="15357" width="0" hidden="1" customWidth="1"/>
    <col min="15584" max="15584" width="7.6328125" bestFit="1" customWidth="1"/>
    <col min="15585" max="15585" width="0" hidden="1" customWidth="1"/>
    <col min="15587" max="15587" width="0" hidden="1" customWidth="1"/>
    <col min="15588" max="15588" width="24.90625" bestFit="1" customWidth="1"/>
    <col min="15589" max="15589" width="10" bestFit="1" customWidth="1"/>
    <col min="15590" max="15590" width="9.54296875" customWidth="1"/>
    <col min="15591" max="15591" width="9.54296875" bestFit="1" customWidth="1"/>
    <col min="15592" max="15593" width="0" hidden="1" customWidth="1"/>
    <col min="15594" max="15594" width="11.453125" bestFit="1" customWidth="1"/>
    <col min="15595" max="15613" width="0" hidden="1" customWidth="1"/>
    <col min="15840" max="15840" width="7.6328125" bestFit="1" customWidth="1"/>
    <col min="15841" max="15841" width="0" hidden="1" customWidth="1"/>
    <col min="15843" max="15843" width="0" hidden="1" customWidth="1"/>
    <col min="15844" max="15844" width="24.90625" bestFit="1" customWidth="1"/>
    <col min="15845" max="15845" width="10" bestFit="1" customWidth="1"/>
    <col min="15846" max="15846" width="9.54296875" customWidth="1"/>
    <col min="15847" max="15847" width="9.54296875" bestFit="1" customWidth="1"/>
    <col min="15848" max="15849" width="0" hidden="1" customWidth="1"/>
    <col min="15850" max="15850" width="11.453125" bestFit="1" customWidth="1"/>
    <col min="15851" max="15869" width="0" hidden="1" customWidth="1"/>
    <col min="16096" max="16096" width="7.6328125" bestFit="1" customWidth="1"/>
    <col min="16097" max="16097" width="0" hidden="1" customWidth="1"/>
    <col min="16099" max="16099" width="0" hidden="1" customWidth="1"/>
    <col min="16100" max="16100" width="24.90625" bestFit="1" customWidth="1"/>
    <col min="16101" max="16101" width="10" bestFit="1" customWidth="1"/>
    <col min="16102" max="16102" width="9.54296875" customWidth="1"/>
    <col min="16103" max="16103" width="9.54296875" bestFit="1" customWidth="1"/>
    <col min="16104" max="16105" width="0" hidden="1" customWidth="1"/>
    <col min="16106" max="16106" width="11.453125" bestFit="1" customWidth="1"/>
    <col min="16107" max="16125" width="0" hidden="1" customWidth="1"/>
  </cols>
  <sheetData>
    <row r="1" spans="1:8" s="1" customFormat="1" ht="13.5">
      <c r="A1" s="1" t="s">
        <v>0</v>
      </c>
      <c r="B1" s="1" t="s">
        <v>1</v>
      </c>
      <c r="C1" s="1" t="s">
        <v>1837</v>
      </c>
      <c r="D1" s="1" t="s">
        <v>3</v>
      </c>
      <c r="E1" s="1" t="s">
        <v>4</v>
      </c>
      <c r="F1" s="2" t="s">
        <v>1838</v>
      </c>
      <c r="G1" s="1" t="s">
        <v>5</v>
      </c>
      <c r="H1" s="1" t="s">
        <v>6</v>
      </c>
    </row>
    <row r="2" spans="1:8" hidden="1">
      <c r="A2" t="s">
        <v>7</v>
      </c>
      <c r="B2" t="s">
        <v>13</v>
      </c>
      <c r="C2" t="s">
        <v>14</v>
      </c>
      <c r="D2" t="s">
        <v>803</v>
      </c>
      <c r="E2">
        <v>55</v>
      </c>
      <c r="F2" t="s">
        <v>11</v>
      </c>
      <c r="G2">
        <v>2</v>
      </c>
      <c r="H2" t="s">
        <v>12</v>
      </c>
    </row>
    <row r="3" spans="1:8" hidden="1">
      <c r="A3" t="s">
        <v>7</v>
      </c>
      <c r="B3" t="s">
        <v>546</v>
      </c>
      <c r="C3" t="s">
        <v>547</v>
      </c>
      <c r="D3" t="s">
        <v>803</v>
      </c>
      <c r="E3">
        <v>59</v>
      </c>
      <c r="F3" t="s">
        <v>11</v>
      </c>
      <c r="G3">
        <v>2</v>
      </c>
      <c r="H3" t="s">
        <v>12</v>
      </c>
    </row>
    <row r="4" spans="1:8" hidden="1">
      <c r="A4" t="s">
        <v>7</v>
      </c>
      <c r="B4" t="s">
        <v>667</v>
      </c>
      <c r="C4" t="s">
        <v>668</v>
      </c>
      <c r="D4" t="s">
        <v>803</v>
      </c>
      <c r="E4">
        <v>57</v>
      </c>
      <c r="F4" t="s">
        <v>11</v>
      </c>
      <c r="G4">
        <v>2</v>
      </c>
      <c r="H4" t="s">
        <v>12</v>
      </c>
    </row>
    <row r="5" spans="1:8" hidden="1">
      <c r="A5" t="s">
        <v>25</v>
      </c>
      <c r="B5" t="s">
        <v>816</v>
      </c>
      <c r="C5" t="s">
        <v>817</v>
      </c>
      <c r="D5" t="s">
        <v>803</v>
      </c>
      <c r="E5">
        <v>58</v>
      </c>
      <c r="F5" t="s">
        <v>11</v>
      </c>
      <c r="G5">
        <v>2</v>
      </c>
      <c r="H5" t="s">
        <v>12</v>
      </c>
    </row>
    <row r="6" spans="1:8" hidden="1">
      <c r="A6" t="s">
        <v>25</v>
      </c>
      <c r="B6" t="s">
        <v>28</v>
      </c>
      <c r="C6" t="s">
        <v>29</v>
      </c>
      <c r="D6" t="s">
        <v>803</v>
      </c>
      <c r="E6">
        <v>46</v>
      </c>
      <c r="F6" t="s">
        <v>11</v>
      </c>
      <c r="G6">
        <v>2</v>
      </c>
      <c r="H6" t="s">
        <v>12</v>
      </c>
    </row>
    <row r="7" spans="1:8" hidden="1">
      <c r="A7" t="s">
        <v>25</v>
      </c>
      <c r="B7" t="s">
        <v>338</v>
      </c>
      <c r="C7" t="s">
        <v>339</v>
      </c>
      <c r="D7" t="s">
        <v>803</v>
      </c>
      <c r="E7">
        <v>52</v>
      </c>
      <c r="F7" t="s">
        <v>11</v>
      </c>
      <c r="G7">
        <v>2</v>
      </c>
      <c r="H7" t="s">
        <v>12</v>
      </c>
    </row>
    <row r="8" spans="1:8" hidden="1">
      <c r="A8" t="s">
        <v>25</v>
      </c>
      <c r="B8" t="s">
        <v>30</v>
      </c>
      <c r="C8" t="s">
        <v>31</v>
      </c>
      <c r="D8" t="s">
        <v>803</v>
      </c>
      <c r="E8">
        <v>53</v>
      </c>
      <c r="F8" t="s">
        <v>11</v>
      </c>
      <c r="G8">
        <v>2</v>
      </c>
      <c r="H8" t="s">
        <v>12</v>
      </c>
    </row>
    <row r="9" spans="1:8" hidden="1">
      <c r="A9" t="s">
        <v>25</v>
      </c>
      <c r="B9" t="s">
        <v>343</v>
      </c>
      <c r="C9" t="s">
        <v>344</v>
      </c>
      <c r="D9" t="s">
        <v>803</v>
      </c>
      <c r="E9">
        <v>55</v>
      </c>
      <c r="F9" t="s">
        <v>11</v>
      </c>
      <c r="G9">
        <v>2</v>
      </c>
      <c r="H9" t="s">
        <v>12</v>
      </c>
    </row>
    <row r="10" spans="1:8" hidden="1">
      <c r="A10" t="s">
        <v>25</v>
      </c>
      <c r="B10" t="s">
        <v>818</v>
      </c>
      <c r="C10" t="s">
        <v>819</v>
      </c>
      <c r="D10" t="s">
        <v>803</v>
      </c>
      <c r="E10">
        <v>53</v>
      </c>
      <c r="F10" t="s">
        <v>11</v>
      </c>
      <c r="G10">
        <v>2</v>
      </c>
      <c r="H10" t="s">
        <v>12</v>
      </c>
    </row>
    <row r="11" spans="1:8" hidden="1">
      <c r="A11" t="s">
        <v>25</v>
      </c>
      <c r="B11" t="s">
        <v>713</v>
      </c>
      <c r="C11" t="s">
        <v>714</v>
      </c>
      <c r="D11" t="s">
        <v>803</v>
      </c>
      <c r="E11">
        <v>52</v>
      </c>
      <c r="F11" t="s">
        <v>11</v>
      </c>
      <c r="G11">
        <v>2</v>
      </c>
      <c r="H11" t="s">
        <v>12</v>
      </c>
    </row>
    <row r="12" spans="1:8" hidden="1">
      <c r="A12" t="s">
        <v>25</v>
      </c>
      <c r="B12" t="s">
        <v>671</v>
      </c>
      <c r="C12" t="s">
        <v>672</v>
      </c>
      <c r="D12" t="s">
        <v>803</v>
      </c>
      <c r="E12">
        <v>54</v>
      </c>
      <c r="F12" t="s">
        <v>11</v>
      </c>
      <c r="G12">
        <v>2</v>
      </c>
      <c r="H12" t="s">
        <v>12</v>
      </c>
    </row>
    <row r="13" spans="1:8" hidden="1">
      <c r="A13" t="s">
        <v>25</v>
      </c>
      <c r="B13" t="s">
        <v>36</v>
      </c>
      <c r="C13" t="s">
        <v>37</v>
      </c>
      <c r="D13" t="s">
        <v>803</v>
      </c>
      <c r="E13">
        <v>48</v>
      </c>
      <c r="F13" t="s">
        <v>11</v>
      </c>
      <c r="G13">
        <v>2</v>
      </c>
      <c r="H13" t="s">
        <v>12</v>
      </c>
    </row>
    <row r="14" spans="1:8" hidden="1">
      <c r="A14" t="s">
        <v>25</v>
      </c>
      <c r="B14" t="s">
        <v>38</v>
      </c>
      <c r="C14" t="s">
        <v>39</v>
      </c>
      <c r="D14" t="s">
        <v>803</v>
      </c>
      <c r="E14">
        <v>59</v>
      </c>
      <c r="F14" t="s">
        <v>11</v>
      </c>
      <c r="G14">
        <v>2</v>
      </c>
      <c r="H14" t="s">
        <v>12</v>
      </c>
    </row>
    <row r="15" spans="1:8" hidden="1">
      <c r="A15" t="s">
        <v>25</v>
      </c>
      <c r="B15" t="s">
        <v>42</v>
      </c>
      <c r="C15" t="s">
        <v>43</v>
      </c>
      <c r="D15" t="s">
        <v>803</v>
      </c>
      <c r="E15">
        <v>48</v>
      </c>
      <c r="F15" t="s">
        <v>11</v>
      </c>
      <c r="G15">
        <v>2</v>
      </c>
      <c r="H15" t="s">
        <v>12</v>
      </c>
    </row>
    <row r="16" spans="1:8" hidden="1">
      <c r="A16" t="s">
        <v>246</v>
      </c>
      <c r="B16" t="s">
        <v>249</v>
      </c>
      <c r="C16" t="s">
        <v>250</v>
      </c>
      <c r="D16" t="s">
        <v>803</v>
      </c>
      <c r="E16">
        <v>58</v>
      </c>
      <c r="F16" t="s">
        <v>11</v>
      </c>
      <c r="G16">
        <v>2</v>
      </c>
      <c r="H16" t="s">
        <v>12</v>
      </c>
    </row>
    <row r="17" spans="1:8" hidden="1">
      <c r="A17" t="s">
        <v>246</v>
      </c>
      <c r="B17" t="s">
        <v>259</v>
      </c>
      <c r="C17" t="s">
        <v>260</v>
      </c>
      <c r="D17" t="s">
        <v>803</v>
      </c>
      <c r="E17">
        <v>47</v>
      </c>
      <c r="F17" t="s">
        <v>11</v>
      </c>
      <c r="G17">
        <v>2</v>
      </c>
      <c r="H17" t="s">
        <v>12</v>
      </c>
    </row>
    <row r="18" spans="1:8" hidden="1">
      <c r="A18" t="s">
        <v>246</v>
      </c>
      <c r="B18" t="s">
        <v>261</v>
      </c>
      <c r="C18" t="s">
        <v>262</v>
      </c>
      <c r="D18" t="s">
        <v>803</v>
      </c>
      <c r="E18">
        <v>45</v>
      </c>
      <c r="F18" t="s">
        <v>11</v>
      </c>
      <c r="G18">
        <v>2</v>
      </c>
      <c r="H18" t="s">
        <v>12</v>
      </c>
    </row>
    <row r="19" spans="1:8" hidden="1">
      <c r="A19" t="s">
        <v>246</v>
      </c>
      <c r="B19" t="s">
        <v>594</v>
      </c>
      <c r="C19" t="s">
        <v>595</v>
      </c>
      <c r="D19" t="s">
        <v>803</v>
      </c>
      <c r="E19">
        <v>57</v>
      </c>
      <c r="F19" t="s">
        <v>11</v>
      </c>
      <c r="G19">
        <v>2</v>
      </c>
      <c r="H19" t="s">
        <v>12</v>
      </c>
    </row>
    <row r="20" spans="1:8" hidden="1">
      <c r="A20" t="s">
        <v>246</v>
      </c>
      <c r="B20" t="s">
        <v>804</v>
      </c>
      <c r="C20" t="s">
        <v>805</v>
      </c>
      <c r="D20" t="s">
        <v>803</v>
      </c>
      <c r="E20">
        <v>59</v>
      </c>
      <c r="F20" t="s">
        <v>11</v>
      </c>
      <c r="G20">
        <v>2</v>
      </c>
      <c r="H20" t="s">
        <v>12</v>
      </c>
    </row>
    <row r="21" spans="1:8" hidden="1">
      <c r="A21" t="s">
        <v>279</v>
      </c>
      <c r="B21" t="s">
        <v>355</v>
      </c>
      <c r="C21" t="s">
        <v>356</v>
      </c>
      <c r="D21" t="s">
        <v>803</v>
      </c>
      <c r="E21">
        <v>51</v>
      </c>
      <c r="F21" t="s">
        <v>11</v>
      </c>
      <c r="G21">
        <v>2</v>
      </c>
      <c r="H21" t="s">
        <v>12</v>
      </c>
    </row>
    <row r="22" spans="1:8" hidden="1">
      <c r="A22" t="s">
        <v>279</v>
      </c>
      <c r="B22" t="s">
        <v>357</v>
      </c>
      <c r="C22" t="s">
        <v>358</v>
      </c>
      <c r="D22" t="s">
        <v>803</v>
      </c>
      <c r="E22">
        <v>55</v>
      </c>
      <c r="F22" t="s">
        <v>11</v>
      </c>
      <c r="G22">
        <v>2</v>
      </c>
      <c r="H22" t="s">
        <v>12</v>
      </c>
    </row>
    <row r="23" spans="1:8" hidden="1">
      <c r="A23" t="s">
        <v>279</v>
      </c>
      <c r="B23" t="s">
        <v>359</v>
      </c>
      <c r="C23" t="s">
        <v>360</v>
      </c>
      <c r="D23" t="s">
        <v>803</v>
      </c>
      <c r="E23">
        <v>55</v>
      </c>
      <c r="F23" t="s">
        <v>11</v>
      </c>
      <c r="G23">
        <v>2</v>
      </c>
      <c r="H23" t="s">
        <v>12</v>
      </c>
    </row>
    <row r="24" spans="1:8" hidden="1">
      <c r="A24" t="s">
        <v>174</v>
      </c>
      <c r="B24" t="s">
        <v>620</v>
      </c>
      <c r="C24" t="s">
        <v>621</v>
      </c>
      <c r="D24" t="s">
        <v>803</v>
      </c>
      <c r="E24">
        <v>52</v>
      </c>
      <c r="F24" t="s">
        <v>11</v>
      </c>
      <c r="G24">
        <v>2</v>
      </c>
      <c r="H24" t="s">
        <v>12</v>
      </c>
    </row>
    <row r="25" spans="1:8" hidden="1">
      <c r="A25" t="s">
        <v>174</v>
      </c>
      <c r="B25" t="s">
        <v>820</v>
      </c>
      <c r="C25" t="s">
        <v>821</v>
      </c>
      <c r="D25" t="s">
        <v>803</v>
      </c>
      <c r="E25">
        <v>54</v>
      </c>
      <c r="F25" t="s">
        <v>11</v>
      </c>
      <c r="G25">
        <v>2</v>
      </c>
      <c r="H25" t="s">
        <v>12</v>
      </c>
    </row>
    <row r="26" spans="1:8" hidden="1">
      <c r="A26" t="s">
        <v>174</v>
      </c>
      <c r="B26" t="s">
        <v>177</v>
      </c>
      <c r="C26" t="s">
        <v>178</v>
      </c>
      <c r="D26" t="s">
        <v>803</v>
      </c>
      <c r="E26">
        <v>59</v>
      </c>
      <c r="F26" t="s">
        <v>11</v>
      </c>
      <c r="G26">
        <v>2</v>
      </c>
      <c r="H26" t="s">
        <v>12</v>
      </c>
    </row>
    <row r="27" spans="1:8" hidden="1">
      <c r="A27" t="s">
        <v>65</v>
      </c>
      <c r="B27" t="s">
        <v>806</v>
      </c>
      <c r="C27" t="s">
        <v>807</v>
      </c>
      <c r="D27" t="s">
        <v>803</v>
      </c>
      <c r="E27">
        <v>41</v>
      </c>
      <c r="F27" t="s">
        <v>11</v>
      </c>
      <c r="G27">
        <v>2</v>
      </c>
      <c r="H27" t="s">
        <v>12</v>
      </c>
    </row>
    <row r="28" spans="1:8" hidden="1">
      <c r="A28" t="s">
        <v>65</v>
      </c>
      <c r="B28" t="s">
        <v>68</v>
      </c>
      <c r="C28" t="s">
        <v>69</v>
      </c>
      <c r="D28" t="s">
        <v>803</v>
      </c>
      <c r="E28">
        <v>56</v>
      </c>
      <c r="F28" t="s">
        <v>11</v>
      </c>
      <c r="G28">
        <v>2</v>
      </c>
      <c r="H28" t="s">
        <v>12</v>
      </c>
    </row>
    <row r="29" spans="1:8" hidden="1">
      <c r="A29" t="s">
        <v>65</v>
      </c>
      <c r="B29" t="s">
        <v>808</v>
      </c>
      <c r="C29" t="s">
        <v>809</v>
      </c>
      <c r="D29" t="s">
        <v>803</v>
      </c>
      <c r="E29">
        <v>57</v>
      </c>
      <c r="F29" t="s">
        <v>11</v>
      </c>
      <c r="G29">
        <v>2</v>
      </c>
      <c r="H29" t="s">
        <v>12</v>
      </c>
    </row>
    <row r="30" spans="1:8" hidden="1">
      <c r="A30" t="s">
        <v>65</v>
      </c>
      <c r="B30" t="s">
        <v>689</v>
      </c>
      <c r="C30" t="s">
        <v>690</v>
      </c>
      <c r="D30" t="s">
        <v>803</v>
      </c>
      <c r="E30">
        <v>54</v>
      </c>
      <c r="F30" t="s">
        <v>11</v>
      </c>
      <c r="G30">
        <v>2</v>
      </c>
      <c r="H30" t="s">
        <v>12</v>
      </c>
    </row>
    <row r="31" spans="1:8" hidden="1">
      <c r="A31" t="s">
        <v>65</v>
      </c>
      <c r="B31" t="s">
        <v>810</v>
      </c>
      <c r="C31" t="s">
        <v>811</v>
      </c>
      <c r="D31" t="s">
        <v>803</v>
      </c>
      <c r="E31">
        <v>53</v>
      </c>
      <c r="F31" t="s">
        <v>11</v>
      </c>
      <c r="G31">
        <v>2</v>
      </c>
      <c r="H31" t="s">
        <v>12</v>
      </c>
    </row>
    <row r="32" spans="1:8" hidden="1">
      <c r="A32" t="s">
        <v>65</v>
      </c>
      <c r="B32" t="s">
        <v>812</v>
      </c>
      <c r="C32" t="s">
        <v>813</v>
      </c>
      <c r="D32" t="s">
        <v>803</v>
      </c>
      <c r="E32">
        <v>56</v>
      </c>
      <c r="F32" t="s">
        <v>11</v>
      </c>
      <c r="G32">
        <v>2</v>
      </c>
      <c r="H32" t="s">
        <v>12</v>
      </c>
    </row>
    <row r="33" spans="1:8" hidden="1">
      <c r="A33" t="s">
        <v>65</v>
      </c>
      <c r="B33" t="s">
        <v>721</v>
      </c>
      <c r="C33" t="s">
        <v>722</v>
      </c>
      <c r="D33" t="s">
        <v>803</v>
      </c>
      <c r="E33">
        <v>41</v>
      </c>
      <c r="F33" t="s">
        <v>11</v>
      </c>
      <c r="G33">
        <v>2</v>
      </c>
      <c r="H33" t="s">
        <v>12</v>
      </c>
    </row>
    <row r="34" spans="1:8" hidden="1">
      <c r="A34" t="s">
        <v>65</v>
      </c>
      <c r="B34" t="s">
        <v>814</v>
      </c>
      <c r="C34" t="s">
        <v>815</v>
      </c>
      <c r="D34" t="s">
        <v>803</v>
      </c>
      <c r="E34">
        <v>53</v>
      </c>
      <c r="F34" t="s">
        <v>11</v>
      </c>
      <c r="G34">
        <v>2</v>
      </c>
      <c r="H34" t="s">
        <v>12</v>
      </c>
    </row>
    <row r="35" spans="1:8" hidden="1">
      <c r="A35" t="s">
        <v>65</v>
      </c>
      <c r="B35" t="s">
        <v>723</v>
      </c>
      <c r="C35" t="s">
        <v>724</v>
      </c>
      <c r="D35" t="s">
        <v>803</v>
      </c>
      <c r="E35">
        <v>54</v>
      </c>
      <c r="F35" t="s">
        <v>11</v>
      </c>
      <c r="G35">
        <v>2</v>
      </c>
      <c r="H35" t="s">
        <v>12</v>
      </c>
    </row>
    <row r="36" spans="1:8" hidden="1">
      <c r="A36" t="s">
        <v>65</v>
      </c>
      <c r="B36" t="s">
        <v>725</v>
      </c>
      <c r="C36" t="s">
        <v>726</v>
      </c>
      <c r="D36" t="s">
        <v>803</v>
      </c>
      <c r="E36">
        <v>58</v>
      </c>
      <c r="F36" t="s">
        <v>11</v>
      </c>
      <c r="G36">
        <v>2</v>
      </c>
      <c r="H36" t="s">
        <v>12</v>
      </c>
    </row>
    <row r="37" spans="1:8" hidden="1">
      <c r="A37" t="s">
        <v>122</v>
      </c>
      <c r="B37" t="s">
        <v>822</v>
      </c>
      <c r="C37" t="s">
        <v>823</v>
      </c>
      <c r="D37" t="s">
        <v>803</v>
      </c>
      <c r="E37">
        <v>49</v>
      </c>
      <c r="F37" t="s">
        <v>11</v>
      </c>
      <c r="G37">
        <v>2</v>
      </c>
      <c r="H37" t="s">
        <v>12</v>
      </c>
    </row>
    <row r="38" spans="1:8" hidden="1">
      <c r="A38" t="s">
        <v>141</v>
      </c>
      <c r="B38" t="s">
        <v>568</v>
      </c>
      <c r="C38" t="s">
        <v>569</v>
      </c>
      <c r="D38" t="s">
        <v>803</v>
      </c>
      <c r="E38">
        <v>55</v>
      </c>
      <c r="F38" t="s">
        <v>11</v>
      </c>
      <c r="G38">
        <v>2</v>
      </c>
      <c r="H38" t="s">
        <v>12</v>
      </c>
    </row>
    <row r="39" spans="1:8" hidden="1">
      <c r="A39" t="s">
        <v>141</v>
      </c>
      <c r="B39" t="s">
        <v>741</v>
      </c>
      <c r="C39" t="s">
        <v>742</v>
      </c>
      <c r="D39" t="s">
        <v>803</v>
      </c>
      <c r="E39">
        <v>43</v>
      </c>
      <c r="F39" t="s">
        <v>11</v>
      </c>
      <c r="G39">
        <v>2</v>
      </c>
      <c r="H39" t="s">
        <v>12</v>
      </c>
    </row>
    <row r="40" spans="1:8" hidden="1">
      <c r="A40" t="s">
        <v>141</v>
      </c>
      <c r="B40" t="s">
        <v>824</v>
      </c>
      <c r="C40" t="s">
        <v>825</v>
      </c>
      <c r="D40" t="s">
        <v>803</v>
      </c>
      <c r="E40">
        <v>59</v>
      </c>
      <c r="F40" t="s">
        <v>11</v>
      </c>
      <c r="G40">
        <v>2</v>
      </c>
      <c r="H40" t="s">
        <v>12</v>
      </c>
    </row>
    <row r="41" spans="1:8" hidden="1">
      <c r="A41" t="s">
        <v>141</v>
      </c>
      <c r="B41" t="s">
        <v>826</v>
      </c>
      <c r="C41" t="s">
        <v>827</v>
      </c>
      <c r="D41" t="s">
        <v>803</v>
      </c>
      <c r="E41">
        <v>55</v>
      </c>
      <c r="F41" t="s">
        <v>11</v>
      </c>
      <c r="G41">
        <v>2</v>
      </c>
      <c r="H41" t="s">
        <v>12</v>
      </c>
    </row>
    <row r="42" spans="1:8" hidden="1">
      <c r="A42" t="s">
        <v>141</v>
      </c>
      <c r="B42" t="s">
        <v>144</v>
      </c>
      <c r="C42" t="s">
        <v>145</v>
      </c>
      <c r="D42" t="s">
        <v>803</v>
      </c>
      <c r="E42">
        <v>56</v>
      </c>
      <c r="F42" t="s">
        <v>11</v>
      </c>
      <c r="G42">
        <v>2</v>
      </c>
      <c r="H42" t="s">
        <v>12</v>
      </c>
    </row>
    <row r="43" spans="1:8" hidden="1">
      <c r="A43" t="s">
        <v>141</v>
      </c>
      <c r="B43" t="s">
        <v>156</v>
      </c>
      <c r="C43" t="s">
        <v>157</v>
      </c>
      <c r="D43" t="s">
        <v>803</v>
      </c>
      <c r="E43">
        <v>53</v>
      </c>
      <c r="F43" t="s">
        <v>11</v>
      </c>
      <c r="G43">
        <v>2</v>
      </c>
      <c r="H43" t="s">
        <v>12</v>
      </c>
    </row>
    <row r="44" spans="1:8" hidden="1">
      <c r="A44" t="s">
        <v>7</v>
      </c>
      <c r="B44" t="s">
        <v>836</v>
      </c>
      <c r="C44" t="s">
        <v>837</v>
      </c>
      <c r="D44" t="s">
        <v>838</v>
      </c>
      <c r="E44">
        <v>51</v>
      </c>
      <c r="F44" t="s">
        <v>11</v>
      </c>
      <c r="G44">
        <v>2</v>
      </c>
      <c r="H44" t="s">
        <v>12</v>
      </c>
    </row>
    <row r="45" spans="1:8" hidden="1">
      <c r="A45" t="s">
        <v>7</v>
      </c>
      <c r="B45" t="s">
        <v>745</v>
      </c>
      <c r="C45" t="s">
        <v>746</v>
      </c>
      <c r="D45" t="s">
        <v>838</v>
      </c>
      <c r="E45">
        <v>45</v>
      </c>
      <c r="F45" t="s">
        <v>11</v>
      </c>
      <c r="G45">
        <v>2</v>
      </c>
      <c r="H45" t="s">
        <v>12</v>
      </c>
    </row>
    <row r="46" spans="1:8" hidden="1">
      <c r="A46" t="s">
        <v>7</v>
      </c>
      <c r="B46" t="s">
        <v>15</v>
      </c>
      <c r="C46" t="s">
        <v>16</v>
      </c>
      <c r="D46" t="s">
        <v>838</v>
      </c>
      <c r="E46">
        <v>50</v>
      </c>
      <c r="F46" t="s">
        <v>11</v>
      </c>
      <c r="G46">
        <v>2</v>
      </c>
      <c r="H46" t="s">
        <v>12</v>
      </c>
    </row>
    <row r="47" spans="1:8" hidden="1">
      <c r="A47" t="s">
        <v>7</v>
      </c>
      <c r="B47" t="s">
        <v>17</v>
      </c>
      <c r="C47" t="s">
        <v>18</v>
      </c>
      <c r="D47" t="s">
        <v>838</v>
      </c>
      <c r="E47">
        <v>49</v>
      </c>
      <c r="F47" t="s">
        <v>11</v>
      </c>
      <c r="G47">
        <v>2</v>
      </c>
      <c r="H47" t="s">
        <v>12</v>
      </c>
    </row>
    <row r="48" spans="1:8" hidden="1">
      <c r="A48" t="s">
        <v>7</v>
      </c>
      <c r="B48" t="s">
        <v>23</v>
      </c>
      <c r="C48" t="s">
        <v>24</v>
      </c>
      <c r="D48" t="s">
        <v>838</v>
      </c>
      <c r="E48">
        <v>40</v>
      </c>
      <c r="F48" t="s">
        <v>11</v>
      </c>
      <c r="G48">
        <v>2</v>
      </c>
      <c r="H48" t="s">
        <v>12</v>
      </c>
    </row>
    <row r="49" spans="1:8" hidden="1">
      <c r="A49" t="s">
        <v>7</v>
      </c>
      <c r="B49" t="s">
        <v>548</v>
      </c>
      <c r="C49" t="s">
        <v>549</v>
      </c>
      <c r="D49" t="s">
        <v>838</v>
      </c>
      <c r="E49">
        <v>54</v>
      </c>
      <c r="F49" t="s">
        <v>11</v>
      </c>
      <c r="G49">
        <v>2</v>
      </c>
      <c r="H49" t="s">
        <v>12</v>
      </c>
    </row>
    <row r="50" spans="1:8" hidden="1">
      <c r="A50" t="s">
        <v>84</v>
      </c>
      <c r="B50" t="s">
        <v>87</v>
      </c>
      <c r="C50" t="s">
        <v>88</v>
      </c>
      <c r="D50" t="s">
        <v>838</v>
      </c>
      <c r="E50">
        <v>55</v>
      </c>
      <c r="F50" t="s">
        <v>11</v>
      </c>
      <c r="G50">
        <v>2</v>
      </c>
      <c r="H50" t="s">
        <v>12</v>
      </c>
    </row>
    <row r="51" spans="1:8" hidden="1">
      <c r="A51" t="s">
        <v>84</v>
      </c>
      <c r="B51" t="s">
        <v>89</v>
      </c>
      <c r="C51" t="s">
        <v>90</v>
      </c>
      <c r="D51" t="s">
        <v>838</v>
      </c>
      <c r="E51">
        <v>49</v>
      </c>
      <c r="F51" t="s">
        <v>11</v>
      </c>
      <c r="G51">
        <v>2</v>
      </c>
      <c r="H51" t="s">
        <v>12</v>
      </c>
    </row>
    <row r="52" spans="1:8" hidden="1">
      <c r="A52" t="s">
        <v>84</v>
      </c>
      <c r="B52" t="s">
        <v>91</v>
      </c>
      <c r="C52" t="s">
        <v>92</v>
      </c>
      <c r="D52" t="s">
        <v>838</v>
      </c>
      <c r="E52">
        <v>54</v>
      </c>
      <c r="F52" t="s">
        <v>11</v>
      </c>
      <c r="G52">
        <v>2</v>
      </c>
      <c r="H52" t="s">
        <v>12</v>
      </c>
    </row>
    <row r="53" spans="1:8" hidden="1">
      <c r="A53" t="s">
        <v>84</v>
      </c>
      <c r="B53" t="s">
        <v>839</v>
      </c>
      <c r="C53" t="s">
        <v>682</v>
      </c>
      <c r="D53" t="s">
        <v>838</v>
      </c>
      <c r="E53">
        <v>46</v>
      </c>
      <c r="F53" t="s">
        <v>11</v>
      </c>
      <c r="G53">
        <v>2</v>
      </c>
      <c r="H53" t="s">
        <v>12</v>
      </c>
    </row>
    <row r="54" spans="1:8" hidden="1">
      <c r="A54" t="s">
        <v>84</v>
      </c>
      <c r="B54" t="s">
        <v>753</v>
      </c>
      <c r="C54" t="s">
        <v>754</v>
      </c>
      <c r="D54" t="s">
        <v>838</v>
      </c>
      <c r="E54">
        <v>53</v>
      </c>
      <c r="F54" t="s">
        <v>11</v>
      </c>
      <c r="G54">
        <v>2</v>
      </c>
      <c r="H54" t="s">
        <v>12</v>
      </c>
    </row>
    <row r="55" spans="1:8" hidden="1">
      <c r="A55" t="s">
        <v>84</v>
      </c>
      <c r="B55" t="s">
        <v>755</v>
      </c>
      <c r="C55" t="s">
        <v>756</v>
      </c>
      <c r="D55" t="s">
        <v>838</v>
      </c>
      <c r="E55">
        <v>51</v>
      </c>
      <c r="F55" t="s">
        <v>11</v>
      </c>
      <c r="G55">
        <v>2</v>
      </c>
      <c r="H55" t="s">
        <v>12</v>
      </c>
    </row>
    <row r="56" spans="1:8" hidden="1">
      <c r="A56" t="s">
        <v>84</v>
      </c>
      <c r="B56" t="s">
        <v>445</v>
      </c>
      <c r="C56" t="s">
        <v>446</v>
      </c>
      <c r="D56" t="s">
        <v>838</v>
      </c>
      <c r="E56">
        <v>43</v>
      </c>
      <c r="F56" t="s">
        <v>11</v>
      </c>
      <c r="G56">
        <v>2</v>
      </c>
      <c r="H56" t="s">
        <v>12</v>
      </c>
    </row>
    <row r="57" spans="1:8" hidden="1">
      <c r="A57" t="s">
        <v>84</v>
      </c>
      <c r="B57" t="s">
        <v>840</v>
      </c>
      <c r="C57" t="s">
        <v>841</v>
      </c>
      <c r="D57" t="s">
        <v>838</v>
      </c>
      <c r="E57">
        <v>46</v>
      </c>
      <c r="F57" t="s">
        <v>11</v>
      </c>
      <c r="G57">
        <v>2</v>
      </c>
      <c r="H57" t="s">
        <v>12</v>
      </c>
    </row>
    <row r="58" spans="1:8" hidden="1">
      <c r="A58" t="s">
        <v>84</v>
      </c>
      <c r="B58" t="s">
        <v>95</v>
      </c>
      <c r="C58" t="s">
        <v>96</v>
      </c>
      <c r="D58" t="s">
        <v>838</v>
      </c>
      <c r="E58">
        <v>42</v>
      </c>
      <c r="F58" t="s">
        <v>11</v>
      </c>
      <c r="G58">
        <v>2</v>
      </c>
      <c r="H58" t="s">
        <v>12</v>
      </c>
    </row>
    <row r="59" spans="1:8" hidden="1">
      <c r="A59" t="s">
        <v>25</v>
      </c>
      <c r="B59" t="s">
        <v>338</v>
      </c>
      <c r="C59" t="s">
        <v>339</v>
      </c>
      <c r="D59" t="s">
        <v>838</v>
      </c>
      <c r="E59">
        <v>46</v>
      </c>
      <c r="F59" t="s">
        <v>11</v>
      </c>
      <c r="G59">
        <v>2</v>
      </c>
      <c r="H59" t="s">
        <v>12</v>
      </c>
    </row>
    <row r="60" spans="1:8" hidden="1">
      <c r="A60" t="s">
        <v>25</v>
      </c>
      <c r="B60" t="s">
        <v>713</v>
      </c>
      <c r="C60" t="s">
        <v>714</v>
      </c>
      <c r="D60" t="s">
        <v>838</v>
      </c>
      <c r="E60">
        <v>40</v>
      </c>
      <c r="F60" t="s">
        <v>11</v>
      </c>
      <c r="G60">
        <v>2</v>
      </c>
      <c r="H60" t="s">
        <v>12</v>
      </c>
    </row>
    <row r="61" spans="1:8" hidden="1">
      <c r="A61" t="s">
        <v>25</v>
      </c>
      <c r="B61" t="s">
        <v>347</v>
      </c>
      <c r="C61" t="s">
        <v>348</v>
      </c>
      <c r="D61" t="s">
        <v>838</v>
      </c>
      <c r="E61">
        <v>44</v>
      </c>
      <c r="F61" t="s">
        <v>11</v>
      </c>
      <c r="G61">
        <v>2</v>
      </c>
      <c r="H61" t="s">
        <v>12</v>
      </c>
    </row>
    <row r="62" spans="1:8" hidden="1">
      <c r="A62" t="s">
        <v>25</v>
      </c>
      <c r="B62" t="s">
        <v>671</v>
      </c>
      <c r="C62" t="s">
        <v>672</v>
      </c>
      <c r="D62" t="s">
        <v>838</v>
      </c>
      <c r="E62">
        <v>40</v>
      </c>
      <c r="F62" t="s">
        <v>11</v>
      </c>
      <c r="G62">
        <v>2</v>
      </c>
      <c r="H62" t="s">
        <v>12</v>
      </c>
    </row>
    <row r="63" spans="1:8" hidden="1">
      <c r="A63" t="s">
        <v>25</v>
      </c>
      <c r="B63" t="s">
        <v>36</v>
      </c>
      <c r="C63" t="s">
        <v>37</v>
      </c>
      <c r="D63" t="s">
        <v>838</v>
      </c>
      <c r="E63">
        <v>56</v>
      </c>
      <c r="F63" t="s">
        <v>11</v>
      </c>
      <c r="G63">
        <v>2</v>
      </c>
      <c r="H63" t="s">
        <v>12</v>
      </c>
    </row>
    <row r="64" spans="1:8" hidden="1">
      <c r="A64" t="s">
        <v>25</v>
      </c>
      <c r="B64" t="s">
        <v>38</v>
      </c>
      <c r="C64" t="s">
        <v>39</v>
      </c>
      <c r="D64" t="s">
        <v>838</v>
      </c>
      <c r="E64">
        <v>40</v>
      </c>
      <c r="F64" t="s">
        <v>11</v>
      </c>
      <c r="G64">
        <v>2</v>
      </c>
      <c r="H64" t="s">
        <v>12</v>
      </c>
    </row>
    <row r="65" spans="1:8" hidden="1">
      <c r="A65" t="s">
        <v>25</v>
      </c>
      <c r="B65" t="s">
        <v>703</v>
      </c>
      <c r="C65" t="s">
        <v>704</v>
      </c>
      <c r="D65" t="s">
        <v>838</v>
      </c>
      <c r="E65">
        <v>40</v>
      </c>
      <c r="F65" t="s">
        <v>11</v>
      </c>
      <c r="G65">
        <v>2</v>
      </c>
      <c r="H65" t="s">
        <v>12</v>
      </c>
    </row>
    <row r="66" spans="1:8" hidden="1">
      <c r="A66" t="s">
        <v>25</v>
      </c>
      <c r="B66" t="s">
        <v>42</v>
      </c>
      <c r="C66" t="s">
        <v>43</v>
      </c>
      <c r="D66" t="s">
        <v>838</v>
      </c>
      <c r="E66">
        <v>47</v>
      </c>
      <c r="F66" t="s">
        <v>11</v>
      </c>
      <c r="G66">
        <v>2</v>
      </c>
      <c r="H66" t="s">
        <v>12</v>
      </c>
    </row>
    <row r="67" spans="1:8" hidden="1">
      <c r="A67" t="s">
        <v>25</v>
      </c>
      <c r="B67" t="s">
        <v>349</v>
      </c>
      <c r="C67" t="s">
        <v>350</v>
      </c>
      <c r="D67" t="s">
        <v>838</v>
      </c>
      <c r="E67">
        <v>40</v>
      </c>
      <c r="F67" t="s">
        <v>11</v>
      </c>
      <c r="G67">
        <v>2</v>
      </c>
      <c r="H67" t="s">
        <v>12</v>
      </c>
    </row>
    <row r="68" spans="1:8" hidden="1">
      <c r="A68" t="s">
        <v>25</v>
      </c>
      <c r="B68" t="s">
        <v>351</v>
      </c>
      <c r="C68" t="s">
        <v>352</v>
      </c>
      <c r="D68" t="s">
        <v>838</v>
      </c>
      <c r="E68">
        <v>41</v>
      </c>
      <c r="F68" t="s">
        <v>11</v>
      </c>
      <c r="G68">
        <v>2</v>
      </c>
      <c r="H68" t="s">
        <v>12</v>
      </c>
    </row>
    <row r="69" spans="1:8" hidden="1">
      <c r="A69" t="s">
        <v>246</v>
      </c>
      <c r="B69" t="s">
        <v>249</v>
      </c>
      <c r="C69" t="s">
        <v>250</v>
      </c>
      <c r="D69" t="s">
        <v>838</v>
      </c>
      <c r="E69">
        <v>42</v>
      </c>
      <c r="F69" t="s">
        <v>11</v>
      </c>
      <c r="G69">
        <v>2</v>
      </c>
      <c r="H69" t="s">
        <v>12</v>
      </c>
    </row>
    <row r="70" spans="1:8" hidden="1">
      <c r="A70" t="s">
        <v>246</v>
      </c>
      <c r="B70" t="s">
        <v>255</v>
      </c>
      <c r="C70" t="s">
        <v>256</v>
      </c>
      <c r="D70" t="s">
        <v>838</v>
      </c>
      <c r="E70">
        <v>52</v>
      </c>
      <c r="F70" t="s">
        <v>11</v>
      </c>
      <c r="G70">
        <v>2</v>
      </c>
      <c r="H70" t="s">
        <v>12</v>
      </c>
    </row>
    <row r="71" spans="1:8" hidden="1">
      <c r="A71" t="s">
        <v>246</v>
      </c>
      <c r="B71" t="s">
        <v>411</v>
      </c>
      <c r="C71" t="s">
        <v>412</v>
      </c>
      <c r="D71" t="s">
        <v>838</v>
      </c>
      <c r="E71">
        <v>45</v>
      </c>
      <c r="F71" t="s">
        <v>11</v>
      </c>
      <c r="G71">
        <v>2</v>
      </c>
      <c r="H71" t="s">
        <v>12</v>
      </c>
    </row>
    <row r="72" spans="1:8" hidden="1">
      <c r="A72" t="s">
        <v>246</v>
      </c>
      <c r="B72" t="s">
        <v>259</v>
      </c>
      <c r="C72" t="s">
        <v>260</v>
      </c>
      <c r="D72" t="s">
        <v>838</v>
      </c>
      <c r="E72">
        <v>56</v>
      </c>
      <c r="F72" t="s">
        <v>11</v>
      </c>
      <c r="G72">
        <v>2</v>
      </c>
      <c r="H72" t="s">
        <v>12</v>
      </c>
    </row>
    <row r="73" spans="1:8" hidden="1">
      <c r="A73" t="s">
        <v>246</v>
      </c>
      <c r="B73" t="s">
        <v>590</v>
      </c>
      <c r="C73" t="s">
        <v>591</v>
      </c>
      <c r="D73" t="s">
        <v>838</v>
      </c>
      <c r="E73">
        <v>40</v>
      </c>
      <c r="F73" t="s">
        <v>11</v>
      </c>
      <c r="G73">
        <v>2</v>
      </c>
      <c r="H73" t="s">
        <v>12</v>
      </c>
    </row>
    <row r="74" spans="1:8" hidden="1">
      <c r="A74" t="s">
        <v>246</v>
      </c>
      <c r="B74" t="s">
        <v>261</v>
      </c>
      <c r="C74" t="s">
        <v>262</v>
      </c>
      <c r="D74" t="s">
        <v>838</v>
      </c>
      <c r="E74">
        <v>45</v>
      </c>
      <c r="F74" t="s">
        <v>11</v>
      </c>
      <c r="G74">
        <v>2</v>
      </c>
      <c r="H74" t="s">
        <v>12</v>
      </c>
    </row>
    <row r="75" spans="1:8" hidden="1">
      <c r="A75" t="s">
        <v>246</v>
      </c>
      <c r="B75" t="s">
        <v>263</v>
      </c>
      <c r="C75" t="s">
        <v>264</v>
      </c>
      <c r="D75" t="s">
        <v>838</v>
      </c>
      <c r="E75">
        <v>43</v>
      </c>
      <c r="F75" t="s">
        <v>11</v>
      </c>
      <c r="G75">
        <v>2</v>
      </c>
      <c r="H75" t="s">
        <v>12</v>
      </c>
    </row>
    <row r="76" spans="1:8" hidden="1">
      <c r="A76" t="s">
        <v>246</v>
      </c>
      <c r="B76" t="s">
        <v>804</v>
      </c>
      <c r="C76" t="s">
        <v>805</v>
      </c>
      <c r="D76" t="s">
        <v>838</v>
      </c>
      <c r="E76">
        <v>47</v>
      </c>
      <c r="F76" t="s">
        <v>11</v>
      </c>
      <c r="G76">
        <v>2</v>
      </c>
      <c r="H76" t="s">
        <v>12</v>
      </c>
    </row>
    <row r="77" spans="1:8" hidden="1">
      <c r="A77" t="s">
        <v>246</v>
      </c>
      <c r="B77" t="s">
        <v>829</v>
      </c>
      <c r="C77" t="s">
        <v>830</v>
      </c>
      <c r="D77" t="s">
        <v>838</v>
      </c>
      <c r="E77">
        <v>40</v>
      </c>
      <c r="F77" t="s">
        <v>11</v>
      </c>
      <c r="G77">
        <v>2</v>
      </c>
      <c r="H77" t="s">
        <v>12</v>
      </c>
    </row>
    <row r="78" spans="1:8" hidden="1">
      <c r="A78" t="s">
        <v>246</v>
      </c>
      <c r="B78" t="s">
        <v>267</v>
      </c>
      <c r="C78" t="s">
        <v>268</v>
      </c>
      <c r="D78" t="s">
        <v>838</v>
      </c>
      <c r="E78">
        <v>47</v>
      </c>
      <c r="F78" t="s">
        <v>11</v>
      </c>
      <c r="G78">
        <v>2</v>
      </c>
      <c r="H78" t="s">
        <v>12</v>
      </c>
    </row>
    <row r="79" spans="1:8" hidden="1">
      <c r="A79" t="s">
        <v>301</v>
      </c>
      <c r="B79" t="s">
        <v>306</v>
      </c>
      <c r="C79" t="s">
        <v>307</v>
      </c>
      <c r="D79" t="s">
        <v>838</v>
      </c>
      <c r="E79">
        <v>49</v>
      </c>
      <c r="F79" t="s">
        <v>11</v>
      </c>
      <c r="G79">
        <v>2</v>
      </c>
      <c r="H79" t="s">
        <v>12</v>
      </c>
    </row>
    <row r="80" spans="1:8" hidden="1">
      <c r="A80" t="s">
        <v>301</v>
      </c>
      <c r="B80" t="s">
        <v>312</v>
      </c>
      <c r="C80" t="s">
        <v>313</v>
      </c>
      <c r="D80" t="s">
        <v>838</v>
      </c>
      <c r="E80">
        <v>45</v>
      </c>
      <c r="F80" t="s">
        <v>11</v>
      </c>
      <c r="G80">
        <v>2</v>
      </c>
      <c r="H80" t="s">
        <v>12</v>
      </c>
    </row>
    <row r="81" spans="1:8" hidden="1">
      <c r="A81" t="s">
        <v>301</v>
      </c>
      <c r="B81" t="s">
        <v>314</v>
      </c>
      <c r="C81" t="s">
        <v>315</v>
      </c>
      <c r="D81" t="s">
        <v>838</v>
      </c>
      <c r="E81">
        <v>42</v>
      </c>
      <c r="F81" t="s">
        <v>11</v>
      </c>
      <c r="G81">
        <v>2</v>
      </c>
      <c r="H81" t="s">
        <v>12</v>
      </c>
    </row>
    <row r="82" spans="1:8" hidden="1">
      <c r="A82" t="s">
        <v>301</v>
      </c>
      <c r="B82" t="s">
        <v>320</v>
      </c>
      <c r="C82" t="s">
        <v>321</v>
      </c>
      <c r="D82" t="s">
        <v>838</v>
      </c>
      <c r="E82">
        <v>48</v>
      </c>
      <c r="F82" t="s">
        <v>11</v>
      </c>
      <c r="G82">
        <v>2</v>
      </c>
      <c r="H82" t="s">
        <v>12</v>
      </c>
    </row>
    <row r="83" spans="1:8" hidden="1">
      <c r="A83" t="s">
        <v>301</v>
      </c>
      <c r="B83" t="s">
        <v>473</v>
      </c>
      <c r="C83" t="s">
        <v>474</v>
      </c>
      <c r="D83" t="s">
        <v>838</v>
      </c>
      <c r="E83">
        <v>47</v>
      </c>
      <c r="F83" t="s">
        <v>11</v>
      </c>
      <c r="G83">
        <v>2</v>
      </c>
      <c r="H83" t="s">
        <v>12</v>
      </c>
    </row>
    <row r="84" spans="1:8" hidden="1">
      <c r="A84" t="s">
        <v>322</v>
      </c>
      <c r="B84" t="s">
        <v>773</v>
      </c>
      <c r="C84" t="s">
        <v>774</v>
      </c>
      <c r="D84" t="s">
        <v>838</v>
      </c>
      <c r="E84">
        <v>50</v>
      </c>
      <c r="F84" t="s">
        <v>11</v>
      </c>
      <c r="G84">
        <v>2</v>
      </c>
      <c r="H84" t="s">
        <v>12</v>
      </c>
    </row>
    <row r="85" spans="1:8" hidden="1">
      <c r="A85" t="s">
        <v>322</v>
      </c>
      <c r="B85" t="s">
        <v>323</v>
      </c>
      <c r="C85" t="s">
        <v>324</v>
      </c>
      <c r="D85" t="s">
        <v>838</v>
      </c>
      <c r="E85">
        <v>51</v>
      </c>
      <c r="F85" t="s">
        <v>11</v>
      </c>
      <c r="G85">
        <v>2</v>
      </c>
      <c r="H85" t="s">
        <v>12</v>
      </c>
    </row>
    <row r="86" spans="1:8" hidden="1">
      <c r="A86" t="s">
        <v>322</v>
      </c>
      <c r="B86" t="s">
        <v>842</v>
      </c>
      <c r="C86" t="s">
        <v>843</v>
      </c>
      <c r="D86" t="s">
        <v>838</v>
      </c>
      <c r="E86">
        <v>55</v>
      </c>
      <c r="F86" t="s">
        <v>11</v>
      </c>
      <c r="G86">
        <v>2</v>
      </c>
      <c r="H86" t="s">
        <v>12</v>
      </c>
    </row>
    <row r="87" spans="1:8" hidden="1">
      <c r="A87" t="s">
        <v>322</v>
      </c>
      <c r="B87" t="s">
        <v>844</v>
      </c>
      <c r="C87" t="s">
        <v>845</v>
      </c>
      <c r="D87" t="s">
        <v>838</v>
      </c>
      <c r="E87">
        <v>52</v>
      </c>
      <c r="F87" t="s">
        <v>11</v>
      </c>
      <c r="G87">
        <v>2</v>
      </c>
      <c r="H87" t="s">
        <v>12</v>
      </c>
    </row>
    <row r="88" spans="1:8" hidden="1">
      <c r="A88" t="s">
        <v>322</v>
      </c>
      <c r="B88" t="s">
        <v>325</v>
      </c>
      <c r="C88" t="s">
        <v>326</v>
      </c>
      <c r="D88" t="s">
        <v>838</v>
      </c>
      <c r="E88">
        <v>40</v>
      </c>
      <c r="F88" t="s">
        <v>11</v>
      </c>
      <c r="G88">
        <v>2</v>
      </c>
      <c r="H88" t="s">
        <v>12</v>
      </c>
    </row>
    <row r="89" spans="1:8" hidden="1">
      <c r="A89" t="s">
        <v>322</v>
      </c>
      <c r="B89" t="s">
        <v>327</v>
      </c>
      <c r="C89" t="s">
        <v>328</v>
      </c>
      <c r="D89" t="s">
        <v>838</v>
      </c>
      <c r="E89">
        <v>40</v>
      </c>
      <c r="F89" t="s">
        <v>11</v>
      </c>
      <c r="G89">
        <v>2</v>
      </c>
      <c r="H89" t="s">
        <v>12</v>
      </c>
    </row>
    <row r="90" spans="1:8" hidden="1">
      <c r="A90" t="s">
        <v>322</v>
      </c>
      <c r="B90" t="s">
        <v>329</v>
      </c>
      <c r="C90" t="s">
        <v>330</v>
      </c>
      <c r="D90" t="s">
        <v>838</v>
      </c>
      <c r="E90">
        <v>53</v>
      </c>
      <c r="F90" t="s">
        <v>11</v>
      </c>
      <c r="G90">
        <v>2</v>
      </c>
      <c r="H90" t="s">
        <v>12</v>
      </c>
    </row>
    <row r="91" spans="1:8" hidden="1">
      <c r="A91" t="s">
        <v>322</v>
      </c>
      <c r="B91" t="s">
        <v>846</v>
      </c>
      <c r="C91" t="s">
        <v>847</v>
      </c>
      <c r="D91" t="s">
        <v>838</v>
      </c>
      <c r="E91">
        <v>50</v>
      </c>
      <c r="F91" t="s">
        <v>11</v>
      </c>
      <c r="G91">
        <v>2</v>
      </c>
      <c r="H91" t="s">
        <v>12</v>
      </c>
    </row>
    <row r="92" spans="1:8" hidden="1">
      <c r="A92" t="s">
        <v>217</v>
      </c>
      <c r="B92" t="s">
        <v>220</v>
      </c>
      <c r="C92" t="s">
        <v>221</v>
      </c>
      <c r="D92" t="s">
        <v>838</v>
      </c>
      <c r="E92">
        <v>40</v>
      </c>
      <c r="F92" t="s">
        <v>11</v>
      </c>
      <c r="G92">
        <v>2</v>
      </c>
      <c r="H92" t="s">
        <v>12</v>
      </c>
    </row>
    <row r="93" spans="1:8" hidden="1">
      <c r="A93" t="s">
        <v>217</v>
      </c>
      <c r="B93" t="s">
        <v>848</v>
      </c>
      <c r="C93" t="s">
        <v>849</v>
      </c>
      <c r="D93" t="s">
        <v>838</v>
      </c>
      <c r="E93">
        <v>43</v>
      </c>
      <c r="F93" t="s">
        <v>11</v>
      </c>
      <c r="G93">
        <v>2</v>
      </c>
      <c r="H93" t="s">
        <v>12</v>
      </c>
    </row>
    <row r="94" spans="1:8" hidden="1">
      <c r="A94" t="s">
        <v>217</v>
      </c>
      <c r="B94" t="s">
        <v>381</v>
      </c>
      <c r="C94" t="s">
        <v>382</v>
      </c>
      <c r="D94" t="s">
        <v>838</v>
      </c>
      <c r="E94">
        <v>40</v>
      </c>
      <c r="F94" t="s">
        <v>11</v>
      </c>
      <c r="G94">
        <v>2</v>
      </c>
      <c r="H94" t="s">
        <v>12</v>
      </c>
    </row>
    <row r="95" spans="1:8" hidden="1">
      <c r="A95" t="s">
        <v>217</v>
      </c>
      <c r="B95" t="s">
        <v>801</v>
      </c>
      <c r="C95" t="s">
        <v>802</v>
      </c>
      <c r="D95" t="s">
        <v>838</v>
      </c>
      <c r="E95">
        <v>48</v>
      </c>
      <c r="F95" t="s">
        <v>11</v>
      </c>
      <c r="G95">
        <v>2</v>
      </c>
      <c r="H95" t="s">
        <v>12</v>
      </c>
    </row>
    <row r="96" spans="1:8" hidden="1">
      <c r="A96" t="s">
        <v>122</v>
      </c>
      <c r="B96" t="s">
        <v>123</v>
      </c>
      <c r="C96" t="s">
        <v>124</v>
      </c>
      <c r="D96" t="s">
        <v>838</v>
      </c>
      <c r="E96">
        <v>50</v>
      </c>
      <c r="F96" t="s">
        <v>11</v>
      </c>
      <c r="G96">
        <v>2</v>
      </c>
      <c r="H96" t="s">
        <v>12</v>
      </c>
    </row>
    <row r="97" spans="1:8" hidden="1">
      <c r="A97" t="s">
        <v>122</v>
      </c>
      <c r="B97" t="s">
        <v>779</v>
      </c>
      <c r="C97" t="s">
        <v>780</v>
      </c>
      <c r="D97" t="s">
        <v>838</v>
      </c>
      <c r="E97">
        <v>50</v>
      </c>
      <c r="F97" t="s">
        <v>11</v>
      </c>
      <c r="G97">
        <v>2</v>
      </c>
      <c r="H97" t="s">
        <v>12</v>
      </c>
    </row>
    <row r="98" spans="1:8" hidden="1">
      <c r="A98" t="s">
        <v>122</v>
      </c>
      <c r="B98" t="s">
        <v>125</v>
      </c>
      <c r="C98" t="s">
        <v>126</v>
      </c>
      <c r="D98" t="s">
        <v>838</v>
      </c>
      <c r="E98">
        <v>50</v>
      </c>
      <c r="F98" t="s">
        <v>11</v>
      </c>
      <c r="G98">
        <v>2</v>
      </c>
      <c r="H98" t="s">
        <v>12</v>
      </c>
    </row>
    <row r="99" spans="1:8" hidden="1">
      <c r="A99" t="s">
        <v>122</v>
      </c>
      <c r="B99" t="s">
        <v>822</v>
      </c>
      <c r="C99" t="s">
        <v>823</v>
      </c>
      <c r="D99" t="s">
        <v>838</v>
      </c>
      <c r="E99">
        <v>55</v>
      </c>
      <c r="F99" t="s">
        <v>11</v>
      </c>
      <c r="G99">
        <v>2</v>
      </c>
      <c r="H99" t="s">
        <v>12</v>
      </c>
    </row>
    <row r="100" spans="1:8" hidden="1">
      <c r="A100" t="s">
        <v>122</v>
      </c>
      <c r="B100" t="s">
        <v>433</v>
      </c>
      <c r="C100" t="s">
        <v>434</v>
      </c>
      <c r="D100" t="s">
        <v>838</v>
      </c>
      <c r="E100">
        <v>50</v>
      </c>
      <c r="F100" t="s">
        <v>11</v>
      </c>
      <c r="G100">
        <v>2</v>
      </c>
      <c r="H100" t="s">
        <v>12</v>
      </c>
    </row>
    <row r="101" spans="1:8" hidden="1">
      <c r="A101" t="s">
        <v>122</v>
      </c>
      <c r="B101" t="s">
        <v>127</v>
      </c>
      <c r="C101" t="s">
        <v>128</v>
      </c>
      <c r="D101" t="s">
        <v>838</v>
      </c>
      <c r="E101">
        <v>40</v>
      </c>
      <c r="F101" t="s">
        <v>11</v>
      </c>
      <c r="G101">
        <v>2</v>
      </c>
      <c r="H101" t="s">
        <v>12</v>
      </c>
    </row>
    <row r="102" spans="1:8" hidden="1">
      <c r="A102" t="s">
        <v>122</v>
      </c>
      <c r="B102" t="s">
        <v>435</v>
      </c>
      <c r="C102" t="s">
        <v>436</v>
      </c>
      <c r="D102" t="s">
        <v>838</v>
      </c>
      <c r="E102">
        <v>40</v>
      </c>
      <c r="F102" t="s">
        <v>11</v>
      </c>
      <c r="G102">
        <v>2</v>
      </c>
      <c r="H102" t="s">
        <v>12</v>
      </c>
    </row>
    <row r="103" spans="1:8" hidden="1">
      <c r="A103" t="s">
        <v>122</v>
      </c>
      <c r="B103" t="s">
        <v>789</v>
      </c>
      <c r="C103" t="s">
        <v>790</v>
      </c>
      <c r="D103" t="s">
        <v>838</v>
      </c>
      <c r="E103">
        <v>52</v>
      </c>
      <c r="F103" t="s">
        <v>11</v>
      </c>
      <c r="G103">
        <v>2</v>
      </c>
      <c r="H103" t="s">
        <v>12</v>
      </c>
    </row>
    <row r="104" spans="1:8" hidden="1">
      <c r="A104" t="s">
        <v>122</v>
      </c>
      <c r="B104" t="s">
        <v>133</v>
      </c>
      <c r="C104" t="s">
        <v>134</v>
      </c>
      <c r="D104" t="s">
        <v>838</v>
      </c>
      <c r="E104">
        <v>40</v>
      </c>
      <c r="F104" t="s">
        <v>11</v>
      </c>
      <c r="G104">
        <v>2</v>
      </c>
      <c r="H104" t="s">
        <v>12</v>
      </c>
    </row>
    <row r="105" spans="1:8" hidden="1">
      <c r="A105" t="s">
        <v>122</v>
      </c>
      <c r="B105" t="s">
        <v>135</v>
      </c>
      <c r="C105" t="s">
        <v>136</v>
      </c>
      <c r="D105" t="s">
        <v>838</v>
      </c>
      <c r="E105">
        <v>53</v>
      </c>
      <c r="F105" t="s">
        <v>11</v>
      </c>
      <c r="G105">
        <v>2</v>
      </c>
      <c r="H105" t="s">
        <v>12</v>
      </c>
    </row>
    <row r="106" spans="1:8" hidden="1">
      <c r="A106" t="s">
        <v>122</v>
      </c>
      <c r="B106" t="s">
        <v>137</v>
      </c>
      <c r="C106" t="s">
        <v>138</v>
      </c>
      <c r="D106" t="s">
        <v>838</v>
      </c>
      <c r="E106">
        <v>40</v>
      </c>
      <c r="F106" t="s">
        <v>11</v>
      </c>
      <c r="G106">
        <v>2</v>
      </c>
      <c r="H106" t="s">
        <v>12</v>
      </c>
    </row>
    <row r="107" spans="1:8" hidden="1">
      <c r="A107" t="s">
        <v>122</v>
      </c>
      <c r="B107" t="s">
        <v>139</v>
      </c>
      <c r="C107" t="s">
        <v>140</v>
      </c>
      <c r="D107" t="s">
        <v>838</v>
      </c>
      <c r="E107">
        <v>51</v>
      </c>
      <c r="F107" t="s">
        <v>11</v>
      </c>
      <c r="G107">
        <v>2</v>
      </c>
      <c r="H107" t="s">
        <v>12</v>
      </c>
    </row>
    <row r="108" spans="1:8" hidden="1">
      <c r="A108" t="s">
        <v>171</v>
      </c>
      <c r="B108" t="s">
        <v>483</v>
      </c>
      <c r="C108" t="s">
        <v>484</v>
      </c>
      <c r="D108" t="s">
        <v>636</v>
      </c>
      <c r="E108">
        <v>48</v>
      </c>
      <c r="F108" t="s">
        <v>11</v>
      </c>
      <c r="G108">
        <v>2</v>
      </c>
      <c r="H108" t="s">
        <v>12</v>
      </c>
    </row>
    <row r="109" spans="1:8" hidden="1">
      <c r="A109" t="s">
        <v>171</v>
      </c>
      <c r="B109" t="s">
        <v>487</v>
      </c>
      <c r="C109" t="s">
        <v>488</v>
      </c>
      <c r="D109" t="s">
        <v>636</v>
      </c>
      <c r="E109">
        <v>45</v>
      </c>
      <c r="F109" t="s">
        <v>11</v>
      </c>
      <c r="G109">
        <v>2</v>
      </c>
      <c r="H109" t="s">
        <v>12</v>
      </c>
    </row>
    <row r="110" spans="1:8" hidden="1">
      <c r="A110" t="s">
        <v>7</v>
      </c>
      <c r="B110" t="s">
        <v>8</v>
      </c>
      <c r="C110" t="s">
        <v>9</v>
      </c>
      <c r="D110" t="s">
        <v>636</v>
      </c>
      <c r="E110">
        <v>42</v>
      </c>
      <c r="F110" t="s">
        <v>11</v>
      </c>
      <c r="G110">
        <v>4</v>
      </c>
      <c r="H110" t="s">
        <v>12</v>
      </c>
    </row>
    <row r="111" spans="1:8" hidden="1">
      <c r="A111" t="s">
        <v>7</v>
      </c>
      <c r="B111" t="s">
        <v>13</v>
      </c>
      <c r="C111" t="s">
        <v>14</v>
      </c>
      <c r="D111" t="s">
        <v>636</v>
      </c>
      <c r="E111">
        <v>57</v>
      </c>
      <c r="F111" t="s">
        <v>11</v>
      </c>
      <c r="G111">
        <v>4</v>
      </c>
      <c r="H111" t="s">
        <v>12</v>
      </c>
    </row>
    <row r="112" spans="1:8" hidden="1">
      <c r="A112" t="s">
        <v>7</v>
      </c>
      <c r="B112" t="s">
        <v>15</v>
      </c>
      <c r="C112" t="s">
        <v>16</v>
      </c>
      <c r="D112" t="s">
        <v>636</v>
      </c>
      <c r="E112">
        <v>43</v>
      </c>
      <c r="F112" t="s">
        <v>11</v>
      </c>
      <c r="G112">
        <v>4</v>
      </c>
      <c r="H112" t="s">
        <v>12</v>
      </c>
    </row>
    <row r="113" spans="1:8" hidden="1">
      <c r="A113" t="s">
        <v>7</v>
      </c>
      <c r="B113" t="s">
        <v>17</v>
      </c>
      <c r="C113" t="s">
        <v>18</v>
      </c>
      <c r="D113" t="s">
        <v>636</v>
      </c>
      <c r="E113">
        <v>56</v>
      </c>
      <c r="F113" t="s">
        <v>11</v>
      </c>
      <c r="G113">
        <v>4</v>
      </c>
      <c r="H113" t="s">
        <v>12</v>
      </c>
    </row>
    <row r="114" spans="1:8" hidden="1">
      <c r="A114" t="s">
        <v>7</v>
      </c>
      <c r="B114" t="s">
        <v>667</v>
      </c>
      <c r="C114" t="s">
        <v>668</v>
      </c>
      <c r="D114" t="s">
        <v>636</v>
      </c>
      <c r="E114">
        <v>44</v>
      </c>
      <c r="F114" t="s">
        <v>11</v>
      </c>
      <c r="G114">
        <v>4</v>
      </c>
      <c r="H114" t="s">
        <v>12</v>
      </c>
    </row>
    <row r="115" spans="1:8" hidden="1">
      <c r="A115" t="s">
        <v>7</v>
      </c>
      <c r="B115" t="s">
        <v>548</v>
      </c>
      <c r="C115" t="s">
        <v>549</v>
      </c>
      <c r="D115" t="s">
        <v>636</v>
      </c>
      <c r="E115">
        <v>56</v>
      </c>
      <c r="F115" t="s">
        <v>11</v>
      </c>
      <c r="G115">
        <v>4</v>
      </c>
      <c r="H115" t="s">
        <v>12</v>
      </c>
    </row>
    <row r="116" spans="1:8" hidden="1">
      <c r="A116" t="s">
        <v>25</v>
      </c>
      <c r="B116" t="s">
        <v>669</v>
      </c>
      <c r="C116" t="s">
        <v>670</v>
      </c>
      <c r="D116" t="s">
        <v>636</v>
      </c>
      <c r="E116">
        <v>45</v>
      </c>
      <c r="F116" t="s">
        <v>11</v>
      </c>
      <c r="G116">
        <v>4</v>
      </c>
      <c r="H116" t="s">
        <v>12</v>
      </c>
    </row>
    <row r="117" spans="1:8" hidden="1">
      <c r="A117" t="s">
        <v>25</v>
      </c>
      <c r="B117" t="s">
        <v>347</v>
      </c>
      <c r="C117" t="s">
        <v>348</v>
      </c>
      <c r="D117" t="s">
        <v>636</v>
      </c>
      <c r="E117">
        <v>44</v>
      </c>
      <c r="F117" t="s">
        <v>11</v>
      </c>
      <c r="G117">
        <v>4</v>
      </c>
      <c r="H117" t="s">
        <v>12</v>
      </c>
    </row>
    <row r="118" spans="1:8" hidden="1">
      <c r="A118" t="s">
        <v>25</v>
      </c>
      <c r="B118" t="s">
        <v>671</v>
      </c>
      <c r="C118" t="s">
        <v>672</v>
      </c>
      <c r="D118" t="s">
        <v>636</v>
      </c>
      <c r="E118">
        <v>42</v>
      </c>
      <c r="F118" t="s">
        <v>11</v>
      </c>
      <c r="G118">
        <v>4</v>
      </c>
      <c r="H118" t="s">
        <v>12</v>
      </c>
    </row>
    <row r="119" spans="1:8" hidden="1">
      <c r="A119" t="s">
        <v>25</v>
      </c>
      <c r="B119" t="s">
        <v>673</v>
      </c>
      <c r="C119" t="s">
        <v>674</v>
      </c>
      <c r="D119" t="s">
        <v>636</v>
      </c>
      <c r="E119">
        <v>37</v>
      </c>
      <c r="F119" t="s">
        <v>11</v>
      </c>
      <c r="G119">
        <v>4</v>
      </c>
      <c r="H119" t="s">
        <v>12</v>
      </c>
    </row>
    <row r="120" spans="1:8" hidden="1">
      <c r="A120" t="s">
        <v>25</v>
      </c>
      <c r="B120" t="s">
        <v>38</v>
      </c>
      <c r="C120" t="s">
        <v>39</v>
      </c>
      <c r="D120" t="s">
        <v>636</v>
      </c>
      <c r="E120">
        <v>42</v>
      </c>
      <c r="F120" t="s">
        <v>11</v>
      </c>
      <c r="G120">
        <v>4</v>
      </c>
      <c r="H120" t="s">
        <v>12</v>
      </c>
    </row>
    <row r="121" spans="1:8" hidden="1">
      <c r="A121" t="s">
        <v>25</v>
      </c>
      <c r="B121" t="s">
        <v>42</v>
      </c>
      <c r="C121" t="s">
        <v>43</v>
      </c>
      <c r="D121" t="s">
        <v>636</v>
      </c>
      <c r="E121">
        <v>49</v>
      </c>
      <c r="F121" t="s">
        <v>11</v>
      </c>
      <c r="G121">
        <v>4</v>
      </c>
      <c r="H121" t="s">
        <v>12</v>
      </c>
    </row>
    <row r="122" spans="1:8" hidden="1">
      <c r="A122" t="s">
        <v>25</v>
      </c>
      <c r="B122" t="s">
        <v>349</v>
      </c>
      <c r="C122" t="s">
        <v>350</v>
      </c>
      <c r="D122" t="s">
        <v>636</v>
      </c>
      <c r="E122">
        <v>48</v>
      </c>
      <c r="F122" t="s">
        <v>11</v>
      </c>
      <c r="G122">
        <v>4</v>
      </c>
      <c r="H122" t="s">
        <v>12</v>
      </c>
    </row>
    <row r="123" spans="1:8" hidden="1">
      <c r="A123" t="s">
        <v>279</v>
      </c>
      <c r="B123" t="s">
        <v>280</v>
      </c>
      <c r="C123" t="s">
        <v>281</v>
      </c>
      <c r="D123" t="s">
        <v>636</v>
      </c>
      <c r="E123">
        <v>47</v>
      </c>
      <c r="F123" t="s">
        <v>11</v>
      </c>
      <c r="G123">
        <v>4</v>
      </c>
      <c r="H123" t="s">
        <v>12</v>
      </c>
    </row>
    <row r="124" spans="1:8" hidden="1">
      <c r="A124" t="s">
        <v>279</v>
      </c>
      <c r="B124" t="s">
        <v>353</v>
      </c>
      <c r="C124" t="s">
        <v>354</v>
      </c>
      <c r="D124" t="s">
        <v>636</v>
      </c>
      <c r="E124">
        <v>50</v>
      </c>
      <c r="F124" t="s">
        <v>11</v>
      </c>
      <c r="G124">
        <v>4</v>
      </c>
      <c r="H124" t="s">
        <v>12</v>
      </c>
    </row>
    <row r="125" spans="1:8" hidden="1">
      <c r="A125" t="s">
        <v>279</v>
      </c>
      <c r="B125" t="s">
        <v>286</v>
      </c>
      <c r="C125" t="s">
        <v>287</v>
      </c>
      <c r="D125" t="s">
        <v>636</v>
      </c>
      <c r="E125">
        <v>48</v>
      </c>
      <c r="F125" t="s">
        <v>11</v>
      </c>
      <c r="G125">
        <v>4</v>
      </c>
      <c r="H125" t="s">
        <v>12</v>
      </c>
    </row>
    <row r="126" spans="1:8" hidden="1">
      <c r="A126" t="s">
        <v>279</v>
      </c>
      <c r="B126" t="s">
        <v>357</v>
      </c>
      <c r="C126" t="s">
        <v>358</v>
      </c>
      <c r="D126" t="s">
        <v>636</v>
      </c>
      <c r="E126">
        <v>40</v>
      </c>
      <c r="F126" t="s">
        <v>11</v>
      </c>
      <c r="G126">
        <v>4</v>
      </c>
      <c r="H126" t="s">
        <v>12</v>
      </c>
    </row>
    <row r="127" spans="1:8" hidden="1">
      <c r="A127" t="s">
        <v>279</v>
      </c>
      <c r="B127" t="s">
        <v>687</v>
      </c>
      <c r="C127" t="s">
        <v>688</v>
      </c>
      <c r="D127" t="s">
        <v>636</v>
      </c>
      <c r="E127">
        <v>47</v>
      </c>
      <c r="F127" t="s">
        <v>11</v>
      </c>
      <c r="G127">
        <v>4</v>
      </c>
      <c r="H127" t="s">
        <v>12</v>
      </c>
    </row>
    <row r="128" spans="1:8" hidden="1">
      <c r="A128" t="s">
        <v>279</v>
      </c>
      <c r="B128" t="s">
        <v>361</v>
      </c>
      <c r="C128" t="s">
        <v>362</v>
      </c>
      <c r="D128" t="s">
        <v>636</v>
      </c>
      <c r="E128">
        <v>40</v>
      </c>
      <c r="F128" t="s">
        <v>11</v>
      </c>
      <c r="G128">
        <v>4</v>
      </c>
      <c r="H128" t="s">
        <v>12</v>
      </c>
    </row>
    <row r="129" spans="1:8" hidden="1">
      <c r="A129" t="s">
        <v>279</v>
      </c>
      <c r="B129" t="s">
        <v>584</v>
      </c>
      <c r="C129" t="s">
        <v>585</v>
      </c>
      <c r="D129" t="s">
        <v>636</v>
      </c>
      <c r="E129">
        <v>40</v>
      </c>
      <c r="F129" t="s">
        <v>11</v>
      </c>
      <c r="G129">
        <v>4</v>
      </c>
      <c r="H129" t="s">
        <v>12</v>
      </c>
    </row>
    <row r="130" spans="1:8" hidden="1">
      <c r="A130" t="s">
        <v>174</v>
      </c>
      <c r="B130" t="s">
        <v>177</v>
      </c>
      <c r="C130" t="s">
        <v>178</v>
      </c>
      <c r="D130" t="s">
        <v>636</v>
      </c>
      <c r="E130">
        <v>50</v>
      </c>
      <c r="F130" t="s">
        <v>11</v>
      </c>
      <c r="G130">
        <v>4</v>
      </c>
      <c r="H130" t="s">
        <v>12</v>
      </c>
    </row>
    <row r="131" spans="1:8" hidden="1">
      <c r="A131" t="s">
        <v>174</v>
      </c>
      <c r="B131" t="s">
        <v>495</v>
      </c>
      <c r="C131" t="s">
        <v>496</v>
      </c>
      <c r="D131" t="s">
        <v>636</v>
      </c>
      <c r="E131">
        <v>50</v>
      </c>
      <c r="F131" t="s">
        <v>11</v>
      </c>
      <c r="G131">
        <v>4</v>
      </c>
      <c r="H131" t="s">
        <v>12</v>
      </c>
    </row>
    <row r="132" spans="1:8" hidden="1">
      <c r="A132" t="s">
        <v>174</v>
      </c>
      <c r="B132" t="s">
        <v>679</v>
      </c>
      <c r="C132" t="s">
        <v>680</v>
      </c>
      <c r="D132" t="s">
        <v>636</v>
      </c>
      <c r="E132">
        <v>52</v>
      </c>
      <c r="F132" t="s">
        <v>11</v>
      </c>
      <c r="G132">
        <v>4</v>
      </c>
      <c r="H132" t="s">
        <v>12</v>
      </c>
    </row>
    <row r="133" spans="1:8" hidden="1">
      <c r="A133" t="s">
        <v>174</v>
      </c>
      <c r="B133" t="s">
        <v>189</v>
      </c>
      <c r="C133" t="s">
        <v>190</v>
      </c>
      <c r="D133" t="s">
        <v>636</v>
      </c>
      <c r="E133">
        <v>51</v>
      </c>
      <c r="F133" t="s">
        <v>11</v>
      </c>
      <c r="G133">
        <v>4</v>
      </c>
      <c r="H133" t="s">
        <v>12</v>
      </c>
    </row>
    <row r="134" spans="1:8" hidden="1">
      <c r="A134" t="s">
        <v>174</v>
      </c>
      <c r="B134" t="s">
        <v>191</v>
      </c>
      <c r="C134" t="s">
        <v>151</v>
      </c>
      <c r="D134" t="s">
        <v>636</v>
      </c>
      <c r="E134">
        <v>50</v>
      </c>
      <c r="F134" t="s">
        <v>11</v>
      </c>
      <c r="G134">
        <v>4</v>
      </c>
      <c r="H134" t="s">
        <v>12</v>
      </c>
    </row>
    <row r="135" spans="1:8" hidden="1">
      <c r="A135" t="s">
        <v>174</v>
      </c>
      <c r="B135" t="s">
        <v>505</v>
      </c>
      <c r="C135" t="s">
        <v>506</v>
      </c>
      <c r="D135" t="s">
        <v>636</v>
      </c>
      <c r="E135">
        <v>40</v>
      </c>
      <c r="F135" t="s">
        <v>11</v>
      </c>
      <c r="G135">
        <v>4</v>
      </c>
      <c r="H135" t="s">
        <v>12</v>
      </c>
    </row>
    <row r="136" spans="1:8" hidden="1">
      <c r="A136" t="s">
        <v>44</v>
      </c>
      <c r="B136" t="s">
        <v>610</v>
      </c>
      <c r="C136" t="s">
        <v>611</v>
      </c>
      <c r="D136" t="s">
        <v>636</v>
      </c>
      <c r="E136">
        <v>40</v>
      </c>
      <c r="F136" t="s">
        <v>11</v>
      </c>
      <c r="G136">
        <v>4</v>
      </c>
      <c r="H136" t="s">
        <v>12</v>
      </c>
    </row>
    <row r="137" spans="1:8" hidden="1">
      <c r="A137" t="s">
        <v>44</v>
      </c>
      <c r="B137" t="s">
        <v>51</v>
      </c>
      <c r="C137" t="s">
        <v>52</v>
      </c>
      <c r="D137" t="s">
        <v>636</v>
      </c>
      <c r="E137">
        <v>40</v>
      </c>
      <c r="F137" t="s">
        <v>11</v>
      </c>
      <c r="G137">
        <v>4</v>
      </c>
      <c r="H137" t="s">
        <v>12</v>
      </c>
    </row>
    <row r="138" spans="1:8" hidden="1">
      <c r="A138" t="s">
        <v>44</v>
      </c>
      <c r="B138" t="s">
        <v>681</v>
      </c>
      <c r="C138" t="s">
        <v>682</v>
      </c>
      <c r="D138" t="s">
        <v>636</v>
      </c>
      <c r="E138">
        <v>48</v>
      </c>
      <c r="F138" t="s">
        <v>11</v>
      </c>
      <c r="G138">
        <v>4</v>
      </c>
      <c r="H138" t="s">
        <v>12</v>
      </c>
    </row>
    <row r="139" spans="1:8" hidden="1">
      <c r="A139" t="s">
        <v>44</v>
      </c>
      <c r="B139" t="s">
        <v>683</v>
      </c>
      <c r="C139" t="s">
        <v>684</v>
      </c>
      <c r="D139" t="s">
        <v>636</v>
      </c>
      <c r="E139">
        <v>52</v>
      </c>
      <c r="F139" t="s">
        <v>11</v>
      </c>
      <c r="G139">
        <v>4</v>
      </c>
      <c r="H139" t="s">
        <v>12</v>
      </c>
    </row>
    <row r="140" spans="1:8" hidden="1">
      <c r="A140" t="s">
        <v>44</v>
      </c>
      <c r="B140" t="s">
        <v>685</v>
      </c>
      <c r="C140" t="s">
        <v>686</v>
      </c>
      <c r="D140" t="s">
        <v>636</v>
      </c>
      <c r="E140">
        <v>52</v>
      </c>
      <c r="F140" t="s">
        <v>11</v>
      </c>
      <c r="G140">
        <v>4</v>
      </c>
      <c r="H140" t="s">
        <v>12</v>
      </c>
    </row>
    <row r="141" spans="1:8" hidden="1">
      <c r="A141" t="s">
        <v>44</v>
      </c>
      <c r="B141" t="s">
        <v>59</v>
      </c>
      <c r="C141" t="s">
        <v>60</v>
      </c>
      <c r="D141" t="s">
        <v>636</v>
      </c>
      <c r="E141">
        <v>47</v>
      </c>
      <c r="F141" t="s">
        <v>11</v>
      </c>
      <c r="G141">
        <v>4</v>
      </c>
      <c r="H141" t="s">
        <v>12</v>
      </c>
    </row>
    <row r="142" spans="1:8" hidden="1">
      <c r="A142" t="s">
        <v>44</v>
      </c>
      <c r="B142" t="s">
        <v>61</v>
      </c>
      <c r="C142" t="s">
        <v>62</v>
      </c>
      <c r="D142" t="s">
        <v>636</v>
      </c>
      <c r="E142">
        <v>54</v>
      </c>
      <c r="F142" t="s">
        <v>11</v>
      </c>
      <c r="G142">
        <v>4</v>
      </c>
      <c r="H142" t="s">
        <v>12</v>
      </c>
    </row>
    <row r="143" spans="1:8" hidden="1">
      <c r="A143" t="s">
        <v>44</v>
      </c>
      <c r="B143" t="s">
        <v>63</v>
      </c>
      <c r="C143" t="s">
        <v>64</v>
      </c>
      <c r="D143" t="s">
        <v>636</v>
      </c>
      <c r="E143">
        <v>53</v>
      </c>
      <c r="F143" t="s">
        <v>11</v>
      </c>
      <c r="G143">
        <v>4</v>
      </c>
      <c r="H143" t="s">
        <v>12</v>
      </c>
    </row>
    <row r="144" spans="1:8" hidden="1">
      <c r="A144" t="s">
        <v>44</v>
      </c>
      <c r="B144" t="s">
        <v>461</v>
      </c>
      <c r="C144" t="s">
        <v>462</v>
      </c>
      <c r="D144" t="s">
        <v>636</v>
      </c>
      <c r="E144">
        <v>50</v>
      </c>
      <c r="F144" t="s">
        <v>11</v>
      </c>
      <c r="G144">
        <v>4</v>
      </c>
      <c r="H144" t="s">
        <v>12</v>
      </c>
    </row>
    <row r="145" spans="1:8" hidden="1">
      <c r="A145" t="s">
        <v>158</v>
      </c>
      <c r="B145" t="s">
        <v>637</v>
      </c>
      <c r="C145" t="s">
        <v>638</v>
      </c>
      <c r="D145" t="s">
        <v>636</v>
      </c>
      <c r="E145">
        <v>45</v>
      </c>
      <c r="F145" t="s">
        <v>11</v>
      </c>
      <c r="G145">
        <v>4</v>
      </c>
      <c r="H145" t="s">
        <v>12</v>
      </c>
    </row>
    <row r="146" spans="1:8" hidden="1">
      <c r="A146" t="s">
        <v>158</v>
      </c>
      <c r="B146" t="s">
        <v>639</v>
      </c>
      <c r="C146" t="s">
        <v>640</v>
      </c>
      <c r="D146" t="s">
        <v>636</v>
      </c>
      <c r="E146">
        <v>40</v>
      </c>
      <c r="F146" t="s">
        <v>11</v>
      </c>
      <c r="G146">
        <v>4</v>
      </c>
      <c r="H146" t="s">
        <v>12</v>
      </c>
    </row>
    <row r="147" spans="1:8" hidden="1">
      <c r="A147" t="s">
        <v>158</v>
      </c>
      <c r="B147" t="s">
        <v>641</v>
      </c>
      <c r="C147" t="s">
        <v>642</v>
      </c>
      <c r="D147" t="s">
        <v>636</v>
      </c>
      <c r="E147">
        <v>40</v>
      </c>
      <c r="F147" t="s">
        <v>11</v>
      </c>
      <c r="G147">
        <v>4</v>
      </c>
      <c r="H147" t="s">
        <v>12</v>
      </c>
    </row>
    <row r="148" spans="1:8" hidden="1">
      <c r="A148" t="s">
        <v>158</v>
      </c>
      <c r="B148" t="s">
        <v>513</v>
      </c>
      <c r="C148" t="s">
        <v>514</v>
      </c>
      <c r="D148" t="s">
        <v>636</v>
      </c>
      <c r="E148">
        <v>50</v>
      </c>
      <c r="F148" t="s">
        <v>11</v>
      </c>
      <c r="G148">
        <v>4</v>
      </c>
      <c r="H148" t="s">
        <v>12</v>
      </c>
    </row>
    <row r="149" spans="1:8" hidden="1">
      <c r="A149" t="s">
        <v>97</v>
      </c>
      <c r="B149" t="s">
        <v>110</v>
      </c>
      <c r="C149" t="s">
        <v>111</v>
      </c>
      <c r="D149" t="s">
        <v>636</v>
      </c>
      <c r="E149">
        <v>38</v>
      </c>
      <c r="F149" t="s">
        <v>11</v>
      </c>
      <c r="G149">
        <v>4</v>
      </c>
      <c r="H149" t="s">
        <v>12</v>
      </c>
    </row>
    <row r="150" spans="1:8" hidden="1">
      <c r="A150" t="s">
        <v>65</v>
      </c>
      <c r="B150" t="s">
        <v>72</v>
      </c>
      <c r="C150" t="s">
        <v>73</v>
      </c>
      <c r="D150" t="s">
        <v>636</v>
      </c>
      <c r="E150">
        <v>54</v>
      </c>
      <c r="F150" t="s">
        <v>11</v>
      </c>
      <c r="G150">
        <v>4</v>
      </c>
      <c r="H150" t="s">
        <v>12</v>
      </c>
    </row>
    <row r="151" spans="1:8" hidden="1">
      <c r="A151" t="s">
        <v>65</v>
      </c>
      <c r="B151" t="s">
        <v>74</v>
      </c>
      <c r="C151" t="s">
        <v>75</v>
      </c>
      <c r="D151" t="s">
        <v>636</v>
      </c>
      <c r="E151">
        <v>48</v>
      </c>
      <c r="F151" t="s">
        <v>11</v>
      </c>
      <c r="G151">
        <v>4</v>
      </c>
      <c r="H151" t="s">
        <v>12</v>
      </c>
    </row>
    <row r="152" spans="1:8" hidden="1">
      <c r="A152" t="s">
        <v>65</v>
      </c>
      <c r="B152" t="s">
        <v>689</v>
      </c>
      <c r="C152" t="s">
        <v>690</v>
      </c>
      <c r="D152" t="s">
        <v>636</v>
      </c>
      <c r="E152">
        <v>54</v>
      </c>
      <c r="F152" t="s">
        <v>11</v>
      </c>
      <c r="G152">
        <v>4</v>
      </c>
      <c r="H152" t="s">
        <v>12</v>
      </c>
    </row>
    <row r="153" spans="1:8" hidden="1">
      <c r="A153" t="s">
        <v>65</v>
      </c>
      <c r="B153" t="s">
        <v>691</v>
      </c>
      <c r="C153" t="s">
        <v>692</v>
      </c>
      <c r="D153" t="s">
        <v>636</v>
      </c>
      <c r="E153">
        <v>57</v>
      </c>
      <c r="F153" t="s">
        <v>11</v>
      </c>
      <c r="G153">
        <v>4</v>
      </c>
      <c r="H153" t="s">
        <v>12</v>
      </c>
    </row>
    <row r="154" spans="1:8" hidden="1">
      <c r="A154" t="s">
        <v>65</v>
      </c>
      <c r="B154" t="s">
        <v>78</v>
      </c>
      <c r="C154" t="s">
        <v>79</v>
      </c>
      <c r="D154" t="s">
        <v>636</v>
      </c>
      <c r="E154">
        <v>53</v>
      </c>
      <c r="F154" t="s">
        <v>11</v>
      </c>
      <c r="G154">
        <v>4</v>
      </c>
      <c r="H154" t="s">
        <v>12</v>
      </c>
    </row>
    <row r="155" spans="1:8" hidden="1">
      <c r="A155" t="s">
        <v>65</v>
      </c>
      <c r="B155" t="s">
        <v>80</v>
      </c>
      <c r="C155" t="s">
        <v>81</v>
      </c>
      <c r="D155" t="s">
        <v>636</v>
      </c>
      <c r="E155">
        <v>55</v>
      </c>
      <c r="F155" t="s">
        <v>11</v>
      </c>
      <c r="G155">
        <v>4</v>
      </c>
      <c r="H155" t="s">
        <v>12</v>
      </c>
    </row>
    <row r="156" spans="1:8" hidden="1">
      <c r="A156" t="s">
        <v>301</v>
      </c>
      <c r="B156" t="s">
        <v>463</v>
      </c>
      <c r="C156" t="s">
        <v>464</v>
      </c>
      <c r="D156" t="s">
        <v>636</v>
      </c>
      <c r="E156">
        <v>40</v>
      </c>
      <c r="F156" t="s">
        <v>11</v>
      </c>
      <c r="G156">
        <v>4</v>
      </c>
      <c r="H156" t="s">
        <v>12</v>
      </c>
    </row>
    <row r="157" spans="1:8" hidden="1">
      <c r="A157" t="s">
        <v>301</v>
      </c>
      <c r="B157" t="s">
        <v>306</v>
      </c>
      <c r="C157" t="s">
        <v>307</v>
      </c>
      <c r="D157" t="s">
        <v>636</v>
      </c>
      <c r="E157">
        <v>50</v>
      </c>
      <c r="F157" t="s">
        <v>11</v>
      </c>
      <c r="G157">
        <v>4</v>
      </c>
      <c r="H157" t="s">
        <v>12</v>
      </c>
    </row>
    <row r="158" spans="1:8" hidden="1">
      <c r="A158" t="s">
        <v>301</v>
      </c>
      <c r="B158" t="s">
        <v>308</v>
      </c>
      <c r="C158" t="s">
        <v>309</v>
      </c>
      <c r="D158" t="s">
        <v>636</v>
      </c>
      <c r="E158">
        <v>40</v>
      </c>
      <c r="F158" t="s">
        <v>11</v>
      </c>
      <c r="G158">
        <v>4</v>
      </c>
      <c r="H158" t="s">
        <v>12</v>
      </c>
    </row>
    <row r="159" spans="1:8" hidden="1">
      <c r="A159" t="s">
        <v>301</v>
      </c>
      <c r="B159" t="s">
        <v>310</v>
      </c>
      <c r="C159" t="s">
        <v>311</v>
      </c>
      <c r="D159" t="s">
        <v>636</v>
      </c>
      <c r="E159">
        <v>43</v>
      </c>
      <c r="F159" t="s">
        <v>11</v>
      </c>
      <c r="G159">
        <v>4</v>
      </c>
      <c r="H159" t="s">
        <v>12</v>
      </c>
    </row>
    <row r="160" spans="1:8" hidden="1">
      <c r="A160" t="s">
        <v>301</v>
      </c>
      <c r="B160" t="s">
        <v>314</v>
      </c>
      <c r="C160" t="s">
        <v>315</v>
      </c>
      <c r="D160" t="s">
        <v>636</v>
      </c>
      <c r="E160">
        <v>40</v>
      </c>
      <c r="F160" t="s">
        <v>11</v>
      </c>
      <c r="G160">
        <v>4</v>
      </c>
      <c r="H160" t="s">
        <v>12</v>
      </c>
    </row>
    <row r="161" spans="1:8" hidden="1">
      <c r="A161" t="s">
        <v>301</v>
      </c>
      <c r="B161" t="s">
        <v>316</v>
      </c>
      <c r="C161" t="s">
        <v>317</v>
      </c>
      <c r="D161" t="s">
        <v>636</v>
      </c>
      <c r="E161">
        <v>50</v>
      </c>
      <c r="F161" t="s">
        <v>11</v>
      </c>
      <c r="G161">
        <v>4</v>
      </c>
      <c r="H161" t="s">
        <v>12</v>
      </c>
    </row>
    <row r="162" spans="1:8" hidden="1">
      <c r="A162" t="s">
        <v>301</v>
      </c>
      <c r="B162" t="s">
        <v>467</v>
      </c>
      <c r="C162" t="s">
        <v>468</v>
      </c>
      <c r="D162" t="s">
        <v>636</v>
      </c>
      <c r="E162">
        <v>44</v>
      </c>
      <c r="F162" t="s">
        <v>11</v>
      </c>
      <c r="G162">
        <v>4</v>
      </c>
      <c r="H162" t="s">
        <v>12</v>
      </c>
    </row>
    <row r="163" spans="1:8" hidden="1">
      <c r="A163" t="s">
        <v>301</v>
      </c>
      <c r="B163" t="s">
        <v>469</v>
      </c>
      <c r="C163" t="s">
        <v>470</v>
      </c>
      <c r="D163" t="s">
        <v>636</v>
      </c>
      <c r="E163">
        <v>43</v>
      </c>
      <c r="F163" t="s">
        <v>11</v>
      </c>
      <c r="G163">
        <v>4</v>
      </c>
      <c r="H163" t="s">
        <v>12</v>
      </c>
    </row>
    <row r="164" spans="1:8" hidden="1">
      <c r="A164" t="s">
        <v>301</v>
      </c>
      <c r="B164" t="s">
        <v>320</v>
      </c>
      <c r="C164" t="s">
        <v>321</v>
      </c>
      <c r="D164" t="s">
        <v>636</v>
      </c>
      <c r="E164">
        <v>40</v>
      </c>
      <c r="F164" t="s">
        <v>11</v>
      </c>
      <c r="G164">
        <v>4</v>
      </c>
      <c r="H164" t="s">
        <v>12</v>
      </c>
    </row>
    <row r="165" spans="1:8" hidden="1">
      <c r="A165" t="s">
        <v>301</v>
      </c>
      <c r="B165" t="s">
        <v>677</v>
      </c>
      <c r="C165" t="s">
        <v>678</v>
      </c>
      <c r="D165" t="s">
        <v>636</v>
      </c>
      <c r="E165">
        <v>45</v>
      </c>
      <c r="F165" t="s">
        <v>11</v>
      </c>
      <c r="G165">
        <v>4</v>
      </c>
      <c r="H165" t="s">
        <v>12</v>
      </c>
    </row>
    <row r="166" spans="1:8" hidden="1">
      <c r="A166" t="s">
        <v>194</v>
      </c>
      <c r="B166" t="s">
        <v>203</v>
      </c>
      <c r="C166" t="s">
        <v>204</v>
      </c>
      <c r="D166" t="s">
        <v>636</v>
      </c>
      <c r="E166">
        <v>40</v>
      </c>
      <c r="F166" t="s">
        <v>11</v>
      </c>
      <c r="G166">
        <v>4</v>
      </c>
      <c r="H166" t="s">
        <v>12</v>
      </c>
    </row>
    <row r="167" spans="1:8" hidden="1">
      <c r="A167" t="s">
        <v>194</v>
      </c>
      <c r="B167" t="s">
        <v>527</v>
      </c>
      <c r="C167" t="s">
        <v>528</v>
      </c>
      <c r="D167" t="s">
        <v>636</v>
      </c>
      <c r="E167">
        <v>40</v>
      </c>
      <c r="F167" t="s">
        <v>11</v>
      </c>
      <c r="G167">
        <v>4</v>
      </c>
      <c r="H167" t="s">
        <v>12</v>
      </c>
    </row>
    <row r="168" spans="1:8" hidden="1">
      <c r="A168" t="s">
        <v>322</v>
      </c>
      <c r="B168" t="s">
        <v>325</v>
      </c>
      <c r="C168" t="s">
        <v>326</v>
      </c>
      <c r="D168" t="s">
        <v>636</v>
      </c>
      <c r="E168">
        <v>50</v>
      </c>
      <c r="F168" t="s">
        <v>11</v>
      </c>
      <c r="G168">
        <v>4</v>
      </c>
      <c r="H168" t="s">
        <v>12</v>
      </c>
    </row>
    <row r="169" spans="1:8" hidden="1">
      <c r="A169" t="s">
        <v>217</v>
      </c>
      <c r="B169" t="s">
        <v>220</v>
      </c>
      <c r="C169" t="s">
        <v>221</v>
      </c>
      <c r="D169" t="s">
        <v>636</v>
      </c>
      <c r="E169">
        <v>40</v>
      </c>
      <c r="F169" t="s">
        <v>11</v>
      </c>
      <c r="G169">
        <v>4</v>
      </c>
      <c r="H169" t="s">
        <v>12</v>
      </c>
    </row>
    <row r="170" spans="1:8" hidden="1">
      <c r="A170" t="s">
        <v>217</v>
      </c>
      <c r="B170" t="s">
        <v>224</v>
      </c>
      <c r="C170" t="s">
        <v>225</v>
      </c>
      <c r="D170" t="s">
        <v>636</v>
      </c>
      <c r="E170">
        <v>51</v>
      </c>
      <c r="F170" t="s">
        <v>11</v>
      </c>
      <c r="G170">
        <v>4</v>
      </c>
      <c r="H170" t="s">
        <v>12</v>
      </c>
    </row>
    <row r="171" spans="1:8" hidden="1">
      <c r="A171" t="s">
        <v>217</v>
      </c>
      <c r="B171" t="s">
        <v>675</v>
      </c>
      <c r="C171" t="s">
        <v>676</v>
      </c>
      <c r="D171" t="s">
        <v>636</v>
      </c>
      <c r="E171">
        <v>31</v>
      </c>
      <c r="F171" t="s">
        <v>11</v>
      </c>
      <c r="G171">
        <v>4</v>
      </c>
      <c r="H171" t="s">
        <v>12</v>
      </c>
    </row>
    <row r="172" spans="1:8" hidden="1">
      <c r="A172" t="s">
        <v>217</v>
      </c>
      <c r="B172" t="s">
        <v>232</v>
      </c>
      <c r="C172" t="s">
        <v>233</v>
      </c>
      <c r="D172" t="s">
        <v>636</v>
      </c>
      <c r="E172">
        <v>40</v>
      </c>
      <c r="F172" t="s">
        <v>11</v>
      </c>
      <c r="G172">
        <v>4</v>
      </c>
      <c r="H172" t="s">
        <v>12</v>
      </c>
    </row>
    <row r="173" spans="1:8" hidden="1">
      <c r="A173" t="s">
        <v>234</v>
      </c>
      <c r="B173" t="s">
        <v>643</v>
      </c>
      <c r="C173" t="s">
        <v>644</v>
      </c>
      <c r="D173" t="s">
        <v>636</v>
      </c>
      <c r="E173">
        <v>51</v>
      </c>
      <c r="F173" t="s">
        <v>11</v>
      </c>
      <c r="G173">
        <v>3</v>
      </c>
      <c r="H173" t="s">
        <v>12</v>
      </c>
    </row>
    <row r="174" spans="1:8" hidden="1">
      <c r="A174" t="s">
        <v>234</v>
      </c>
      <c r="B174" t="s">
        <v>645</v>
      </c>
      <c r="C174" t="s">
        <v>646</v>
      </c>
      <c r="D174" t="s">
        <v>636</v>
      </c>
      <c r="E174">
        <v>58</v>
      </c>
      <c r="F174" t="s">
        <v>11</v>
      </c>
      <c r="G174">
        <v>3</v>
      </c>
      <c r="H174" t="s">
        <v>12</v>
      </c>
    </row>
    <row r="175" spans="1:8" hidden="1">
      <c r="A175" t="s">
        <v>234</v>
      </c>
      <c r="B175" t="s">
        <v>647</v>
      </c>
      <c r="C175" t="s">
        <v>648</v>
      </c>
      <c r="D175" t="s">
        <v>636</v>
      </c>
      <c r="E175">
        <v>42</v>
      </c>
      <c r="F175" t="s">
        <v>11</v>
      </c>
      <c r="G175">
        <v>3</v>
      </c>
      <c r="H175" t="s">
        <v>12</v>
      </c>
    </row>
    <row r="176" spans="1:8" hidden="1">
      <c r="A176" t="s">
        <v>234</v>
      </c>
      <c r="B176" t="s">
        <v>649</v>
      </c>
      <c r="C176" t="s">
        <v>650</v>
      </c>
      <c r="D176" t="s">
        <v>636</v>
      </c>
      <c r="E176">
        <v>57</v>
      </c>
      <c r="F176" t="s">
        <v>11</v>
      </c>
      <c r="G176">
        <v>3</v>
      </c>
      <c r="H176" t="s">
        <v>12</v>
      </c>
    </row>
    <row r="177" spans="1:8" hidden="1">
      <c r="A177" t="s">
        <v>234</v>
      </c>
      <c r="B177" t="s">
        <v>651</v>
      </c>
      <c r="C177" t="s">
        <v>652</v>
      </c>
      <c r="D177" t="s">
        <v>636</v>
      </c>
      <c r="E177">
        <v>58</v>
      </c>
      <c r="F177" t="s">
        <v>11</v>
      </c>
      <c r="G177">
        <v>3</v>
      </c>
      <c r="H177" t="s">
        <v>12</v>
      </c>
    </row>
    <row r="178" spans="1:8" hidden="1">
      <c r="A178" t="s">
        <v>234</v>
      </c>
      <c r="B178" t="s">
        <v>235</v>
      </c>
      <c r="C178" t="s">
        <v>236</v>
      </c>
      <c r="D178" t="s">
        <v>636</v>
      </c>
      <c r="E178">
        <v>53</v>
      </c>
      <c r="F178" t="s">
        <v>11</v>
      </c>
      <c r="G178">
        <v>3</v>
      </c>
      <c r="H178" t="s">
        <v>12</v>
      </c>
    </row>
    <row r="179" spans="1:8" hidden="1">
      <c r="A179" t="s">
        <v>234</v>
      </c>
      <c r="B179" t="s">
        <v>653</v>
      </c>
      <c r="C179" t="s">
        <v>654</v>
      </c>
      <c r="D179" t="s">
        <v>636</v>
      </c>
      <c r="E179">
        <v>56</v>
      </c>
      <c r="F179" t="s">
        <v>11</v>
      </c>
      <c r="G179">
        <v>3</v>
      </c>
      <c r="H179" t="s">
        <v>12</v>
      </c>
    </row>
    <row r="180" spans="1:8" hidden="1">
      <c r="A180" t="s">
        <v>234</v>
      </c>
      <c r="B180" t="s">
        <v>655</v>
      </c>
      <c r="C180" t="s">
        <v>656</v>
      </c>
      <c r="D180" t="s">
        <v>636</v>
      </c>
      <c r="E180">
        <v>47</v>
      </c>
      <c r="F180" t="s">
        <v>11</v>
      </c>
      <c r="G180">
        <v>3</v>
      </c>
      <c r="H180" t="s">
        <v>12</v>
      </c>
    </row>
    <row r="181" spans="1:8" hidden="1">
      <c r="A181" t="s">
        <v>234</v>
      </c>
      <c r="B181" t="s">
        <v>657</v>
      </c>
      <c r="C181" t="s">
        <v>658</v>
      </c>
      <c r="D181" t="s">
        <v>636</v>
      </c>
      <c r="E181">
        <v>44</v>
      </c>
      <c r="F181" t="s">
        <v>11</v>
      </c>
      <c r="G181">
        <v>3</v>
      </c>
      <c r="H181" t="s">
        <v>12</v>
      </c>
    </row>
    <row r="182" spans="1:8" hidden="1">
      <c r="A182" t="s">
        <v>335</v>
      </c>
      <c r="B182" t="s">
        <v>387</v>
      </c>
      <c r="C182" t="s">
        <v>388</v>
      </c>
      <c r="D182" t="s">
        <v>636</v>
      </c>
      <c r="E182">
        <v>53</v>
      </c>
      <c r="F182" t="s">
        <v>11</v>
      </c>
      <c r="G182">
        <v>3</v>
      </c>
      <c r="H182" t="s">
        <v>12</v>
      </c>
    </row>
    <row r="183" spans="1:8" hidden="1">
      <c r="A183" t="s">
        <v>335</v>
      </c>
      <c r="B183" t="s">
        <v>391</v>
      </c>
      <c r="C183" t="s">
        <v>392</v>
      </c>
      <c r="D183" t="s">
        <v>636</v>
      </c>
      <c r="E183">
        <v>40</v>
      </c>
      <c r="F183" t="s">
        <v>11</v>
      </c>
      <c r="G183">
        <v>3</v>
      </c>
      <c r="H183" t="s">
        <v>12</v>
      </c>
    </row>
    <row r="184" spans="1:8" hidden="1">
      <c r="A184" t="s">
        <v>335</v>
      </c>
      <c r="B184" t="s">
        <v>393</v>
      </c>
      <c r="C184" t="s">
        <v>394</v>
      </c>
      <c r="D184" t="s">
        <v>636</v>
      </c>
      <c r="E184">
        <v>42</v>
      </c>
      <c r="F184" t="s">
        <v>11</v>
      </c>
      <c r="G184">
        <v>3</v>
      </c>
      <c r="H184" t="s">
        <v>12</v>
      </c>
    </row>
    <row r="185" spans="1:8" hidden="1">
      <c r="A185" t="s">
        <v>335</v>
      </c>
      <c r="B185" t="s">
        <v>397</v>
      </c>
      <c r="C185" t="s">
        <v>398</v>
      </c>
      <c r="D185" t="s">
        <v>636</v>
      </c>
      <c r="E185">
        <v>53</v>
      </c>
      <c r="F185" t="s">
        <v>11</v>
      </c>
      <c r="G185">
        <v>3</v>
      </c>
      <c r="H185" t="s">
        <v>12</v>
      </c>
    </row>
    <row r="186" spans="1:8" hidden="1">
      <c r="A186" t="s">
        <v>335</v>
      </c>
      <c r="B186" t="s">
        <v>659</v>
      </c>
      <c r="C186" t="s">
        <v>660</v>
      </c>
      <c r="D186" t="s">
        <v>636</v>
      </c>
      <c r="E186">
        <v>42</v>
      </c>
      <c r="F186" t="s">
        <v>11</v>
      </c>
      <c r="G186">
        <v>3</v>
      </c>
      <c r="H186" t="s">
        <v>12</v>
      </c>
    </row>
    <row r="187" spans="1:8" hidden="1">
      <c r="A187" t="s">
        <v>335</v>
      </c>
      <c r="B187" t="s">
        <v>661</v>
      </c>
      <c r="C187" t="s">
        <v>662</v>
      </c>
      <c r="D187" t="s">
        <v>636</v>
      </c>
      <c r="E187">
        <v>59</v>
      </c>
      <c r="F187" t="s">
        <v>11</v>
      </c>
      <c r="G187">
        <v>3</v>
      </c>
      <c r="H187" t="s">
        <v>12</v>
      </c>
    </row>
    <row r="188" spans="1:8" hidden="1">
      <c r="A188" t="s">
        <v>335</v>
      </c>
      <c r="B188" t="s">
        <v>401</v>
      </c>
      <c r="C188" t="s">
        <v>402</v>
      </c>
      <c r="D188" t="s">
        <v>636</v>
      </c>
      <c r="E188">
        <v>49</v>
      </c>
      <c r="F188" t="s">
        <v>11</v>
      </c>
      <c r="G188">
        <v>3</v>
      </c>
      <c r="H188" t="s">
        <v>12</v>
      </c>
    </row>
    <row r="189" spans="1:8" hidden="1">
      <c r="A189" t="s">
        <v>335</v>
      </c>
      <c r="B189" t="s">
        <v>663</v>
      </c>
      <c r="C189" t="s">
        <v>664</v>
      </c>
      <c r="D189" t="s">
        <v>636</v>
      </c>
      <c r="E189">
        <v>41</v>
      </c>
      <c r="F189" t="s">
        <v>11</v>
      </c>
      <c r="G189">
        <v>3</v>
      </c>
      <c r="H189" t="s">
        <v>12</v>
      </c>
    </row>
    <row r="190" spans="1:8" hidden="1">
      <c r="A190" t="s">
        <v>335</v>
      </c>
      <c r="B190" t="s">
        <v>665</v>
      </c>
      <c r="C190" t="s">
        <v>666</v>
      </c>
      <c r="D190" t="s">
        <v>636</v>
      </c>
      <c r="E190">
        <v>45</v>
      </c>
      <c r="F190" t="s">
        <v>11</v>
      </c>
      <c r="G190">
        <v>3</v>
      </c>
      <c r="H190" t="s">
        <v>12</v>
      </c>
    </row>
    <row r="191" spans="1:8" hidden="1">
      <c r="A191" t="s">
        <v>335</v>
      </c>
      <c r="B191" t="s">
        <v>403</v>
      </c>
      <c r="C191" t="s">
        <v>404</v>
      </c>
      <c r="D191" t="s">
        <v>636</v>
      </c>
      <c r="E191">
        <v>40</v>
      </c>
      <c r="F191" t="s">
        <v>11</v>
      </c>
      <c r="G191">
        <v>3</v>
      </c>
      <c r="H191" t="s">
        <v>12</v>
      </c>
    </row>
    <row r="192" spans="1:8" hidden="1">
      <c r="A192" t="s">
        <v>335</v>
      </c>
      <c r="B192" t="s">
        <v>405</v>
      </c>
      <c r="C192" t="s">
        <v>406</v>
      </c>
      <c r="D192" t="s">
        <v>636</v>
      </c>
      <c r="E192">
        <v>40</v>
      </c>
      <c r="F192" t="s">
        <v>11</v>
      </c>
      <c r="G192">
        <v>3</v>
      </c>
      <c r="H192" t="s">
        <v>12</v>
      </c>
    </row>
    <row r="193" spans="1:8" hidden="1">
      <c r="A193" t="s">
        <v>693</v>
      </c>
      <c r="B193" t="s">
        <v>694</v>
      </c>
      <c r="C193" t="s">
        <v>695</v>
      </c>
      <c r="D193" t="s">
        <v>636</v>
      </c>
      <c r="E193">
        <v>55</v>
      </c>
      <c r="F193" t="s">
        <v>11</v>
      </c>
      <c r="G193">
        <v>2</v>
      </c>
      <c r="H193" t="s">
        <v>12</v>
      </c>
    </row>
    <row r="194" spans="1:8" hidden="1">
      <c r="A194" t="s">
        <v>696</v>
      </c>
      <c r="B194" t="s">
        <v>697</v>
      </c>
      <c r="C194" t="s">
        <v>698</v>
      </c>
      <c r="D194" t="s">
        <v>636</v>
      </c>
      <c r="E194">
        <v>42</v>
      </c>
      <c r="F194" t="s">
        <v>11</v>
      </c>
      <c r="G194">
        <v>2</v>
      </c>
      <c r="H194" t="s">
        <v>12</v>
      </c>
    </row>
    <row r="195" spans="1:8" hidden="1">
      <c r="A195" t="s">
        <v>44</v>
      </c>
      <c r="B195" t="s">
        <v>608</v>
      </c>
      <c r="C195" t="s">
        <v>609</v>
      </c>
      <c r="D195" t="s">
        <v>907</v>
      </c>
      <c r="E195">
        <v>40</v>
      </c>
      <c r="F195" t="s">
        <v>11</v>
      </c>
      <c r="G195">
        <v>2</v>
      </c>
      <c r="H195" t="s">
        <v>12</v>
      </c>
    </row>
    <row r="196" spans="1:8" hidden="1">
      <c r="A196" t="s">
        <v>44</v>
      </c>
      <c r="B196" t="s">
        <v>610</v>
      </c>
      <c r="C196" t="s">
        <v>611</v>
      </c>
      <c r="D196" t="s">
        <v>907</v>
      </c>
      <c r="E196">
        <v>40</v>
      </c>
      <c r="F196" t="s">
        <v>11</v>
      </c>
      <c r="G196">
        <v>2</v>
      </c>
      <c r="H196" t="s">
        <v>12</v>
      </c>
    </row>
    <row r="197" spans="1:8" hidden="1">
      <c r="A197" t="s">
        <v>44</v>
      </c>
      <c r="B197" t="s">
        <v>51</v>
      </c>
      <c r="C197" t="s">
        <v>52</v>
      </c>
      <c r="D197" t="s">
        <v>907</v>
      </c>
      <c r="E197">
        <v>41</v>
      </c>
      <c r="F197" t="s">
        <v>11</v>
      </c>
      <c r="G197">
        <v>2</v>
      </c>
      <c r="H197" t="s">
        <v>12</v>
      </c>
    </row>
    <row r="198" spans="1:8" hidden="1">
      <c r="A198" t="s">
        <v>44</v>
      </c>
      <c r="B198" t="s">
        <v>910</v>
      </c>
      <c r="C198" t="s">
        <v>911</v>
      </c>
      <c r="D198" t="s">
        <v>907</v>
      </c>
      <c r="E198">
        <v>40</v>
      </c>
      <c r="F198" t="s">
        <v>11</v>
      </c>
      <c r="G198">
        <v>2</v>
      </c>
      <c r="H198" t="s">
        <v>12</v>
      </c>
    </row>
    <row r="199" spans="1:8" hidden="1">
      <c r="A199" t="s">
        <v>44</v>
      </c>
      <c r="B199" t="s">
        <v>681</v>
      </c>
      <c r="C199" t="s">
        <v>682</v>
      </c>
      <c r="D199" t="s">
        <v>907</v>
      </c>
      <c r="E199">
        <v>40</v>
      </c>
      <c r="F199" t="s">
        <v>11</v>
      </c>
      <c r="G199">
        <v>2</v>
      </c>
      <c r="H199" t="s">
        <v>12</v>
      </c>
    </row>
    <row r="200" spans="1:8" hidden="1">
      <c r="A200" t="s">
        <v>44</v>
      </c>
      <c r="B200" t="s">
        <v>61</v>
      </c>
      <c r="C200" t="s">
        <v>62</v>
      </c>
      <c r="D200" t="s">
        <v>907</v>
      </c>
      <c r="E200">
        <v>40</v>
      </c>
      <c r="F200" t="s">
        <v>11</v>
      </c>
      <c r="G200">
        <v>2</v>
      </c>
      <c r="H200" t="s">
        <v>12</v>
      </c>
    </row>
    <row r="201" spans="1:8" hidden="1">
      <c r="A201" t="s">
        <v>158</v>
      </c>
      <c r="B201" t="s">
        <v>507</v>
      </c>
      <c r="C201" t="s">
        <v>508</v>
      </c>
      <c r="D201" t="s">
        <v>907</v>
      </c>
      <c r="E201">
        <v>40</v>
      </c>
      <c r="F201" t="s">
        <v>11</v>
      </c>
      <c r="G201">
        <v>2</v>
      </c>
      <c r="H201" t="s">
        <v>12</v>
      </c>
    </row>
    <row r="202" spans="1:8" hidden="1">
      <c r="A202" t="s">
        <v>158</v>
      </c>
      <c r="B202" t="s">
        <v>639</v>
      </c>
      <c r="C202" t="s">
        <v>640</v>
      </c>
      <c r="D202" t="s">
        <v>907</v>
      </c>
      <c r="E202">
        <v>42</v>
      </c>
      <c r="F202" t="s">
        <v>11</v>
      </c>
      <c r="G202">
        <v>2</v>
      </c>
      <c r="H202" t="s">
        <v>12</v>
      </c>
    </row>
    <row r="203" spans="1:8" hidden="1">
      <c r="A203" t="s">
        <v>158</v>
      </c>
      <c r="B203" t="s">
        <v>161</v>
      </c>
      <c r="C203" t="s">
        <v>162</v>
      </c>
      <c r="D203" t="s">
        <v>907</v>
      </c>
      <c r="E203">
        <v>40</v>
      </c>
      <c r="F203" t="s">
        <v>11</v>
      </c>
      <c r="G203">
        <v>2</v>
      </c>
      <c r="H203" t="s">
        <v>12</v>
      </c>
    </row>
    <row r="204" spans="1:8" hidden="1">
      <c r="A204" t="s">
        <v>158</v>
      </c>
      <c r="B204" t="s">
        <v>884</v>
      </c>
      <c r="C204" t="s">
        <v>885</v>
      </c>
      <c r="D204" t="s">
        <v>907</v>
      </c>
      <c r="E204">
        <v>40</v>
      </c>
      <c r="F204" t="s">
        <v>11</v>
      </c>
      <c r="G204">
        <v>2</v>
      </c>
      <c r="H204" t="s">
        <v>12</v>
      </c>
    </row>
    <row r="205" spans="1:8" hidden="1">
      <c r="A205" t="s">
        <v>158</v>
      </c>
      <c r="B205" t="s">
        <v>169</v>
      </c>
      <c r="C205" t="s">
        <v>170</v>
      </c>
      <c r="D205" t="s">
        <v>907</v>
      </c>
      <c r="E205">
        <v>40</v>
      </c>
      <c r="F205" t="s">
        <v>11</v>
      </c>
      <c r="G205">
        <v>2</v>
      </c>
      <c r="H205" t="s">
        <v>12</v>
      </c>
    </row>
    <row r="206" spans="1:8" hidden="1">
      <c r="A206" t="s">
        <v>97</v>
      </c>
      <c r="B206" t="s">
        <v>905</v>
      </c>
      <c r="C206" t="s">
        <v>906</v>
      </c>
      <c r="D206" t="s">
        <v>907</v>
      </c>
      <c r="E206">
        <v>50</v>
      </c>
      <c r="F206" t="s">
        <v>11</v>
      </c>
      <c r="G206">
        <v>2</v>
      </c>
      <c r="H206" t="s">
        <v>12</v>
      </c>
    </row>
    <row r="207" spans="1:8" hidden="1">
      <c r="A207" t="s">
        <v>97</v>
      </c>
      <c r="B207" t="s">
        <v>100</v>
      </c>
      <c r="C207" t="s">
        <v>101</v>
      </c>
      <c r="D207" t="s">
        <v>907</v>
      </c>
      <c r="E207">
        <v>41</v>
      </c>
      <c r="F207" t="s">
        <v>11</v>
      </c>
      <c r="G207">
        <v>2</v>
      </c>
      <c r="H207" t="s">
        <v>12</v>
      </c>
    </row>
    <row r="208" spans="1:8" hidden="1">
      <c r="A208" t="s">
        <v>97</v>
      </c>
      <c r="B208" t="s">
        <v>102</v>
      </c>
      <c r="C208" t="s">
        <v>103</v>
      </c>
      <c r="D208" t="s">
        <v>907</v>
      </c>
      <c r="E208">
        <v>49</v>
      </c>
      <c r="F208" t="s">
        <v>11</v>
      </c>
      <c r="G208">
        <v>2</v>
      </c>
      <c r="H208" t="s">
        <v>12</v>
      </c>
    </row>
    <row r="209" spans="1:8" hidden="1">
      <c r="A209" t="s">
        <v>97</v>
      </c>
      <c r="B209" t="s">
        <v>110</v>
      </c>
      <c r="C209" t="s">
        <v>111</v>
      </c>
      <c r="D209" t="s">
        <v>907</v>
      </c>
      <c r="E209">
        <v>35</v>
      </c>
      <c r="F209" t="s">
        <v>11</v>
      </c>
      <c r="G209">
        <v>2</v>
      </c>
      <c r="H209" t="s">
        <v>12</v>
      </c>
    </row>
    <row r="210" spans="1:8" hidden="1">
      <c r="A210" t="s">
        <v>97</v>
      </c>
      <c r="B210" t="s">
        <v>630</v>
      </c>
      <c r="C210" t="s">
        <v>631</v>
      </c>
      <c r="D210" t="s">
        <v>907</v>
      </c>
      <c r="E210">
        <v>45</v>
      </c>
      <c r="F210" t="s">
        <v>11</v>
      </c>
      <c r="G210">
        <v>2</v>
      </c>
      <c r="H210" t="s">
        <v>12</v>
      </c>
    </row>
    <row r="211" spans="1:8" hidden="1">
      <c r="A211" t="s">
        <v>97</v>
      </c>
      <c r="B211" t="s">
        <v>908</v>
      </c>
      <c r="C211" t="s">
        <v>909</v>
      </c>
      <c r="D211" t="s">
        <v>907</v>
      </c>
      <c r="E211">
        <v>54</v>
      </c>
      <c r="F211" t="s">
        <v>11</v>
      </c>
      <c r="G211">
        <v>2</v>
      </c>
      <c r="H211" t="s">
        <v>12</v>
      </c>
    </row>
    <row r="212" spans="1:8" hidden="1">
      <c r="A212" t="s">
        <v>97</v>
      </c>
      <c r="B212" t="s">
        <v>896</v>
      </c>
      <c r="C212" t="s">
        <v>897</v>
      </c>
      <c r="D212" t="s">
        <v>907</v>
      </c>
      <c r="E212">
        <v>38</v>
      </c>
      <c r="F212" t="s">
        <v>11</v>
      </c>
      <c r="G212">
        <v>2</v>
      </c>
      <c r="H212" t="s">
        <v>12</v>
      </c>
    </row>
    <row r="213" spans="1:8" hidden="1">
      <c r="A213" t="s">
        <v>239</v>
      </c>
      <c r="B213" t="s">
        <v>562</v>
      </c>
      <c r="C213" t="s">
        <v>563</v>
      </c>
      <c r="D213" t="s">
        <v>935</v>
      </c>
      <c r="E213">
        <v>50</v>
      </c>
      <c r="F213" t="s">
        <v>11</v>
      </c>
      <c r="G213">
        <v>2</v>
      </c>
      <c r="H213" t="s">
        <v>12</v>
      </c>
    </row>
    <row r="214" spans="1:8" hidden="1">
      <c r="A214" t="s">
        <v>239</v>
      </c>
      <c r="B214" t="s">
        <v>564</v>
      </c>
      <c r="C214" t="s">
        <v>565</v>
      </c>
      <c r="D214" t="s">
        <v>935</v>
      </c>
      <c r="E214">
        <v>53</v>
      </c>
      <c r="F214" t="s">
        <v>11</v>
      </c>
      <c r="G214">
        <v>2</v>
      </c>
      <c r="H214" t="s">
        <v>12</v>
      </c>
    </row>
    <row r="215" spans="1:8" hidden="1">
      <c r="A215" t="s">
        <v>239</v>
      </c>
      <c r="B215" t="s">
        <v>240</v>
      </c>
      <c r="C215" t="s">
        <v>241</v>
      </c>
      <c r="D215" t="s">
        <v>935</v>
      </c>
      <c r="E215">
        <v>44</v>
      </c>
      <c r="F215" t="s">
        <v>11</v>
      </c>
      <c r="G215">
        <v>2</v>
      </c>
      <c r="H215" t="s">
        <v>12</v>
      </c>
    </row>
    <row r="216" spans="1:8" hidden="1">
      <c r="A216" t="s">
        <v>239</v>
      </c>
      <c r="B216" t="s">
        <v>242</v>
      </c>
      <c r="C216" t="s">
        <v>243</v>
      </c>
      <c r="D216" t="s">
        <v>935</v>
      </c>
      <c r="E216">
        <v>51</v>
      </c>
      <c r="F216" t="s">
        <v>11</v>
      </c>
      <c r="G216">
        <v>2</v>
      </c>
      <c r="H216" t="s">
        <v>12</v>
      </c>
    </row>
    <row r="217" spans="1:8" hidden="1">
      <c r="A217" t="s">
        <v>696</v>
      </c>
      <c r="B217" t="s">
        <v>707</v>
      </c>
      <c r="C217" t="s">
        <v>708</v>
      </c>
      <c r="D217" t="s">
        <v>958</v>
      </c>
      <c r="E217">
        <v>53</v>
      </c>
      <c r="F217" t="s">
        <v>11</v>
      </c>
      <c r="G217">
        <v>3</v>
      </c>
      <c r="H217" t="s">
        <v>12</v>
      </c>
    </row>
    <row r="218" spans="1:8" hidden="1">
      <c r="A218" t="s">
        <v>696</v>
      </c>
      <c r="B218" t="s">
        <v>959</v>
      </c>
      <c r="C218" t="s">
        <v>960</v>
      </c>
      <c r="D218" t="s">
        <v>958</v>
      </c>
      <c r="E218">
        <v>47</v>
      </c>
      <c r="F218" t="s">
        <v>11</v>
      </c>
      <c r="G218">
        <v>3</v>
      </c>
      <c r="H218" t="s">
        <v>12</v>
      </c>
    </row>
    <row r="219" spans="1:8" hidden="1">
      <c r="A219" t="s">
        <v>171</v>
      </c>
      <c r="B219" t="s">
        <v>797</v>
      </c>
      <c r="C219" t="s">
        <v>798</v>
      </c>
      <c r="D219" t="s">
        <v>794</v>
      </c>
      <c r="E219">
        <v>43</v>
      </c>
      <c r="F219" t="s">
        <v>11</v>
      </c>
      <c r="G219">
        <v>2</v>
      </c>
      <c r="H219" t="s">
        <v>12</v>
      </c>
    </row>
    <row r="220" spans="1:8" hidden="1">
      <c r="A220" t="s">
        <v>7</v>
      </c>
      <c r="B220" t="s">
        <v>745</v>
      </c>
      <c r="C220" t="s">
        <v>746</v>
      </c>
      <c r="D220" t="s">
        <v>794</v>
      </c>
      <c r="E220">
        <v>41</v>
      </c>
      <c r="F220" t="s">
        <v>11</v>
      </c>
      <c r="G220">
        <v>2</v>
      </c>
      <c r="H220" t="s">
        <v>12</v>
      </c>
    </row>
    <row r="221" spans="1:8" hidden="1">
      <c r="A221" t="s">
        <v>7</v>
      </c>
      <c r="B221" t="s">
        <v>13</v>
      </c>
      <c r="C221" t="s">
        <v>14</v>
      </c>
      <c r="D221" t="s">
        <v>794</v>
      </c>
      <c r="E221">
        <v>51</v>
      </c>
      <c r="F221" t="s">
        <v>11</v>
      </c>
      <c r="G221">
        <v>2</v>
      </c>
      <c r="H221" t="s">
        <v>12</v>
      </c>
    </row>
    <row r="222" spans="1:8" hidden="1">
      <c r="A222" t="s">
        <v>7</v>
      </c>
      <c r="B222" t="s">
        <v>799</v>
      </c>
      <c r="C222" t="s">
        <v>800</v>
      </c>
      <c r="D222" t="s">
        <v>794</v>
      </c>
      <c r="E222">
        <v>54</v>
      </c>
      <c r="F222" t="s">
        <v>11</v>
      </c>
      <c r="G222">
        <v>2</v>
      </c>
      <c r="H222" t="s">
        <v>12</v>
      </c>
    </row>
    <row r="223" spans="1:8" hidden="1">
      <c r="A223" t="s">
        <v>7</v>
      </c>
      <c r="B223" t="s">
        <v>23</v>
      </c>
      <c r="C223" t="s">
        <v>24</v>
      </c>
      <c r="D223" t="s">
        <v>794</v>
      </c>
      <c r="E223">
        <v>42</v>
      </c>
      <c r="F223" t="s">
        <v>11</v>
      </c>
      <c r="G223">
        <v>2</v>
      </c>
      <c r="H223" t="s">
        <v>12</v>
      </c>
    </row>
    <row r="224" spans="1:8" hidden="1">
      <c r="A224" t="s">
        <v>246</v>
      </c>
      <c r="B224" t="s">
        <v>247</v>
      </c>
      <c r="C224" t="s">
        <v>248</v>
      </c>
      <c r="D224" t="s">
        <v>794</v>
      </c>
      <c r="E224">
        <v>50</v>
      </c>
      <c r="F224" t="s">
        <v>11</v>
      </c>
      <c r="G224">
        <v>2</v>
      </c>
      <c r="H224" t="s">
        <v>12</v>
      </c>
    </row>
    <row r="225" spans="1:8" hidden="1">
      <c r="A225" t="s">
        <v>246</v>
      </c>
      <c r="B225" t="s">
        <v>253</v>
      </c>
      <c r="C225" t="s">
        <v>254</v>
      </c>
      <c r="D225" t="s">
        <v>794</v>
      </c>
      <c r="E225">
        <v>54</v>
      </c>
      <c r="F225" t="s">
        <v>11</v>
      </c>
      <c r="G225">
        <v>2</v>
      </c>
      <c r="H225" t="s">
        <v>12</v>
      </c>
    </row>
    <row r="226" spans="1:8" hidden="1">
      <c r="A226" t="s">
        <v>246</v>
      </c>
      <c r="B226" t="s">
        <v>255</v>
      </c>
      <c r="C226" t="s">
        <v>256</v>
      </c>
      <c r="D226" t="s">
        <v>794</v>
      </c>
      <c r="E226">
        <v>51</v>
      </c>
      <c r="F226" t="s">
        <v>11</v>
      </c>
      <c r="G226">
        <v>2</v>
      </c>
      <c r="H226" t="s">
        <v>12</v>
      </c>
    </row>
    <row r="227" spans="1:8" hidden="1">
      <c r="A227" t="s">
        <v>246</v>
      </c>
      <c r="B227" t="s">
        <v>259</v>
      </c>
      <c r="C227" t="s">
        <v>260</v>
      </c>
      <c r="D227" t="s">
        <v>794</v>
      </c>
      <c r="E227">
        <v>50</v>
      </c>
      <c r="F227" t="s">
        <v>11</v>
      </c>
      <c r="G227">
        <v>2</v>
      </c>
      <c r="H227" t="s">
        <v>12</v>
      </c>
    </row>
    <row r="228" spans="1:8" hidden="1">
      <c r="A228" t="s">
        <v>246</v>
      </c>
      <c r="B228" t="s">
        <v>590</v>
      </c>
      <c r="C228" t="s">
        <v>591</v>
      </c>
      <c r="D228" t="s">
        <v>794</v>
      </c>
      <c r="E228">
        <v>43</v>
      </c>
      <c r="F228" t="s">
        <v>11</v>
      </c>
      <c r="G228">
        <v>2</v>
      </c>
      <c r="H228" t="s">
        <v>12</v>
      </c>
    </row>
    <row r="229" spans="1:8" hidden="1">
      <c r="A229" t="s">
        <v>246</v>
      </c>
      <c r="B229" t="s">
        <v>261</v>
      </c>
      <c r="C229" t="s">
        <v>262</v>
      </c>
      <c r="D229" t="s">
        <v>794</v>
      </c>
      <c r="E229">
        <v>53</v>
      </c>
      <c r="F229" t="s">
        <v>11</v>
      </c>
      <c r="G229">
        <v>2</v>
      </c>
      <c r="H229" t="s">
        <v>12</v>
      </c>
    </row>
    <row r="230" spans="1:8" hidden="1">
      <c r="A230" t="s">
        <v>246</v>
      </c>
      <c r="B230" t="s">
        <v>269</v>
      </c>
      <c r="C230" t="s">
        <v>270</v>
      </c>
      <c r="D230" t="s">
        <v>794</v>
      </c>
      <c r="E230">
        <v>43</v>
      </c>
      <c r="F230" t="s">
        <v>11</v>
      </c>
      <c r="G230">
        <v>2</v>
      </c>
      <c r="H230" t="s">
        <v>12</v>
      </c>
    </row>
    <row r="231" spans="1:8" hidden="1">
      <c r="A231" t="s">
        <v>246</v>
      </c>
      <c r="B231" t="s">
        <v>596</v>
      </c>
      <c r="C231" t="s">
        <v>597</v>
      </c>
      <c r="D231" t="s">
        <v>794</v>
      </c>
      <c r="E231">
        <v>43</v>
      </c>
      <c r="F231" t="s">
        <v>11</v>
      </c>
      <c r="G231">
        <v>2</v>
      </c>
      <c r="H231" t="s">
        <v>12</v>
      </c>
    </row>
    <row r="232" spans="1:8" hidden="1">
      <c r="A232" t="s">
        <v>246</v>
      </c>
      <c r="B232" t="s">
        <v>271</v>
      </c>
      <c r="C232" t="s">
        <v>272</v>
      </c>
      <c r="D232" t="s">
        <v>794</v>
      </c>
      <c r="E232">
        <v>54</v>
      </c>
      <c r="F232" t="s">
        <v>11</v>
      </c>
      <c r="G232">
        <v>2</v>
      </c>
      <c r="H232" t="s">
        <v>12</v>
      </c>
    </row>
    <row r="233" spans="1:8" hidden="1">
      <c r="A233" t="s">
        <v>246</v>
      </c>
      <c r="B233" t="s">
        <v>598</v>
      </c>
      <c r="C233" t="s">
        <v>599</v>
      </c>
      <c r="D233" t="s">
        <v>794</v>
      </c>
      <c r="E233">
        <v>52</v>
      </c>
      <c r="F233" t="s">
        <v>11</v>
      </c>
      <c r="G233">
        <v>2</v>
      </c>
      <c r="H233" t="s">
        <v>12</v>
      </c>
    </row>
    <row r="234" spans="1:8" hidden="1">
      <c r="A234" t="s">
        <v>246</v>
      </c>
      <c r="B234" t="s">
        <v>600</v>
      </c>
      <c r="C234" t="s">
        <v>601</v>
      </c>
      <c r="D234" t="s">
        <v>794</v>
      </c>
      <c r="E234">
        <v>53</v>
      </c>
      <c r="F234" t="s">
        <v>11</v>
      </c>
      <c r="G234">
        <v>2</v>
      </c>
      <c r="H234" t="s">
        <v>12</v>
      </c>
    </row>
    <row r="235" spans="1:8" hidden="1">
      <c r="A235" t="s">
        <v>246</v>
      </c>
      <c r="B235" t="s">
        <v>273</v>
      </c>
      <c r="C235" t="s">
        <v>274</v>
      </c>
      <c r="D235" t="s">
        <v>794</v>
      </c>
      <c r="E235">
        <v>43</v>
      </c>
      <c r="F235" t="s">
        <v>11</v>
      </c>
      <c r="G235">
        <v>2</v>
      </c>
      <c r="H235" t="s">
        <v>12</v>
      </c>
    </row>
    <row r="236" spans="1:8" hidden="1">
      <c r="A236" t="s">
        <v>246</v>
      </c>
      <c r="B236" t="s">
        <v>415</v>
      </c>
      <c r="C236" t="s">
        <v>416</v>
      </c>
      <c r="D236" t="s">
        <v>794</v>
      </c>
      <c r="E236">
        <v>46</v>
      </c>
      <c r="F236" t="s">
        <v>11</v>
      </c>
      <c r="G236">
        <v>2</v>
      </c>
      <c r="H236" t="s">
        <v>12</v>
      </c>
    </row>
    <row r="237" spans="1:8" hidden="1">
      <c r="A237" t="s">
        <v>279</v>
      </c>
      <c r="B237" t="s">
        <v>715</v>
      </c>
      <c r="C237" t="s">
        <v>716</v>
      </c>
      <c r="D237" t="s">
        <v>794</v>
      </c>
      <c r="E237">
        <v>40</v>
      </c>
      <c r="F237" t="s">
        <v>11</v>
      </c>
      <c r="G237">
        <v>2</v>
      </c>
      <c r="H237" t="s">
        <v>12</v>
      </c>
    </row>
    <row r="238" spans="1:8" hidden="1">
      <c r="A238" t="s">
        <v>174</v>
      </c>
      <c r="B238" t="s">
        <v>620</v>
      </c>
      <c r="C238" t="s">
        <v>621</v>
      </c>
      <c r="D238" t="s">
        <v>794</v>
      </c>
      <c r="E238">
        <v>55</v>
      </c>
      <c r="F238" t="s">
        <v>11</v>
      </c>
      <c r="G238">
        <v>2</v>
      </c>
      <c r="H238" t="s">
        <v>12</v>
      </c>
    </row>
    <row r="239" spans="1:8" hidden="1">
      <c r="A239" t="s">
        <v>174</v>
      </c>
      <c r="B239" t="s">
        <v>679</v>
      </c>
      <c r="C239" t="s">
        <v>680</v>
      </c>
      <c r="D239" t="s">
        <v>794</v>
      </c>
      <c r="E239">
        <v>56</v>
      </c>
      <c r="F239" t="s">
        <v>11</v>
      </c>
      <c r="G239">
        <v>2</v>
      </c>
      <c r="H239" t="s">
        <v>12</v>
      </c>
    </row>
    <row r="240" spans="1:8" hidden="1">
      <c r="A240" t="s">
        <v>174</v>
      </c>
      <c r="B240" t="s">
        <v>183</v>
      </c>
      <c r="C240" t="s">
        <v>184</v>
      </c>
      <c r="D240" t="s">
        <v>794</v>
      </c>
      <c r="E240">
        <v>49</v>
      </c>
      <c r="F240" t="s">
        <v>11</v>
      </c>
      <c r="G240">
        <v>2</v>
      </c>
      <c r="H240" t="s">
        <v>12</v>
      </c>
    </row>
    <row r="241" spans="1:8" hidden="1">
      <c r="A241" t="s">
        <v>174</v>
      </c>
      <c r="B241" t="s">
        <v>505</v>
      </c>
      <c r="C241" t="s">
        <v>506</v>
      </c>
      <c r="D241" t="s">
        <v>794</v>
      </c>
      <c r="E241">
        <v>55</v>
      </c>
      <c r="F241" t="s">
        <v>11</v>
      </c>
      <c r="G241">
        <v>2</v>
      </c>
      <c r="H241" t="s">
        <v>12</v>
      </c>
    </row>
    <row r="242" spans="1:8" hidden="1">
      <c r="A242" t="s">
        <v>174</v>
      </c>
      <c r="B242" t="s">
        <v>795</v>
      </c>
      <c r="C242" t="s">
        <v>796</v>
      </c>
      <c r="D242" t="s">
        <v>794</v>
      </c>
      <c r="E242">
        <v>51</v>
      </c>
      <c r="F242" t="s">
        <v>11</v>
      </c>
      <c r="G242">
        <v>2</v>
      </c>
      <c r="H242" t="s">
        <v>12</v>
      </c>
    </row>
    <row r="243" spans="1:8" hidden="1">
      <c r="A243" t="s">
        <v>301</v>
      </c>
      <c r="B243" t="s">
        <v>314</v>
      </c>
      <c r="C243" t="s">
        <v>315</v>
      </c>
      <c r="D243" t="s">
        <v>794</v>
      </c>
      <c r="E243">
        <v>48</v>
      </c>
      <c r="F243" t="s">
        <v>11</v>
      </c>
      <c r="G243">
        <v>2</v>
      </c>
      <c r="H243" t="s">
        <v>12</v>
      </c>
    </row>
    <row r="244" spans="1:8" hidden="1">
      <c r="A244" t="s">
        <v>194</v>
      </c>
      <c r="B244" t="s">
        <v>207</v>
      </c>
      <c r="C244" t="s">
        <v>208</v>
      </c>
      <c r="D244" t="s">
        <v>794</v>
      </c>
      <c r="E244">
        <v>49</v>
      </c>
      <c r="F244" t="s">
        <v>11</v>
      </c>
      <c r="G244">
        <v>2</v>
      </c>
      <c r="H244" t="s">
        <v>12</v>
      </c>
    </row>
    <row r="245" spans="1:8" hidden="1">
      <c r="A245" t="s">
        <v>194</v>
      </c>
      <c r="B245" t="s">
        <v>527</v>
      </c>
      <c r="C245" t="s">
        <v>528</v>
      </c>
      <c r="D245" t="s">
        <v>794</v>
      </c>
      <c r="E245">
        <v>49</v>
      </c>
      <c r="F245" t="s">
        <v>11</v>
      </c>
      <c r="G245">
        <v>2</v>
      </c>
      <c r="H245" t="s">
        <v>12</v>
      </c>
    </row>
    <row r="246" spans="1:8" hidden="1">
      <c r="A246" t="s">
        <v>217</v>
      </c>
      <c r="B246" t="s">
        <v>222</v>
      </c>
      <c r="C246" t="s">
        <v>223</v>
      </c>
      <c r="D246" t="s">
        <v>794</v>
      </c>
      <c r="E246">
        <v>56</v>
      </c>
      <c r="F246" t="s">
        <v>11</v>
      </c>
      <c r="G246">
        <v>2</v>
      </c>
      <c r="H246" t="s">
        <v>12</v>
      </c>
    </row>
    <row r="247" spans="1:8" hidden="1">
      <c r="A247" t="s">
        <v>217</v>
      </c>
      <c r="B247" t="s">
        <v>675</v>
      </c>
      <c r="C247" t="s">
        <v>676</v>
      </c>
      <c r="D247" t="s">
        <v>794</v>
      </c>
      <c r="E247">
        <v>39</v>
      </c>
      <c r="F247" t="s">
        <v>11</v>
      </c>
      <c r="G247">
        <v>2</v>
      </c>
      <c r="H247" t="s">
        <v>12</v>
      </c>
    </row>
    <row r="248" spans="1:8" hidden="1">
      <c r="A248" t="s">
        <v>217</v>
      </c>
      <c r="B248" t="s">
        <v>801</v>
      </c>
      <c r="C248" t="s">
        <v>802</v>
      </c>
      <c r="D248" t="s">
        <v>794</v>
      </c>
      <c r="E248">
        <v>40</v>
      </c>
      <c r="F248" t="s">
        <v>11</v>
      </c>
      <c r="G248">
        <v>2</v>
      </c>
      <c r="H248" t="s">
        <v>12</v>
      </c>
    </row>
    <row r="249" spans="1:8" hidden="1">
      <c r="A249" t="s">
        <v>122</v>
      </c>
      <c r="B249" t="s">
        <v>789</v>
      </c>
      <c r="C249" t="s">
        <v>790</v>
      </c>
      <c r="D249" t="s">
        <v>794</v>
      </c>
      <c r="E249">
        <v>41</v>
      </c>
      <c r="F249" t="s">
        <v>11</v>
      </c>
      <c r="G249">
        <v>2</v>
      </c>
      <c r="H249" t="s">
        <v>12</v>
      </c>
    </row>
    <row r="250" spans="1:8" hidden="1">
      <c r="A250" t="s">
        <v>141</v>
      </c>
      <c r="B250" t="s">
        <v>148</v>
      </c>
      <c r="C250" t="s">
        <v>149</v>
      </c>
      <c r="D250" t="s">
        <v>794</v>
      </c>
      <c r="E250">
        <v>50</v>
      </c>
      <c r="F250" t="s">
        <v>11</v>
      </c>
      <c r="G250">
        <v>2</v>
      </c>
      <c r="H250" t="s">
        <v>12</v>
      </c>
    </row>
    <row r="251" spans="1:8" hidden="1">
      <c r="A251" t="s">
        <v>234</v>
      </c>
      <c r="B251" t="s">
        <v>918</v>
      </c>
      <c r="C251" t="s">
        <v>919</v>
      </c>
      <c r="D251" t="s">
        <v>920</v>
      </c>
      <c r="E251">
        <v>42</v>
      </c>
      <c r="F251" t="s">
        <v>11</v>
      </c>
      <c r="G251">
        <v>3</v>
      </c>
      <c r="H251" t="s">
        <v>12</v>
      </c>
    </row>
    <row r="252" spans="1:8" hidden="1">
      <c r="A252" t="s">
        <v>234</v>
      </c>
      <c r="B252" t="s">
        <v>614</v>
      </c>
      <c r="C252" t="s">
        <v>615</v>
      </c>
      <c r="D252" t="s">
        <v>920</v>
      </c>
      <c r="E252">
        <v>40</v>
      </c>
      <c r="F252" t="s">
        <v>11</v>
      </c>
      <c r="G252">
        <v>3</v>
      </c>
      <c r="H252" t="s">
        <v>12</v>
      </c>
    </row>
    <row r="253" spans="1:8" hidden="1">
      <c r="A253" t="s">
        <v>234</v>
      </c>
      <c r="B253" t="s">
        <v>921</v>
      </c>
      <c r="C253" t="s">
        <v>922</v>
      </c>
      <c r="D253" t="s">
        <v>920</v>
      </c>
      <c r="E253">
        <v>47</v>
      </c>
      <c r="F253" t="s">
        <v>11</v>
      </c>
      <c r="G253">
        <v>3</v>
      </c>
      <c r="H253" t="s">
        <v>12</v>
      </c>
    </row>
    <row r="254" spans="1:8" hidden="1">
      <c r="A254" t="s">
        <v>234</v>
      </c>
      <c r="B254" t="s">
        <v>655</v>
      </c>
      <c r="C254" t="s">
        <v>656</v>
      </c>
      <c r="D254" t="s">
        <v>920</v>
      </c>
      <c r="E254">
        <v>49</v>
      </c>
      <c r="F254" t="s">
        <v>11</v>
      </c>
      <c r="G254">
        <v>3</v>
      </c>
      <c r="H254" t="s">
        <v>12</v>
      </c>
    </row>
    <row r="255" spans="1:8" hidden="1">
      <c r="A255" t="s">
        <v>335</v>
      </c>
      <c r="B255" t="s">
        <v>387</v>
      </c>
      <c r="C255" t="s">
        <v>388</v>
      </c>
      <c r="D255" t="s">
        <v>920</v>
      </c>
      <c r="E255">
        <v>52</v>
      </c>
      <c r="F255" t="s">
        <v>11</v>
      </c>
      <c r="G255">
        <v>3</v>
      </c>
      <c r="H255" t="s">
        <v>12</v>
      </c>
    </row>
    <row r="256" spans="1:8" hidden="1">
      <c r="A256" t="s">
        <v>335</v>
      </c>
      <c r="B256" t="s">
        <v>395</v>
      </c>
      <c r="C256" t="s">
        <v>396</v>
      </c>
      <c r="D256" t="s">
        <v>920</v>
      </c>
      <c r="E256">
        <v>43</v>
      </c>
      <c r="F256" t="s">
        <v>11</v>
      </c>
      <c r="G256">
        <v>3</v>
      </c>
      <c r="H256" t="s">
        <v>12</v>
      </c>
    </row>
    <row r="257" spans="1:8" hidden="1">
      <c r="A257" t="s">
        <v>335</v>
      </c>
      <c r="B257" t="s">
        <v>659</v>
      </c>
      <c r="C257" t="s">
        <v>660</v>
      </c>
      <c r="D257" t="s">
        <v>920</v>
      </c>
      <c r="E257">
        <v>48</v>
      </c>
      <c r="F257" t="s">
        <v>11</v>
      </c>
      <c r="G257">
        <v>3</v>
      </c>
      <c r="H257" t="s">
        <v>12</v>
      </c>
    </row>
    <row r="258" spans="1:8" hidden="1">
      <c r="A258" t="s">
        <v>335</v>
      </c>
      <c r="B258" t="s">
        <v>661</v>
      </c>
      <c r="C258" t="s">
        <v>662</v>
      </c>
      <c r="D258" t="s">
        <v>920</v>
      </c>
      <c r="E258">
        <v>47</v>
      </c>
      <c r="F258" t="s">
        <v>11</v>
      </c>
      <c r="G258">
        <v>3</v>
      </c>
      <c r="H258" t="s">
        <v>12</v>
      </c>
    </row>
    <row r="259" spans="1:8" hidden="1">
      <c r="A259" t="s">
        <v>335</v>
      </c>
      <c r="B259" t="s">
        <v>336</v>
      </c>
      <c r="C259" t="s">
        <v>337</v>
      </c>
      <c r="D259" t="s">
        <v>920</v>
      </c>
      <c r="E259">
        <v>46</v>
      </c>
      <c r="F259" t="s">
        <v>11</v>
      </c>
      <c r="G259">
        <v>3</v>
      </c>
      <c r="H259" t="s">
        <v>12</v>
      </c>
    </row>
    <row r="260" spans="1:8" hidden="1">
      <c r="A260" t="s">
        <v>171</v>
      </c>
      <c r="B260" t="s">
        <v>797</v>
      </c>
      <c r="C260" t="s">
        <v>798</v>
      </c>
      <c r="D260" t="s">
        <v>835</v>
      </c>
      <c r="E260">
        <v>44</v>
      </c>
      <c r="F260" t="s">
        <v>583</v>
      </c>
      <c r="G260">
        <v>2</v>
      </c>
      <c r="H260" t="s">
        <v>12</v>
      </c>
    </row>
    <row r="261" spans="1:8" hidden="1">
      <c r="A261" t="s">
        <v>171</v>
      </c>
      <c r="B261" t="s">
        <v>797</v>
      </c>
      <c r="C261" t="s">
        <v>798</v>
      </c>
      <c r="D261" t="s">
        <v>834</v>
      </c>
      <c r="E261">
        <v>44</v>
      </c>
      <c r="F261" t="s">
        <v>583</v>
      </c>
      <c r="G261">
        <v>2</v>
      </c>
      <c r="H261" t="s">
        <v>12</v>
      </c>
    </row>
    <row r="262" spans="1:8" hidden="1">
      <c r="A262" t="s">
        <v>171</v>
      </c>
      <c r="B262" t="s">
        <v>797</v>
      </c>
      <c r="C262" t="s">
        <v>798</v>
      </c>
      <c r="D262" t="s">
        <v>833</v>
      </c>
      <c r="E262">
        <v>44</v>
      </c>
      <c r="F262" t="s">
        <v>11</v>
      </c>
      <c r="G262">
        <v>4</v>
      </c>
      <c r="H262" t="s">
        <v>12</v>
      </c>
    </row>
    <row r="263" spans="1:8" hidden="1">
      <c r="A263" t="s">
        <v>171</v>
      </c>
      <c r="B263" t="s">
        <v>172</v>
      </c>
      <c r="C263" t="s">
        <v>173</v>
      </c>
      <c r="D263" t="s">
        <v>699</v>
      </c>
      <c r="E263">
        <v>53</v>
      </c>
      <c r="F263" t="s">
        <v>583</v>
      </c>
      <c r="G263">
        <v>1</v>
      </c>
      <c r="H263" t="s">
        <v>12</v>
      </c>
    </row>
    <row r="264" spans="1:8" hidden="1">
      <c r="A264" t="s">
        <v>171</v>
      </c>
      <c r="B264" t="s">
        <v>700</v>
      </c>
      <c r="C264" t="s">
        <v>701</v>
      </c>
      <c r="D264" t="s">
        <v>699</v>
      </c>
      <c r="E264">
        <v>48</v>
      </c>
      <c r="F264" t="s">
        <v>583</v>
      </c>
      <c r="G264">
        <v>1</v>
      </c>
      <c r="H264" t="s">
        <v>12</v>
      </c>
    </row>
    <row r="265" spans="1:8" hidden="1">
      <c r="A265" t="s">
        <v>65</v>
      </c>
      <c r="B265" t="s">
        <v>66</v>
      </c>
      <c r="C265" t="s">
        <v>67</v>
      </c>
      <c r="D265" t="s">
        <v>904</v>
      </c>
      <c r="E265">
        <v>44</v>
      </c>
      <c r="F265" t="s">
        <v>11</v>
      </c>
      <c r="G265">
        <v>4</v>
      </c>
      <c r="H265" t="s">
        <v>12</v>
      </c>
    </row>
    <row r="266" spans="1:8" hidden="1">
      <c r="A266" t="s">
        <v>65</v>
      </c>
      <c r="B266" t="s">
        <v>68</v>
      </c>
      <c r="C266" t="s">
        <v>69</v>
      </c>
      <c r="D266" t="s">
        <v>904</v>
      </c>
      <c r="E266">
        <v>45</v>
      </c>
      <c r="F266" t="s">
        <v>11</v>
      </c>
      <c r="G266">
        <v>4</v>
      </c>
      <c r="H266" t="s">
        <v>12</v>
      </c>
    </row>
    <row r="267" spans="1:8" hidden="1">
      <c r="A267" t="s">
        <v>65</v>
      </c>
      <c r="B267" t="s">
        <v>70</v>
      </c>
      <c r="C267" t="s">
        <v>71</v>
      </c>
      <c r="D267" t="s">
        <v>904</v>
      </c>
      <c r="E267">
        <v>51</v>
      </c>
      <c r="F267" t="s">
        <v>11</v>
      </c>
      <c r="G267">
        <v>4</v>
      </c>
      <c r="H267" t="s">
        <v>12</v>
      </c>
    </row>
    <row r="268" spans="1:8" hidden="1">
      <c r="A268" t="s">
        <v>65</v>
      </c>
      <c r="B268" t="s">
        <v>72</v>
      </c>
      <c r="C268" t="s">
        <v>73</v>
      </c>
      <c r="D268" t="s">
        <v>904</v>
      </c>
      <c r="E268">
        <v>40</v>
      </c>
      <c r="F268" t="s">
        <v>11</v>
      </c>
      <c r="G268">
        <v>4</v>
      </c>
      <c r="H268" t="s">
        <v>12</v>
      </c>
    </row>
    <row r="269" spans="1:8" hidden="1">
      <c r="A269" t="s">
        <v>65</v>
      </c>
      <c r="B269" t="s">
        <v>74</v>
      </c>
      <c r="C269" t="s">
        <v>75</v>
      </c>
      <c r="D269" t="s">
        <v>904</v>
      </c>
      <c r="E269">
        <v>50</v>
      </c>
      <c r="F269" t="s">
        <v>11</v>
      </c>
      <c r="G269">
        <v>4</v>
      </c>
      <c r="H269" t="s">
        <v>12</v>
      </c>
    </row>
    <row r="270" spans="1:8" hidden="1">
      <c r="A270" t="s">
        <v>65</v>
      </c>
      <c r="B270" t="s">
        <v>689</v>
      </c>
      <c r="C270" t="s">
        <v>690</v>
      </c>
      <c r="D270" t="s">
        <v>904</v>
      </c>
      <c r="E270">
        <v>50</v>
      </c>
      <c r="F270" t="s">
        <v>11</v>
      </c>
      <c r="G270">
        <v>4</v>
      </c>
      <c r="H270" t="s">
        <v>12</v>
      </c>
    </row>
    <row r="271" spans="1:8" hidden="1">
      <c r="A271" t="s">
        <v>65</v>
      </c>
      <c r="B271" t="s">
        <v>719</v>
      </c>
      <c r="C271" t="s">
        <v>720</v>
      </c>
      <c r="D271" t="s">
        <v>904</v>
      </c>
      <c r="E271">
        <v>50</v>
      </c>
      <c r="F271" t="s">
        <v>11</v>
      </c>
      <c r="G271">
        <v>4</v>
      </c>
      <c r="H271" t="s">
        <v>12</v>
      </c>
    </row>
    <row r="272" spans="1:8" hidden="1">
      <c r="A272" t="s">
        <v>65</v>
      </c>
      <c r="B272" t="s">
        <v>76</v>
      </c>
      <c r="C272" t="s">
        <v>77</v>
      </c>
      <c r="D272" t="s">
        <v>904</v>
      </c>
      <c r="E272">
        <v>50</v>
      </c>
      <c r="F272" t="s">
        <v>11</v>
      </c>
      <c r="G272">
        <v>4</v>
      </c>
      <c r="H272" t="s">
        <v>12</v>
      </c>
    </row>
    <row r="273" spans="1:8" hidden="1">
      <c r="A273" t="s">
        <v>65</v>
      </c>
      <c r="B273" t="s">
        <v>723</v>
      </c>
      <c r="C273" t="s">
        <v>724</v>
      </c>
      <c r="D273" t="s">
        <v>904</v>
      </c>
      <c r="E273">
        <v>40</v>
      </c>
      <c r="F273" t="s">
        <v>11</v>
      </c>
      <c r="G273">
        <v>4</v>
      </c>
      <c r="H273" t="s">
        <v>12</v>
      </c>
    </row>
    <row r="274" spans="1:8" hidden="1">
      <c r="A274" t="s">
        <v>65</v>
      </c>
      <c r="B274" t="s">
        <v>78</v>
      </c>
      <c r="C274" t="s">
        <v>79</v>
      </c>
      <c r="D274" t="s">
        <v>904</v>
      </c>
      <c r="E274">
        <v>40</v>
      </c>
      <c r="F274" t="s">
        <v>11</v>
      </c>
      <c r="G274">
        <v>4</v>
      </c>
      <c r="H274" t="s">
        <v>12</v>
      </c>
    </row>
    <row r="275" spans="1:8" hidden="1">
      <c r="A275" t="s">
        <v>65</v>
      </c>
      <c r="B275" t="s">
        <v>725</v>
      </c>
      <c r="C275" t="s">
        <v>726</v>
      </c>
      <c r="D275" t="s">
        <v>904</v>
      </c>
      <c r="E275">
        <v>50</v>
      </c>
      <c r="F275" t="s">
        <v>11</v>
      </c>
      <c r="G275">
        <v>4</v>
      </c>
      <c r="H275" t="s">
        <v>12</v>
      </c>
    </row>
    <row r="276" spans="1:8" hidden="1">
      <c r="A276" t="s">
        <v>65</v>
      </c>
      <c r="B276" t="s">
        <v>872</v>
      </c>
      <c r="C276" t="s">
        <v>873</v>
      </c>
      <c r="D276" t="s">
        <v>904</v>
      </c>
      <c r="E276">
        <v>50</v>
      </c>
      <c r="F276" t="s">
        <v>11</v>
      </c>
      <c r="G276">
        <v>4</v>
      </c>
      <c r="H276" t="s">
        <v>12</v>
      </c>
    </row>
    <row r="277" spans="1:8" hidden="1">
      <c r="A277" t="s">
        <v>65</v>
      </c>
      <c r="B277" t="s">
        <v>727</v>
      </c>
      <c r="C277" t="s">
        <v>728</v>
      </c>
      <c r="D277" t="s">
        <v>904</v>
      </c>
      <c r="E277">
        <v>40</v>
      </c>
      <c r="F277" t="s">
        <v>11</v>
      </c>
      <c r="G277">
        <v>4</v>
      </c>
      <c r="H277" t="s">
        <v>12</v>
      </c>
    </row>
    <row r="278" spans="1:8" hidden="1">
      <c r="A278" t="s">
        <v>65</v>
      </c>
      <c r="B278" t="s">
        <v>80</v>
      </c>
      <c r="C278" t="s">
        <v>81</v>
      </c>
      <c r="D278" t="s">
        <v>904</v>
      </c>
      <c r="E278">
        <v>51</v>
      </c>
      <c r="F278" t="s">
        <v>11</v>
      </c>
      <c r="G278">
        <v>4</v>
      </c>
      <c r="H278" t="s">
        <v>12</v>
      </c>
    </row>
    <row r="279" spans="1:8" hidden="1">
      <c r="A279" t="s">
        <v>294</v>
      </c>
      <c r="B279" t="s">
        <v>417</v>
      </c>
      <c r="C279" t="s">
        <v>418</v>
      </c>
      <c r="D279" t="s">
        <v>904</v>
      </c>
      <c r="E279">
        <v>55</v>
      </c>
      <c r="F279" t="s">
        <v>11</v>
      </c>
      <c r="G279">
        <v>4</v>
      </c>
      <c r="H279" t="s">
        <v>12</v>
      </c>
    </row>
    <row r="280" spans="1:8" hidden="1">
      <c r="A280" t="s">
        <v>294</v>
      </c>
      <c r="B280" t="s">
        <v>295</v>
      </c>
      <c r="C280" t="s">
        <v>296</v>
      </c>
      <c r="D280" t="s">
        <v>904</v>
      </c>
      <c r="E280">
        <v>59</v>
      </c>
      <c r="F280" t="s">
        <v>11</v>
      </c>
      <c r="G280">
        <v>4</v>
      </c>
      <c r="H280" t="s">
        <v>12</v>
      </c>
    </row>
    <row r="281" spans="1:8" hidden="1">
      <c r="A281" t="s">
        <v>294</v>
      </c>
      <c r="B281" t="s">
        <v>299</v>
      </c>
      <c r="C281" t="s">
        <v>300</v>
      </c>
      <c r="D281" t="s">
        <v>904</v>
      </c>
      <c r="E281">
        <v>49</v>
      </c>
      <c r="F281" t="s">
        <v>11</v>
      </c>
      <c r="G281">
        <v>4</v>
      </c>
      <c r="H281" t="s">
        <v>12</v>
      </c>
    </row>
    <row r="282" spans="1:8" hidden="1">
      <c r="A282" t="s">
        <v>44</v>
      </c>
      <c r="B282" t="s">
        <v>45</v>
      </c>
      <c r="C282" t="s">
        <v>46</v>
      </c>
      <c r="D282" t="s">
        <v>871</v>
      </c>
      <c r="E282">
        <v>49</v>
      </c>
      <c r="F282" t="s">
        <v>11</v>
      </c>
      <c r="G282">
        <v>3</v>
      </c>
      <c r="H282" t="s">
        <v>12</v>
      </c>
    </row>
    <row r="283" spans="1:8" hidden="1">
      <c r="A283" t="s">
        <v>44</v>
      </c>
      <c r="B283" t="s">
        <v>608</v>
      </c>
      <c r="C283" t="s">
        <v>609</v>
      </c>
      <c r="D283" t="s">
        <v>871</v>
      </c>
      <c r="E283">
        <v>40</v>
      </c>
      <c r="F283" t="s">
        <v>11</v>
      </c>
      <c r="G283">
        <v>3</v>
      </c>
      <c r="H283" t="s">
        <v>12</v>
      </c>
    </row>
    <row r="284" spans="1:8" hidden="1">
      <c r="A284" t="s">
        <v>44</v>
      </c>
      <c r="B284" t="s">
        <v>890</v>
      </c>
      <c r="C284" t="s">
        <v>891</v>
      </c>
      <c r="D284" t="s">
        <v>871</v>
      </c>
      <c r="E284">
        <v>39</v>
      </c>
      <c r="F284" t="s">
        <v>11</v>
      </c>
      <c r="G284">
        <v>3</v>
      </c>
      <c r="H284" t="s">
        <v>12</v>
      </c>
    </row>
    <row r="285" spans="1:8" hidden="1">
      <c r="A285" t="s">
        <v>44</v>
      </c>
      <c r="B285" t="s">
        <v>610</v>
      </c>
      <c r="C285" t="s">
        <v>611</v>
      </c>
      <c r="D285" t="s">
        <v>871</v>
      </c>
      <c r="E285">
        <v>54</v>
      </c>
      <c r="F285" t="s">
        <v>11</v>
      </c>
      <c r="G285">
        <v>3</v>
      </c>
      <c r="H285" t="s">
        <v>12</v>
      </c>
    </row>
    <row r="286" spans="1:8" hidden="1">
      <c r="A286" t="s">
        <v>44</v>
      </c>
      <c r="B286" t="s">
        <v>51</v>
      </c>
      <c r="C286" t="s">
        <v>52</v>
      </c>
      <c r="D286" t="s">
        <v>871</v>
      </c>
      <c r="E286">
        <v>43</v>
      </c>
      <c r="F286" t="s">
        <v>11</v>
      </c>
      <c r="G286">
        <v>3</v>
      </c>
      <c r="H286" t="s">
        <v>12</v>
      </c>
    </row>
    <row r="287" spans="1:8" hidden="1">
      <c r="A287" t="s">
        <v>44</v>
      </c>
      <c r="B287" t="s">
        <v>681</v>
      </c>
      <c r="C287" t="s">
        <v>682</v>
      </c>
      <c r="D287" t="s">
        <v>871</v>
      </c>
      <c r="E287">
        <v>41</v>
      </c>
      <c r="F287" t="s">
        <v>11</v>
      </c>
      <c r="G287">
        <v>3</v>
      </c>
      <c r="H287" t="s">
        <v>12</v>
      </c>
    </row>
    <row r="288" spans="1:8" hidden="1">
      <c r="A288" t="s">
        <v>44</v>
      </c>
      <c r="B288" t="s">
        <v>455</v>
      </c>
      <c r="C288" t="s">
        <v>456</v>
      </c>
      <c r="D288" t="s">
        <v>871</v>
      </c>
      <c r="E288">
        <v>55</v>
      </c>
      <c r="F288" t="s">
        <v>11</v>
      </c>
      <c r="G288">
        <v>3</v>
      </c>
      <c r="H288" t="s">
        <v>12</v>
      </c>
    </row>
    <row r="289" spans="1:8" hidden="1">
      <c r="A289" t="s">
        <v>44</v>
      </c>
      <c r="B289" t="s">
        <v>457</v>
      </c>
      <c r="C289" t="s">
        <v>458</v>
      </c>
      <c r="D289" t="s">
        <v>871</v>
      </c>
      <c r="E289">
        <v>44</v>
      </c>
      <c r="F289" t="s">
        <v>11</v>
      </c>
      <c r="G289">
        <v>3</v>
      </c>
      <c r="H289" t="s">
        <v>12</v>
      </c>
    </row>
    <row r="290" spans="1:8" hidden="1">
      <c r="A290" t="s">
        <v>44</v>
      </c>
      <c r="B290" t="s">
        <v>459</v>
      </c>
      <c r="C290" t="s">
        <v>460</v>
      </c>
      <c r="D290" t="s">
        <v>871</v>
      </c>
      <c r="E290">
        <v>52</v>
      </c>
      <c r="F290" t="s">
        <v>11</v>
      </c>
      <c r="G290">
        <v>3</v>
      </c>
      <c r="H290" t="s">
        <v>12</v>
      </c>
    </row>
    <row r="291" spans="1:8" hidden="1">
      <c r="A291" t="s">
        <v>44</v>
      </c>
      <c r="B291" t="s">
        <v>685</v>
      </c>
      <c r="C291" t="s">
        <v>686</v>
      </c>
      <c r="D291" t="s">
        <v>871</v>
      </c>
      <c r="E291">
        <v>48</v>
      </c>
      <c r="F291" t="s">
        <v>11</v>
      </c>
      <c r="G291">
        <v>3</v>
      </c>
      <c r="H291" t="s">
        <v>12</v>
      </c>
    </row>
    <row r="292" spans="1:8" hidden="1">
      <c r="A292" t="s">
        <v>44</v>
      </c>
      <c r="B292" t="s">
        <v>59</v>
      </c>
      <c r="C292" t="s">
        <v>60</v>
      </c>
      <c r="D292" t="s">
        <v>871</v>
      </c>
      <c r="E292">
        <v>56</v>
      </c>
      <c r="F292" t="s">
        <v>11</v>
      </c>
      <c r="G292">
        <v>3</v>
      </c>
      <c r="H292" t="s">
        <v>12</v>
      </c>
    </row>
    <row r="293" spans="1:8" hidden="1">
      <c r="A293" t="s">
        <v>44</v>
      </c>
      <c r="B293" t="s">
        <v>63</v>
      </c>
      <c r="C293" t="s">
        <v>64</v>
      </c>
      <c r="D293" t="s">
        <v>871</v>
      </c>
      <c r="E293">
        <v>43</v>
      </c>
      <c r="F293" t="s">
        <v>11</v>
      </c>
      <c r="G293">
        <v>3</v>
      </c>
      <c r="H293" t="s">
        <v>12</v>
      </c>
    </row>
    <row r="294" spans="1:8" hidden="1">
      <c r="A294" t="s">
        <v>44</v>
      </c>
      <c r="B294" t="s">
        <v>461</v>
      </c>
      <c r="C294" t="s">
        <v>462</v>
      </c>
      <c r="D294" t="s">
        <v>871</v>
      </c>
      <c r="E294">
        <v>51</v>
      </c>
      <c r="F294" t="s">
        <v>11</v>
      </c>
      <c r="G294">
        <v>3</v>
      </c>
      <c r="H294" t="s">
        <v>12</v>
      </c>
    </row>
    <row r="295" spans="1:8" hidden="1">
      <c r="A295" t="s">
        <v>158</v>
      </c>
      <c r="B295" t="s">
        <v>876</v>
      </c>
      <c r="C295" t="s">
        <v>877</v>
      </c>
      <c r="D295" t="s">
        <v>871</v>
      </c>
      <c r="E295">
        <v>49</v>
      </c>
      <c r="F295" t="s">
        <v>11</v>
      </c>
      <c r="G295">
        <v>3</v>
      </c>
      <c r="H295" t="s">
        <v>12</v>
      </c>
    </row>
    <row r="296" spans="1:8" hidden="1">
      <c r="A296" t="s">
        <v>158</v>
      </c>
      <c r="B296" t="s">
        <v>878</v>
      </c>
      <c r="C296" t="s">
        <v>879</v>
      </c>
      <c r="D296" t="s">
        <v>871</v>
      </c>
      <c r="E296">
        <v>44</v>
      </c>
      <c r="F296" t="s">
        <v>11</v>
      </c>
      <c r="G296">
        <v>3</v>
      </c>
      <c r="H296" t="s">
        <v>12</v>
      </c>
    </row>
    <row r="297" spans="1:8" hidden="1">
      <c r="A297" t="s">
        <v>158</v>
      </c>
      <c r="B297" t="s">
        <v>880</v>
      </c>
      <c r="C297" t="s">
        <v>881</v>
      </c>
      <c r="D297" t="s">
        <v>871</v>
      </c>
      <c r="E297">
        <v>53</v>
      </c>
      <c r="F297" t="s">
        <v>11</v>
      </c>
      <c r="G297">
        <v>3</v>
      </c>
      <c r="H297" t="s">
        <v>12</v>
      </c>
    </row>
    <row r="298" spans="1:8" hidden="1">
      <c r="A298" t="s">
        <v>158</v>
      </c>
      <c r="B298" t="s">
        <v>637</v>
      </c>
      <c r="C298" t="s">
        <v>638</v>
      </c>
      <c r="D298" t="s">
        <v>871</v>
      </c>
      <c r="E298">
        <v>56</v>
      </c>
      <c r="F298" t="s">
        <v>11</v>
      </c>
      <c r="G298">
        <v>3</v>
      </c>
      <c r="H298" t="s">
        <v>12</v>
      </c>
    </row>
    <row r="299" spans="1:8" hidden="1">
      <c r="A299" t="s">
        <v>158</v>
      </c>
      <c r="B299" t="s">
        <v>626</v>
      </c>
      <c r="C299" t="s">
        <v>627</v>
      </c>
      <c r="D299" t="s">
        <v>871</v>
      </c>
      <c r="E299">
        <v>43</v>
      </c>
      <c r="F299" t="s">
        <v>11</v>
      </c>
      <c r="G299">
        <v>3</v>
      </c>
      <c r="H299" t="s">
        <v>12</v>
      </c>
    </row>
    <row r="300" spans="1:8" hidden="1">
      <c r="A300" t="s">
        <v>158</v>
      </c>
      <c r="B300" t="s">
        <v>159</v>
      </c>
      <c r="C300" t="s">
        <v>160</v>
      </c>
      <c r="D300" t="s">
        <v>871</v>
      </c>
      <c r="E300">
        <v>42</v>
      </c>
      <c r="F300" t="s">
        <v>11</v>
      </c>
      <c r="G300">
        <v>3</v>
      </c>
      <c r="H300" t="s">
        <v>12</v>
      </c>
    </row>
    <row r="301" spans="1:8" hidden="1">
      <c r="A301" t="s">
        <v>158</v>
      </c>
      <c r="B301" t="s">
        <v>641</v>
      </c>
      <c r="C301" t="s">
        <v>642</v>
      </c>
      <c r="D301" t="s">
        <v>871</v>
      </c>
      <c r="E301">
        <v>49</v>
      </c>
      <c r="F301" t="s">
        <v>11</v>
      </c>
      <c r="G301">
        <v>3</v>
      </c>
      <c r="H301" t="s">
        <v>12</v>
      </c>
    </row>
    <row r="302" spans="1:8" hidden="1">
      <c r="A302" t="s">
        <v>158</v>
      </c>
      <c r="B302" t="s">
        <v>882</v>
      </c>
      <c r="C302" t="s">
        <v>883</v>
      </c>
      <c r="D302" t="s">
        <v>871</v>
      </c>
      <c r="E302">
        <v>57</v>
      </c>
      <c r="F302" t="s">
        <v>11</v>
      </c>
      <c r="G302">
        <v>3</v>
      </c>
      <c r="H302" t="s">
        <v>12</v>
      </c>
    </row>
    <row r="303" spans="1:8" hidden="1">
      <c r="A303" t="s">
        <v>158</v>
      </c>
      <c r="B303" t="s">
        <v>161</v>
      </c>
      <c r="C303" t="s">
        <v>162</v>
      </c>
      <c r="D303" t="s">
        <v>871</v>
      </c>
      <c r="E303">
        <v>42</v>
      </c>
      <c r="F303" t="s">
        <v>11</v>
      </c>
      <c r="G303">
        <v>3</v>
      </c>
      <c r="H303" t="s">
        <v>12</v>
      </c>
    </row>
    <row r="304" spans="1:8" hidden="1">
      <c r="A304" t="s">
        <v>158</v>
      </c>
      <c r="B304" t="s">
        <v>884</v>
      </c>
      <c r="C304" t="s">
        <v>885</v>
      </c>
      <c r="D304" t="s">
        <v>871</v>
      </c>
      <c r="E304">
        <v>49</v>
      </c>
      <c r="F304" t="s">
        <v>11</v>
      </c>
      <c r="G304">
        <v>3</v>
      </c>
      <c r="H304" t="s">
        <v>12</v>
      </c>
    </row>
    <row r="305" spans="1:8" hidden="1">
      <c r="A305" t="s">
        <v>158</v>
      </c>
      <c r="B305" t="s">
        <v>165</v>
      </c>
      <c r="C305" t="s">
        <v>166</v>
      </c>
      <c r="D305" t="s">
        <v>871</v>
      </c>
      <c r="E305">
        <v>42</v>
      </c>
      <c r="F305" t="s">
        <v>11</v>
      </c>
      <c r="G305">
        <v>3</v>
      </c>
      <c r="H305" t="s">
        <v>12</v>
      </c>
    </row>
    <row r="306" spans="1:8" hidden="1">
      <c r="A306" t="s">
        <v>158</v>
      </c>
      <c r="B306" t="s">
        <v>886</v>
      </c>
      <c r="C306" t="s">
        <v>887</v>
      </c>
      <c r="D306" t="s">
        <v>871</v>
      </c>
      <c r="E306">
        <v>41</v>
      </c>
      <c r="F306" t="s">
        <v>11</v>
      </c>
      <c r="G306">
        <v>3</v>
      </c>
      <c r="H306" t="s">
        <v>12</v>
      </c>
    </row>
    <row r="307" spans="1:8" hidden="1">
      <c r="A307" t="s">
        <v>158</v>
      </c>
      <c r="B307" t="s">
        <v>167</v>
      </c>
      <c r="C307" t="s">
        <v>168</v>
      </c>
      <c r="D307" t="s">
        <v>871</v>
      </c>
      <c r="E307">
        <v>49</v>
      </c>
      <c r="F307" t="s">
        <v>11</v>
      </c>
      <c r="G307">
        <v>3</v>
      </c>
      <c r="H307" t="s">
        <v>12</v>
      </c>
    </row>
    <row r="308" spans="1:8" hidden="1">
      <c r="A308" t="s">
        <v>158</v>
      </c>
      <c r="B308" t="s">
        <v>888</v>
      </c>
      <c r="C308" t="s">
        <v>889</v>
      </c>
      <c r="D308" t="s">
        <v>871</v>
      </c>
      <c r="E308">
        <v>45</v>
      </c>
      <c r="F308" t="s">
        <v>11</v>
      </c>
      <c r="G308">
        <v>3</v>
      </c>
      <c r="H308" t="s">
        <v>12</v>
      </c>
    </row>
    <row r="309" spans="1:8" hidden="1">
      <c r="A309" t="s">
        <v>158</v>
      </c>
      <c r="B309" t="s">
        <v>515</v>
      </c>
      <c r="C309" t="s">
        <v>516</v>
      </c>
      <c r="D309" t="s">
        <v>871</v>
      </c>
      <c r="E309">
        <v>51</v>
      </c>
      <c r="F309" t="s">
        <v>11</v>
      </c>
      <c r="G309">
        <v>3</v>
      </c>
      <c r="H309" t="s">
        <v>12</v>
      </c>
    </row>
    <row r="310" spans="1:8" hidden="1">
      <c r="A310" t="s">
        <v>158</v>
      </c>
      <c r="B310" t="s">
        <v>169</v>
      </c>
      <c r="C310" t="s">
        <v>170</v>
      </c>
      <c r="D310" t="s">
        <v>871</v>
      </c>
      <c r="E310">
        <v>40</v>
      </c>
      <c r="F310" t="s">
        <v>11</v>
      </c>
      <c r="G310">
        <v>3</v>
      </c>
      <c r="H310" t="s">
        <v>12</v>
      </c>
    </row>
    <row r="311" spans="1:8" hidden="1">
      <c r="A311" t="s">
        <v>97</v>
      </c>
      <c r="B311" t="s">
        <v>892</v>
      </c>
      <c r="C311" t="s">
        <v>893</v>
      </c>
      <c r="D311" t="s">
        <v>871</v>
      </c>
      <c r="E311">
        <v>42</v>
      </c>
      <c r="F311" t="s">
        <v>11</v>
      </c>
      <c r="G311">
        <v>3</v>
      </c>
      <c r="H311" t="s">
        <v>12</v>
      </c>
    </row>
    <row r="312" spans="1:8" hidden="1">
      <c r="A312" t="s">
        <v>97</v>
      </c>
      <c r="B312" t="s">
        <v>100</v>
      </c>
      <c r="C312" t="s">
        <v>101</v>
      </c>
      <c r="D312" t="s">
        <v>871</v>
      </c>
      <c r="E312">
        <v>55</v>
      </c>
      <c r="F312" t="s">
        <v>11</v>
      </c>
      <c r="G312">
        <v>3</v>
      </c>
      <c r="H312" t="s">
        <v>12</v>
      </c>
    </row>
    <row r="313" spans="1:8" hidden="1">
      <c r="A313" t="s">
        <v>97</v>
      </c>
      <c r="B313" t="s">
        <v>102</v>
      </c>
      <c r="C313" t="s">
        <v>103</v>
      </c>
      <c r="D313" t="s">
        <v>871</v>
      </c>
      <c r="E313">
        <v>47</v>
      </c>
      <c r="F313" t="s">
        <v>11</v>
      </c>
      <c r="G313">
        <v>3</v>
      </c>
      <c r="H313" t="s">
        <v>12</v>
      </c>
    </row>
    <row r="314" spans="1:8" hidden="1">
      <c r="A314" t="s">
        <v>97</v>
      </c>
      <c r="B314" t="s">
        <v>894</v>
      </c>
      <c r="C314" t="s">
        <v>895</v>
      </c>
      <c r="D314" t="s">
        <v>871</v>
      </c>
      <c r="E314">
        <v>59</v>
      </c>
      <c r="F314" t="s">
        <v>11</v>
      </c>
      <c r="G314">
        <v>3</v>
      </c>
      <c r="H314" t="s">
        <v>12</v>
      </c>
    </row>
    <row r="315" spans="1:8" hidden="1">
      <c r="A315" t="s">
        <v>97</v>
      </c>
      <c r="B315" t="s">
        <v>114</v>
      </c>
      <c r="C315" t="s">
        <v>115</v>
      </c>
      <c r="D315" t="s">
        <v>871</v>
      </c>
      <c r="E315">
        <v>40</v>
      </c>
      <c r="F315" t="s">
        <v>11</v>
      </c>
      <c r="G315">
        <v>3</v>
      </c>
      <c r="H315" t="s">
        <v>12</v>
      </c>
    </row>
    <row r="316" spans="1:8" hidden="1">
      <c r="A316" t="s">
        <v>97</v>
      </c>
      <c r="B316" t="s">
        <v>519</v>
      </c>
      <c r="C316" t="s">
        <v>520</v>
      </c>
      <c r="D316" t="s">
        <v>871</v>
      </c>
      <c r="E316">
        <v>40</v>
      </c>
      <c r="F316" t="s">
        <v>11</v>
      </c>
      <c r="G316">
        <v>3</v>
      </c>
      <c r="H316" t="s">
        <v>12</v>
      </c>
    </row>
    <row r="317" spans="1:8" hidden="1">
      <c r="A317" t="s">
        <v>97</v>
      </c>
      <c r="B317" t="s">
        <v>632</v>
      </c>
      <c r="C317" t="s">
        <v>633</v>
      </c>
      <c r="D317" t="s">
        <v>871</v>
      </c>
      <c r="E317">
        <v>47</v>
      </c>
      <c r="F317" t="s">
        <v>11</v>
      </c>
      <c r="G317">
        <v>3</v>
      </c>
      <c r="H317" t="s">
        <v>12</v>
      </c>
    </row>
    <row r="318" spans="1:8" hidden="1">
      <c r="A318" t="s">
        <v>97</v>
      </c>
      <c r="B318" t="s">
        <v>896</v>
      </c>
      <c r="C318" t="s">
        <v>897</v>
      </c>
      <c r="D318" t="s">
        <v>871</v>
      </c>
      <c r="E318">
        <v>34</v>
      </c>
      <c r="F318" t="s">
        <v>11</v>
      </c>
      <c r="G318">
        <v>3</v>
      </c>
      <c r="H318" t="s">
        <v>12</v>
      </c>
    </row>
    <row r="319" spans="1:8" hidden="1">
      <c r="A319" t="s">
        <v>65</v>
      </c>
      <c r="B319" t="s">
        <v>66</v>
      </c>
      <c r="C319" t="s">
        <v>67</v>
      </c>
      <c r="D319" t="s">
        <v>871</v>
      </c>
      <c r="E319">
        <v>45</v>
      </c>
      <c r="F319" t="s">
        <v>11</v>
      </c>
      <c r="G319">
        <v>3</v>
      </c>
      <c r="H319" t="s">
        <v>12</v>
      </c>
    </row>
    <row r="320" spans="1:8" hidden="1">
      <c r="A320" t="s">
        <v>65</v>
      </c>
      <c r="B320" t="s">
        <v>68</v>
      </c>
      <c r="C320" t="s">
        <v>69</v>
      </c>
      <c r="D320" t="s">
        <v>871</v>
      </c>
      <c r="E320">
        <v>46</v>
      </c>
      <c r="F320" t="s">
        <v>11</v>
      </c>
      <c r="G320">
        <v>3</v>
      </c>
      <c r="H320" t="s">
        <v>12</v>
      </c>
    </row>
    <row r="321" spans="1:8" hidden="1">
      <c r="A321" t="s">
        <v>65</v>
      </c>
      <c r="B321" t="s">
        <v>70</v>
      </c>
      <c r="C321" t="s">
        <v>71</v>
      </c>
      <c r="D321" t="s">
        <v>871</v>
      </c>
      <c r="E321">
        <v>50</v>
      </c>
      <c r="F321" t="s">
        <v>11</v>
      </c>
      <c r="G321">
        <v>3</v>
      </c>
      <c r="H321" t="s">
        <v>12</v>
      </c>
    </row>
    <row r="322" spans="1:8" hidden="1">
      <c r="A322" t="s">
        <v>65</v>
      </c>
      <c r="B322" t="s">
        <v>72</v>
      </c>
      <c r="C322" t="s">
        <v>73</v>
      </c>
      <c r="D322" t="s">
        <v>871</v>
      </c>
      <c r="E322">
        <v>45</v>
      </c>
      <c r="F322" t="s">
        <v>11</v>
      </c>
      <c r="G322">
        <v>3</v>
      </c>
      <c r="H322" t="s">
        <v>12</v>
      </c>
    </row>
    <row r="323" spans="1:8" hidden="1">
      <c r="A323" t="s">
        <v>65</v>
      </c>
      <c r="B323" t="s">
        <v>74</v>
      </c>
      <c r="C323" t="s">
        <v>75</v>
      </c>
      <c r="D323" t="s">
        <v>871</v>
      </c>
      <c r="E323">
        <v>53</v>
      </c>
      <c r="F323" t="s">
        <v>11</v>
      </c>
      <c r="G323">
        <v>3</v>
      </c>
      <c r="H323" t="s">
        <v>12</v>
      </c>
    </row>
    <row r="324" spans="1:8" hidden="1">
      <c r="A324" t="s">
        <v>65</v>
      </c>
      <c r="B324" t="s">
        <v>689</v>
      </c>
      <c r="C324" t="s">
        <v>690</v>
      </c>
      <c r="D324" t="s">
        <v>871</v>
      </c>
      <c r="E324">
        <v>40</v>
      </c>
      <c r="F324" t="s">
        <v>11</v>
      </c>
      <c r="G324">
        <v>3</v>
      </c>
      <c r="H324" t="s">
        <v>12</v>
      </c>
    </row>
    <row r="325" spans="1:8" hidden="1">
      <c r="A325" t="s">
        <v>65</v>
      </c>
      <c r="B325" t="s">
        <v>719</v>
      </c>
      <c r="C325" t="s">
        <v>720</v>
      </c>
      <c r="D325" t="s">
        <v>871</v>
      </c>
      <c r="E325">
        <v>40</v>
      </c>
      <c r="F325" t="s">
        <v>11</v>
      </c>
      <c r="G325">
        <v>3</v>
      </c>
      <c r="H325" t="s">
        <v>12</v>
      </c>
    </row>
    <row r="326" spans="1:8" hidden="1">
      <c r="A326" t="s">
        <v>65</v>
      </c>
      <c r="B326" t="s">
        <v>725</v>
      </c>
      <c r="C326" t="s">
        <v>726</v>
      </c>
      <c r="D326" t="s">
        <v>871</v>
      </c>
      <c r="E326">
        <v>45</v>
      </c>
      <c r="F326" t="s">
        <v>11</v>
      </c>
      <c r="G326">
        <v>3</v>
      </c>
      <c r="H326" t="s">
        <v>12</v>
      </c>
    </row>
    <row r="327" spans="1:8" hidden="1">
      <c r="A327" t="s">
        <v>65</v>
      </c>
      <c r="B327" t="s">
        <v>872</v>
      </c>
      <c r="C327" t="s">
        <v>873</v>
      </c>
      <c r="D327" t="s">
        <v>871</v>
      </c>
      <c r="E327">
        <v>43</v>
      </c>
      <c r="F327" t="s">
        <v>11</v>
      </c>
      <c r="G327">
        <v>3</v>
      </c>
      <c r="H327" t="s">
        <v>12</v>
      </c>
    </row>
    <row r="328" spans="1:8" hidden="1">
      <c r="A328" t="s">
        <v>65</v>
      </c>
      <c r="B328" t="s">
        <v>727</v>
      </c>
      <c r="C328" t="s">
        <v>728</v>
      </c>
      <c r="D328" t="s">
        <v>871</v>
      </c>
      <c r="E328">
        <v>40</v>
      </c>
      <c r="F328" t="s">
        <v>11</v>
      </c>
      <c r="G328">
        <v>3</v>
      </c>
      <c r="H328" t="s">
        <v>12</v>
      </c>
    </row>
    <row r="329" spans="1:8" hidden="1">
      <c r="A329" t="s">
        <v>294</v>
      </c>
      <c r="B329" t="s">
        <v>729</v>
      </c>
      <c r="C329" t="s">
        <v>730</v>
      </c>
      <c r="D329" t="s">
        <v>871</v>
      </c>
      <c r="E329">
        <v>50</v>
      </c>
      <c r="F329" t="s">
        <v>11</v>
      </c>
      <c r="G329">
        <v>3</v>
      </c>
      <c r="H329" t="s">
        <v>12</v>
      </c>
    </row>
    <row r="330" spans="1:8" hidden="1">
      <c r="A330" t="s">
        <v>294</v>
      </c>
      <c r="B330" t="s">
        <v>419</v>
      </c>
      <c r="C330" t="s">
        <v>420</v>
      </c>
      <c r="D330" t="s">
        <v>871</v>
      </c>
      <c r="E330">
        <v>45</v>
      </c>
      <c r="F330" t="s">
        <v>11</v>
      </c>
      <c r="G330">
        <v>3</v>
      </c>
      <c r="H330" t="s">
        <v>12</v>
      </c>
    </row>
    <row r="331" spans="1:8" hidden="1">
      <c r="A331" t="s">
        <v>294</v>
      </c>
      <c r="B331" t="s">
        <v>423</v>
      </c>
      <c r="C331" t="s">
        <v>424</v>
      </c>
      <c r="D331" t="s">
        <v>871</v>
      </c>
      <c r="E331">
        <v>51</v>
      </c>
      <c r="F331" t="s">
        <v>11</v>
      </c>
      <c r="G331">
        <v>3</v>
      </c>
      <c r="H331" t="s">
        <v>12</v>
      </c>
    </row>
    <row r="332" spans="1:8" hidden="1">
      <c r="A332" t="s">
        <v>294</v>
      </c>
      <c r="B332" t="s">
        <v>874</v>
      </c>
      <c r="C332" t="s">
        <v>875</v>
      </c>
      <c r="D332" t="s">
        <v>871</v>
      </c>
      <c r="E332">
        <v>44</v>
      </c>
      <c r="F332" t="s">
        <v>11</v>
      </c>
      <c r="G332">
        <v>3</v>
      </c>
      <c r="H332" t="s">
        <v>12</v>
      </c>
    </row>
    <row r="333" spans="1:8" hidden="1">
      <c r="A333" t="s">
        <v>171</v>
      </c>
      <c r="B333" t="s">
        <v>172</v>
      </c>
      <c r="C333" t="s">
        <v>173</v>
      </c>
      <c r="D333" t="s">
        <v>10</v>
      </c>
      <c r="E333">
        <v>55</v>
      </c>
      <c r="F333" t="s">
        <v>11</v>
      </c>
      <c r="G333">
        <v>3</v>
      </c>
      <c r="H333" t="s">
        <v>12</v>
      </c>
    </row>
    <row r="334" spans="1:8" hidden="1">
      <c r="A334" t="s">
        <v>7</v>
      </c>
      <c r="B334" t="s">
        <v>8</v>
      </c>
      <c r="C334" t="s">
        <v>9</v>
      </c>
      <c r="D334" t="s">
        <v>10</v>
      </c>
      <c r="E334">
        <v>45</v>
      </c>
      <c r="F334" t="s">
        <v>11</v>
      </c>
      <c r="G334">
        <v>3</v>
      </c>
      <c r="H334" t="s">
        <v>12</v>
      </c>
    </row>
    <row r="335" spans="1:8" hidden="1">
      <c r="A335" t="s">
        <v>7</v>
      </c>
      <c r="B335" t="s">
        <v>13</v>
      </c>
      <c r="C335" t="s">
        <v>14</v>
      </c>
      <c r="D335" t="s">
        <v>10</v>
      </c>
      <c r="E335">
        <v>56</v>
      </c>
      <c r="F335" t="s">
        <v>11</v>
      </c>
      <c r="G335">
        <v>3</v>
      </c>
      <c r="H335" t="s">
        <v>12</v>
      </c>
    </row>
    <row r="336" spans="1:8" hidden="1">
      <c r="A336" t="s">
        <v>7</v>
      </c>
      <c r="B336" t="s">
        <v>15</v>
      </c>
      <c r="C336" t="s">
        <v>16</v>
      </c>
      <c r="D336" t="s">
        <v>10</v>
      </c>
      <c r="E336">
        <v>48</v>
      </c>
      <c r="F336" t="s">
        <v>11</v>
      </c>
      <c r="G336">
        <v>3</v>
      </c>
      <c r="H336" t="s">
        <v>12</v>
      </c>
    </row>
    <row r="337" spans="1:8" hidden="1">
      <c r="A337" t="s">
        <v>7</v>
      </c>
      <c r="B337" t="s">
        <v>17</v>
      </c>
      <c r="C337" t="s">
        <v>18</v>
      </c>
      <c r="D337" t="s">
        <v>10</v>
      </c>
      <c r="E337">
        <v>43</v>
      </c>
      <c r="F337" t="s">
        <v>11</v>
      </c>
      <c r="G337">
        <v>3</v>
      </c>
      <c r="H337" t="s">
        <v>12</v>
      </c>
    </row>
    <row r="338" spans="1:8" hidden="1">
      <c r="A338" t="s">
        <v>7</v>
      </c>
      <c r="B338" t="s">
        <v>19</v>
      </c>
      <c r="C338" t="s">
        <v>20</v>
      </c>
      <c r="D338" t="s">
        <v>10</v>
      </c>
      <c r="E338">
        <v>55</v>
      </c>
      <c r="F338" t="s">
        <v>11</v>
      </c>
      <c r="G338">
        <v>3</v>
      </c>
      <c r="H338" t="s">
        <v>12</v>
      </c>
    </row>
    <row r="339" spans="1:8" hidden="1">
      <c r="A339" t="s">
        <v>7</v>
      </c>
      <c r="B339" t="s">
        <v>21</v>
      </c>
      <c r="C339" t="s">
        <v>22</v>
      </c>
      <c r="D339" t="s">
        <v>10</v>
      </c>
      <c r="E339">
        <v>56</v>
      </c>
      <c r="F339" t="s">
        <v>11</v>
      </c>
      <c r="G339">
        <v>3</v>
      </c>
      <c r="H339" t="s">
        <v>12</v>
      </c>
    </row>
    <row r="340" spans="1:8" hidden="1">
      <c r="A340" t="s">
        <v>7</v>
      </c>
      <c r="B340" t="s">
        <v>23</v>
      </c>
      <c r="C340" t="s">
        <v>24</v>
      </c>
      <c r="D340" t="s">
        <v>10</v>
      </c>
      <c r="E340">
        <v>46</v>
      </c>
      <c r="F340" t="s">
        <v>11</v>
      </c>
      <c r="G340">
        <v>3</v>
      </c>
      <c r="H340" t="s">
        <v>12</v>
      </c>
    </row>
    <row r="341" spans="1:8" hidden="1">
      <c r="A341" t="s">
        <v>84</v>
      </c>
      <c r="B341" t="s">
        <v>85</v>
      </c>
      <c r="C341" t="s">
        <v>86</v>
      </c>
      <c r="D341" t="s">
        <v>10</v>
      </c>
      <c r="E341">
        <v>45</v>
      </c>
      <c r="F341" t="s">
        <v>11</v>
      </c>
      <c r="G341">
        <v>3</v>
      </c>
      <c r="H341" t="s">
        <v>12</v>
      </c>
    </row>
    <row r="342" spans="1:8" hidden="1">
      <c r="A342" t="s">
        <v>84</v>
      </c>
      <c r="B342" t="s">
        <v>87</v>
      </c>
      <c r="C342" t="s">
        <v>88</v>
      </c>
      <c r="D342" t="s">
        <v>10</v>
      </c>
      <c r="E342">
        <v>47</v>
      </c>
      <c r="F342" t="s">
        <v>11</v>
      </c>
      <c r="G342">
        <v>3</v>
      </c>
      <c r="H342" t="s">
        <v>12</v>
      </c>
    </row>
    <row r="343" spans="1:8" hidden="1">
      <c r="A343" t="s">
        <v>84</v>
      </c>
      <c r="B343" t="s">
        <v>89</v>
      </c>
      <c r="C343" t="s">
        <v>90</v>
      </c>
      <c r="D343" t="s">
        <v>10</v>
      </c>
      <c r="E343">
        <v>50</v>
      </c>
      <c r="F343" t="s">
        <v>11</v>
      </c>
      <c r="G343">
        <v>3</v>
      </c>
      <c r="H343" t="s">
        <v>12</v>
      </c>
    </row>
    <row r="344" spans="1:8" hidden="1">
      <c r="A344" t="s">
        <v>84</v>
      </c>
      <c r="B344" t="s">
        <v>91</v>
      </c>
      <c r="C344" t="s">
        <v>92</v>
      </c>
      <c r="D344" t="s">
        <v>10</v>
      </c>
      <c r="E344">
        <v>55</v>
      </c>
      <c r="F344" t="s">
        <v>11</v>
      </c>
      <c r="G344">
        <v>3</v>
      </c>
      <c r="H344" t="s">
        <v>12</v>
      </c>
    </row>
    <row r="345" spans="1:8" hidden="1">
      <c r="A345" t="s">
        <v>84</v>
      </c>
      <c r="B345" t="s">
        <v>93</v>
      </c>
      <c r="C345" t="s">
        <v>94</v>
      </c>
      <c r="D345" t="s">
        <v>10</v>
      </c>
      <c r="E345">
        <v>56</v>
      </c>
      <c r="F345" t="s">
        <v>11</v>
      </c>
      <c r="G345">
        <v>3</v>
      </c>
      <c r="H345" t="s">
        <v>12</v>
      </c>
    </row>
    <row r="346" spans="1:8" hidden="1">
      <c r="A346" t="s">
        <v>84</v>
      </c>
      <c r="B346" t="s">
        <v>95</v>
      </c>
      <c r="C346" t="s">
        <v>96</v>
      </c>
      <c r="D346" t="s">
        <v>10</v>
      </c>
      <c r="E346">
        <v>55</v>
      </c>
      <c r="F346" t="s">
        <v>11</v>
      </c>
      <c r="G346">
        <v>3</v>
      </c>
      <c r="H346" t="s">
        <v>12</v>
      </c>
    </row>
    <row r="347" spans="1:8" hidden="1">
      <c r="A347" t="s">
        <v>25</v>
      </c>
      <c r="B347" t="s">
        <v>26</v>
      </c>
      <c r="C347" t="s">
        <v>27</v>
      </c>
      <c r="D347" t="s">
        <v>10</v>
      </c>
      <c r="E347">
        <v>40</v>
      </c>
      <c r="F347" t="s">
        <v>11</v>
      </c>
      <c r="G347">
        <v>3</v>
      </c>
      <c r="H347" t="s">
        <v>12</v>
      </c>
    </row>
    <row r="348" spans="1:8" hidden="1">
      <c r="A348" t="s">
        <v>25</v>
      </c>
      <c r="B348" t="s">
        <v>28</v>
      </c>
      <c r="C348" t="s">
        <v>29</v>
      </c>
      <c r="D348" t="s">
        <v>10</v>
      </c>
      <c r="E348">
        <v>41</v>
      </c>
      <c r="F348" t="s">
        <v>11</v>
      </c>
      <c r="G348">
        <v>3</v>
      </c>
      <c r="H348" t="s">
        <v>12</v>
      </c>
    </row>
    <row r="349" spans="1:8" hidden="1">
      <c r="A349" t="s">
        <v>25</v>
      </c>
      <c r="B349" t="s">
        <v>30</v>
      </c>
      <c r="C349" t="s">
        <v>31</v>
      </c>
      <c r="D349" t="s">
        <v>10</v>
      </c>
      <c r="E349">
        <v>50</v>
      </c>
      <c r="F349" t="s">
        <v>11</v>
      </c>
      <c r="G349">
        <v>3</v>
      </c>
      <c r="H349" t="s">
        <v>12</v>
      </c>
    </row>
    <row r="350" spans="1:8" hidden="1">
      <c r="A350" t="s">
        <v>25</v>
      </c>
      <c r="B350" t="s">
        <v>32</v>
      </c>
      <c r="C350" t="s">
        <v>33</v>
      </c>
      <c r="D350" t="s">
        <v>10</v>
      </c>
      <c r="E350">
        <v>47</v>
      </c>
      <c r="F350" t="s">
        <v>11</v>
      </c>
      <c r="G350">
        <v>3</v>
      </c>
      <c r="H350" t="s">
        <v>12</v>
      </c>
    </row>
    <row r="351" spans="1:8" hidden="1">
      <c r="A351" t="s">
        <v>25</v>
      </c>
      <c r="B351" t="s">
        <v>34</v>
      </c>
      <c r="C351" t="s">
        <v>35</v>
      </c>
      <c r="D351" t="s">
        <v>10</v>
      </c>
      <c r="E351">
        <v>43</v>
      </c>
      <c r="F351" t="s">
        <v>11</v>
      </c>
      <c r="G351">
        <v>3</v>
      </c>
      <c r="H351" t="s">
        <v>12</v>
      </c>
    </row>
    <row r="352" spans="1:8" hidden="1">
      <c r="A352" t="s">
        <v>25</v>
      </c>
      <c r="B352" t="s">
        <v>36</v>
      </c>
      <c r="C352" t="s">
        <v>37</v>
      </c>
      <c r="D352" t="s">
        <v>10</v>
      </c>
      <c r="E352">
        <v>41</v>
      </c>
      <c r="F352" t="s">
        <v>11</v>
      </c>
      <c r="G352">
        <v>3</v>
      </c>
      <c r="H352" t="s">
        <v>12</v>
      </c>
    </row>
    <row r="353" spans="1:8" hidden="1">
      <c r="A353" t="s">
        <v>25</v>
      </c>
      <c r="B353" t="s">
        <v>38</v>
      </c>
      <c r="C353" t="s">
        <v>39</v>
      </c>
      <c r="D353" t="s">
        <v>10</v>
      </c>
      <c r="E353">
        <v>45</v>
      </c>
      <c r="F353" t="s">
        <v>11</v>
      </c>
      <c r="G353">
        <v>3</v>
      </c>
      <c r="H353" t="s">
        <v>12</v>
      </c>
    </row>
    <row r="354" spans="1:8" hidden="1">
      <c r="A354" t="s">
        <v>25</v>
      </c>
      <c r="B354" t="s">
        <v>40</v>
      </c>
      <c r="C354" t="s">
        <v>41</v>
      </c>
      <c r="D354" t="s">
        <v>10</v>
      </c>
      <c r="E354">
        <v>50</v>
      </c>
      <c r="F354" t="s">
        <v>11</v>
      </c>
      <c r="G354">
        <v>3</v>
      </c>
      <c r="H354" t="s">
        <v>12</v>
      </c>
    </row>
    <row r="355" spans="1:8" hidden="1">
      <c r="A355" t="s">
        <v>25</v>
      </c>
      <c r="B355" t="s">
        <v>42</v>
      </c>
      <c r="C355" t="s">
        <v>43</v>
      </c>
      <c r="D355" t="s">
        <v>10</v>
      </c>
      <c r="E355">
        <v>42</v>
      </c>
      <c r="F355" t="s">
        <v>11</v>
      </c>
      <c r="G355">
        <v>3</v>
      </c>
      <c r="H355" t="s">
        <v>12</v>
      </c>
    </row>
    <row r="356" spans="1:8" hidden="1">
      <c r="A356" t="s">
        <v>246</v>
      </c>
      <c r="B356" t="s">
        <v>247</v>
      </c>
      <c r="C356" t="s">
        <v>248</v>
      </c>
      <c r="D356" t="s">
        <v>10</v>
      </c>
      <c r="E356">
        <v>41</v>
      </c>
      <c r="F356" t="s">
        <v>11</v>
      </c>
      <c r="G356">
        <v>3</v>
      </c>
      <c r="H356" t="s">
        <v>12</v>
      </c>
    </row>
    <row r="357" spans="1:8" hidden="1">
      <c r="A357" t="s">
        <v>246</v>
      </c>
      <c r="B357" t="s">
        <v>249</v>
      </c>
      <c r="C357" t="s">
        <v>250</v>
      </c>
      <c r="D357" t="s">
        <v>10</v>
      </c>
      <c r="E357">
        <v>51</v>
      </c>
      <c r="F357" t="s">
        <v>11</v>
      </c>
      <c r="G357">
        <v>3</v>
      </c>
      <c r="H357" t="s">
        <v>12</v>
      </c>
    </row>
    <row r="358" spans="1:8" hidden="1">
      <c r="A358" t="s">
        <v>246</v>
      </c>
      <c r="B358" t="s">
        <v>251</v>
      </c>
      <c r="C358" t="s">
        <v>252</v>
      </c>
      <c r="D358" t="s">
        <v>10</v>
      </c>
      <c r="E358">
        <v>52</v>
      </c>
      <c r="F358" t="s">
        <v>11</v>
      </c>
      <c r="G358">
        <v>3</v>
      </c>
      <c r="H358" t="s">
        <v>12</v>
      </c>
    </row>
    <row r="359" spans="1:8" hidden="1">
      <c r="A359" t="s">
        <v>246</v>
      </c>
      <c r="B359" t="s">
        <v>253</v>
      </c>
      <c r="C359" t="s">
        <v>254</v>
      </c>
      <c r="D359" t="s">
        <v>10</v>
      </c>
      <c r="E359">
        <v>53</v>
      </c>
      <c r="F359" t="s">
        <v>11</v>
      </c>
      <c r="G359">
        <v>3</v>
      </c>
      <c r="H359" t="s">
        <v>12</v>
      </c>
    </row>
    <row r="360" spans="1:8" hidden="1">
      <c r="A360" t="s">
        <v>246</v>
      </c>
      <c r="B360" t="s">
        <v>255</v>
      </c>
      <c r="C360" t="s">
        <v>256</v>
      </c>
      <c r="D360" t="s">
        <v>10</v>
      </c>
      <c r="E360">
        <v>54</v>
      </c>
      <c r="F360" t="s">
        <v>11</v>
      </c>
      <c r="G360">
        <v>3</v>
      </c>
      <c r="H360" t="s">
        <v>12</v>
      </c>
    </row>
    <row r="361" spans="1:8" hidden="1">
      <c r="A361" t="s">
        <v>246</v>
      </c>
      <c r="B361" t="s">
        <v>257</v>
      </c>
      <c r="C361" t="s">
        <v>258</v>
      </c>
      <c r="D361" t="s">
        <v>10</v>
      </c>
      <c r="E361">
        <v>53</v>
      </c>
      <c r="F361" t="s">
        <v>11</v>
      </c>
      <c r="G361">
        <v>3</v>
      </c>
      <c r="H361" t="s">
        <v>12</v>
      </c>
    </row>
    <row r="362" spans="1:8" hidden="1">
      <c r="A362" t="s">
        <v>246</v>
      </c>
      <c r="B362" t="s">
        <v>259</v>
      </c>
      <c r="C362" t="s">
        <v>260</v>
      </c>
      <c r="D362" t="s">
        <v>10</v>
      </c>
      <c r="E362">
        <v>49</v>
      </c>
      <c r="F362" t="s">
        <v>11</v>
      </c>
      <c r="G362">
        <v>3</v>
      </c>
      <c r="H362" t="s">
        <v>12</v>
      </c>
    </row>
    <row r="363" spans="1:8" hidden="1">
      <c r="A363" t="s">
        <v>246</v>
      </c>
      <c r="B363" t="s">
        <v>261</v>
      </c>
      <c r="C363" t="s">
        <v>262</v>
      </c>
      <c r="D363" t="s">
        <v>10</v>
      </c>
      <c r="E363">
        <v>45</v>
      </c>
      <c r="F363" t="s">
        <v>11</v>
      </c>
      <c r="G363">
        <v>3</v>
      </c>
      <c r="H363" t="s">
        <v>12</v>
      </c>
    </row>
    <row r="364" spans="1:8" hidden="1">
      <c r="A364" t="s">
        <v>246</v>
      </c>
      <c r="B364" t="s">
        <v>263</v>
      </c>
      <c r="C364" t="s">
        <v>264</v>
      </c>
      <c r="D364" t="s">
        <v>10</v>
      </c>
      <c r="E364">
        <v>54</v>
      </c>
      <c r="F364" t="s">
        <v>11</v>
      </c>
      <c r="G364">
        <v>3</v>
      </c>
      <c r="H364" t="s">
        <v>12</v>
      </c>
    </row>
    <row r="365" spans="1:8" hidden="1">
      <c r="A365" t="s">
        <v>246</v>
      </c>
      <c r="B365" t="s">
        <v>265</v>
      </c>
      <c r="C365" t="s">
        <v>266</v>
      </c>
      <c r="D365" t="s">
        <v>10</v>
      </c>
      <c r="E365">
        <v>50</v>
      </c>
      <c r="F365" t="s">
        <v>11</v>
      </c>
      <c r="G365">
        <v>3</v>
      </c>
      <c r="H365" t="s">
        <v>12</v>
      </c>
    </row>
    <row r="366" spans="1:8" hidden="1">
      <c r="A366" t="s">
        <v>246</v>
      </c>
      <c r="B366" t="s">
        <v>267</v>
      </c>
      <c r="C366" t="s">
        <v>268</v>
      </c>
      <c r="D366" t="s">
        <v>10</v>
      </c>
      <c r="E366">
        <v>52</v>
      </c>
      <c r="F366" t="s">
        <v>11</v>
      </c>
      <c r="G366">
        <v>3</v>
      </c>
      <c r="H366" t="s">
        <v>12</v>
      </c>
    </row>
    <row r="367" spans="1:8" hidden="1">
      <c r="A367" t="s">
        <v>246</v>
      </c>
      <c r="B367" t="s">
        <v>269</v>
      </c>
      <c r="C367" t="s">
        <v>270</v>
      </c>
      <c r="D367" t="s">
        <v>10</v>
      </c>
      <c r="E367">
        <v>47</v>
      </c>
      <c r="F367" t="s">
        <v>11</v>
      </c>
      <c r="G367">
        <v>3</v>
      </c>
      <c r="H367" t="s">
        <v>12</v>
      </c>
    </row>
    <row r="368" spans="1:8" hidden="1">
      <c r="A368" t="s">
        <v>246</v>
      </c>
      <c r="B368" t="s">
        <v>271</v>
      </c>
      <c r="C368" t="s">
        <v>272</v>
      </c>
      <c r="D368" t="s">
        <v>10</v>
      </c>
      <c r="E368">
        <v>53</v>
      </c>
      <c r="F368" t="s">
        <v>11</v>
      </c>
      <c r="G368">
        <v>3</v>
      </c>
      <c r="H368" t="s">
        <v>12</v>
      </c>
    </row>
    <row r="369" spans="1:8" hidden="1">
      <c r="A369" t="s">
        <v>246</v>
      </c>
      <c r="B369" t="s">
        <v>273</v>
      </c>
      <c r="C369" t="s">
        <v>274</v>
      </c>
      <c r="D369" t="s">
        <v>10</v>
      </c>
      <c r="E369">
        <v>48</v>
      </c>
      <c r="F369" t="s">
        <v>11</v>
      </c>
      <c r="G369">
        <v>3</v>
      </c>
      <c r="H369" t="s">
        <v>12</v>
      </c>
    </row>
    <row r="370" spans="1:8" hidden="1">
      <c r="A370" t="s">
        <v>246</v>
      </c>
      <c r="B370" t="s">
        <v>275</v>
      </c>
      <c r="C370" t="s">
        <v>276</v>
      </c>
      <c r="D370" t="s">
        <v>10</v>
      </c>
      <c r="E370">
        <v>38</v>
      </c>
      <c r="F370" t="s">
        <v>11</v>
      </c>
      <c r="G370">
        <v>3</v>
      </c>
      <c r="H370" t="s">
        <v>12</v>
      </c>
    </row>
    <row r="371" spans="1:8" hidden="1">
      <c r="A371" t="s">
        <v>246</v>
      </c>
      <c r="B371" t="s">
        <v>277</v>
      </c>
      <c r="C371" t="s">
        <v>278</v>
      </c>
      <c r="D371" t="s">
        <v>10</v>
      </c>
      <c r="E371">
        <v>46</v>
      </c>
      <c r="F371" t="s">
        <v>11</v>
      </c>
      <c r="G371">
        <v>3</v>
      </c>
      <c r="H371" t="s">
        <v>12</v>
      </c>
    </row>
    <row r="372" spans="1:8" hidden="1">
      <c r="A372" t="s">
        <v>279</v>
      </c>
      <c r="B372" t="s">
        <v>280</v>
      </c>
      <c r="C372" t="s">
        <v>281</v>
      </c>
      <c r="D372" t="s">
        <v>10</v>
      </c>
      <c r="E372">
        <v>45</v>
      </c>
      <c r="F372" t="s">
        <v>11</v>
      </c>
      <c r="G372">
        <v>3</v>
      </c>
      <c r="H372" t="s">
        <v>12</v>
      </c>
    </row>
    <row r="373" spans="1:8" hidden="1">
      <c r="A373" t="s">
        <v>279</v>
      </c>
      <c r="B373" t="s">
        <v>282</v>
      </c>
      <c r="C373" t="s">
        <v>283</v>
      </c>
      <c r="D373" t="s">
        <v>10</v>
      </c>
      <c r="E373">
        <v>50</v>
      </c>
      <c r="F373" t="s">
        <v>11</v>
      </c>
      <c r="G373">
        <v>3</v>
      </c>
      <c r="H373" t="s">
        <v>12</v>
      </c>
    </row>
    <row r="374" spans="1:8" hidden="1">
      <c r="A374" t="s">
        <v>279</v>
      </c>
      <c r="B374" t="s">
        <v>284</v>
      </c>
      <c r="C374" t="s">
        <v>285</v>
      </c>
      <c r="D374" t="s">
        <v>10</v>
      </c>
      <c r="E374">
        <v>51</v>
      </c>
      <c r="F374" t="s">
        <v>11</v>
      </c>
      <c r="G374">
        <v>3</v>
      </c>
      <c r="H374" t="s">
        <v>12</v>
      </c>
    </row>
    <row r="375" spans="1:8" hidden="1">
      <c r="A375" t="s">
        <v>279</v>
      </c>
      <c r="B375" t="s">
        <v>286</v>
      </c>
      <c r="C375" t="s">
        <v>287</v>
      </c>
      <c r="D375" t="s">
        <v>10</v>
      </c>
      <c r="E375">
        <v>54</v>
      </c>
      <c r="F375" t="s">
        <v>11</v>
      </c>
      <c r="G375">
        <v>3</v>
      </c>
      <c r="H375" t="s">
        <v>12</v>
      </c>
    </row>
    <row r="376" spans="1:8" hidden="1">
      <c r="A376" t="s">
        <v>279</v>
      </c>
      <c r="B376" t="s">
        <v>288</v>
      </c>
      <c r="C376" t="s">
        <v>289</v>
      </c>
      <c r="D376" t="s">
        <v>10</v>
      </c>
      <c r="E376">
        <v>56</v>
      </c>
      <c r="F376" t="s">
        <v>11</v>
      </c>
      <c r="G376">
        <v>3</v>
      </c>
      <c r="H376" t="s">
        <v>12</v>
      </c>
    </row>
    <row r="377" spans="1:8" hidden="1">
      <c r="A377" t="s">
        <v>279</v>
      </c>
      <c r="B377" t="s">
        <v>290</v>
      </c>
      <c r="C377" t="s">
        <v>291</v>
      </c>
      <c r="D377" t="s">
        <v>10</v>
      </c>
      <c r="E377">
        <v>58</v>
      </c>
      <c r="F377" t="s">
        <v>11</v>
      </c>
      <c r="G377">
        <v>3</v>
      </c>
      <c r="H377" t="s">
        <v>12</v>
      </c>
    </row>
    <row r="378" spans="1:8" hidden="1">
      <c r="A378" t="s">
        <v>279</v>
      </c>
      <c r="B378" t="s">
        <v>292</v>
      </c>
      <c r="C378" t="s">
        <v>293</v>
      </c>
      <c r="D378" t="s">
        <v>10</v>
      </c>
      <c r="E378">
        <v>51</v>
      </c>
      <c r="F378" t="s">
        <v>11</v>
      </c>
      <c r="G378">
        <v>3</v>
      </c>
      <c r="H378" t="s">
        <v>12</v>
      </c>
    </row>
    <row r="379" spans="1:8" hidden="1">
      <c r="A379" t="s">
        <v>174</v>
      </c>
      <c r="B379" t="s">
        <v>175</v>
      </c>
      <c r="C379" t="s">
        <v>176</v>
      </c>
      <c r="D379" t="s">
        <v>10</v>
      </c>
      <c r="E379">
        <v>40</v>
      </c>
      <c r="F379" t="s">
        <v>11</v>
      </c>
      <c r="G379">
        <v>3</v>
      </c>
      <c r="H379" t="s">
        <v>12</v>
      </c>
    </row>
    <row r="380" spans="1:8" hidden="1">
      <c r="A380" t="s">
        <v>174</v>
      </c>
      <c r="B380" t="s">
        <v>177</v>
      </c>
      <c r="C380" t="s">
        <v>178</v>
      </c>
      <c r="D380" t="s">
        <v>10</v>
      </c>
      <c r="E380">
        <v>45</v>
      </c>
      <c r="F380" t="s">
        <v>11</v>
      </c>
      <c r="G380">
        <v>3</v>
      </c>
      <c r="H380" t="s">
        <v>12</v>
      </c>
    </row>
    <row r="381" spans="1:8" hidden="1">
      <c r="A381" t="s">
        <v>174</v>
      </c>
      <c r="B381" t="s">
        <v>179</v>
      </c>
      <c r="C381" t="s">
        <v>180</v>
      </c>
      <c r="D381" t="s">
        <v>10</v>
      </c>
      <c r="E381">
        <v>54</v>
      </c>
      <c r="F381" t="s">
        <v>11</v>
      </c>
      <c r="G381">
        <v>3</v>
      </c>
      <c r="H381" t="s">
        <v>12</v>
      </c>
    </row>
    <row r="382" spans="1:8" hidden="1">
      <c r="A382" t="s">
        <v>174</v>
      </c>
      <c r="B382" t="s">
        <v>181</v>
      </c>
      <c r="C382" t="s">
        <v>182</v>
      </c>
      <c r="D382" t="s">
        <v>10</v>
      </c>
      <c r="E382">
        <v>56</v>
      </c>
      <c r="F382" t="s">
        <v>11</v>
      </c>
      <c r="G382">
        <v>3</v>
      </c>
      <c r="H382" t="s">
        <v>12</v>
      </c>
    </row>
    <row r="383" spans="1:8" hidden="1">
      <c r="A383" t="s">
        <v>174</v>
      </c>
      <c r="B383" t="s">
        <v>183</v>
      </c>
      <c r="C383" t="s">
        <v>184</v>
      </c>
      <c r="D383" t="s">
        <v>10</v>
      </c>
      <c r="E383">
        <v>55</v>
      </c>
      <c r="F383" t="s">
        <v>11</v>
      </c>
      <c r="G383">
        <v>3</v>
      </c>
      <c r="H383" t="s">
        <v>12</v>
      </c>
    </row>
    <row r="384" spans="1:8" hidden="1">
      <c r="A384" t="s">
        <v>174</v>
      </c>
      <c r="B384" t="s">
        <v>185</v>
      </c>
      <c r="C384" t="s">
        <v>186</v>
      </c>
      <c r="D384" t="s">
        <v>10</v>
      </c>
      <c r="E384">
        <v>50</v>
      </c>
      <c r="F384" t="s">
        <v>11</v>
      </c>
      <c r="G384">
        <v>3</v>
      </c>
      <c r="H384" t="s">
        <v>12</v>
      </c>
    </row>
    <row r="385" spans="1:8" hidden="1">
      <c r="A385" t="s">
        <v>174</v>
      </c>
      <c r="B385" t="s">
        <v>187</v>
      </c>
      <c r="C385" t="s">
        <v>188</v>
      </c>
      <c r="D385" t="s">
        <v>10</v>
      </c>
      <c r="E385">
        <v>44</v>
      </c>
      <c r="F385" t="s">
        <v>11</v>
      </c>
      <c r="G385">
        <v>3</v>
      </c>
      <c r="H385" t="s">
        <v>12</v>
      </c>
    </row>
    <row r="386" spans="1:8" hidden="1">
      <c r="A386" t="s">
        <v>174</v>
      </c>
      <c r="B386" t="s">
        <v>189</v>
      </c>
      <c r="C386" t="s">
        <v>190</v>
      </c>
      <c r="D386" t="s">
        <v>10</v>
      </c>
      <c r="E386">
        <v>48</v>
      </c>
      <c r="F386" t="s">
        <v>11</v>
      </c>
      <c r="G386">
        <v>3</v>
      </c>
      <c r="H386" t="s">
        <v>12</v>
      </c>
    </row>
    <row r="387" spans="1:8" hidden="1">
      <c r="A387" t="s">
        <v>174</v>
      </c>
      <c r="B387" t="s">
        <v>191</v>
      </c>
      <c r="C387" t="s">
        <v>151</v>
      </c>
      <c r="D387" t="s">
        <v>10</v>
      </c>
      <c r="E387">
        <v>53</v>
      </c>
      <c r="F387" t="s">
        <v>11</v>
      </c>
      <c r="G387">
        <v>3</v>
      </c>
      <c r="H387" t="s">
        <v>12</v>
      </c>
    </row>
    <row r="388" spans="1:8" hidden="1">
      <c r="A388" t="s">
        <v>174</v>
      </c>
      <c r="B388" t="s">
        <v>192</v>
      </c>
      <c r="C388" t="s">
        <v>193</v>
      </c>
      <c r="D388" t="s">
        <v>10</v>
      </c>
      <c r="E388">
        <v>50</v>
      </c>
      <c r="F388" t="s">
        <v>11</v>
      </c>
      <c r="G388">
        <v>3</v>
      </c>
      <c r="H388" t="s">
        <v>12</v>
      </c>
    </row>
    <row r="389" spans="1:8" hidden="1">
      <c r="A389" t="s">
        <v>44</v>
      </c>
      <c r="B389" t="s">
        <v>45</v>
      </c>
      <c r="C389" t="s">
        <v>46</v>
      </c>
      <c r="D389" t="s">
        <v>10</v>
      </c>
      <c r="E389">
        <v>49</v>
      </c>
      <c r="F389" t="s">
        <v>11</v>
      </c>
      <c r="G389">
        <v>3</v>
      </c>
      <c r="H389" t="s">
        <v>12</v>
      </c>
    </row>
    <row r="390" spans="1:8" hidden="1">
      <c r="A390" t="s">
        <v>44</v>
      </c>
      <c r="B390" t="s">
        <v>47</v>
      </c>
      <c r="C390" t="s">
        <v>48</v>
      </c>
      <c r="D390" t="s">
        <v>10</v>
      </c>
      <c r="E390">
        <v>54</v>
      </c>
      <c r="F390" t="s">
        <v>11</v>
      </c>
      <c r="G390">
        <v>3</v>
      </c>
      <c r="H390" t="s">
        <v>12</v>
      </c>
    </row>
    <row r="391" spans="1:8" hidden="1">
      <c r="A391" t="s">
        <v>44</v>
      </c>
      <c r="B391" t="s">
        <v>49</v>
      </c>
      <c r="C391" t="s">
        <v>50</v>
      </c>
      <c r="D391" t="s">
        <v>10</v>
      </c>
      <c r="E391">
        <v>52</v>
      </c>
      <c r="F391" t="s">
        <v>11</v>
      </c>
      <c r="G391">
        <v>3</v>
      </c>
      <c r="H391" t="s">
        <v>12</v>
      </c>
    </row>
    <row r="392" spans="1:8" hidden="1">
      <c r="A392" t="s">
        <v>44</v>
      </c>
      <c r="B392" t="s">
        <v>51</v>
      </c>
      <c r="C392" t="s">
        <v>52</v>
      </c>
      <c r="D392" t="s">
        <v>10</v>
      </c>
      <c r="E392">
        <v>46</v>
      </c>
      <c r="F392" t="s">
        <v>11</v>
      </c>
      <c r="G392">
        <v>3</v>
      </c>
      <c r="H392" t="s">
        <v>12</v>
      </c>
    </row>
    <row r="393" spans="1:8" hidden="1">
      <c r="A393" t="s">
        <v>44</v>
      </c>
      <c r="B393" t="s">
        <v>53</v>
      </c>
      <c r="C393" t="s">
        <v>54</v>
      </c>
      <c r="D393" t="s">
        <v>10</v>
      </c>
      <c r="E393">
        <v>51</v>
      </c>
      <c r="F393" t="s">
        <v>11</v>
      </c>
      <c r="G393">
        <v>3</v>
      </c>
      <c r="H393" t="s">
        <v>12</v>
      </c>
    </row>
    <row r="394" spans="1:8" hidden="1">
      <c r="A394" t="s">
        <v>44</v>
      </c>
      <c r="B394" t="s">
        <v>55</v>
      </c>
      <c r="C394" t="s">
        <v>56</v>
      </c>
      <c r="D394" t="s">
        <v>10</v>
      </c>
      <c r="E394">
        <v>47</v>
      </c>
      <c r="F394" t="s">
        <v>11</v>
      </c>
      <c r="G394">
        <v>3</v>
      </c>
      <c r="H394" t="s">
        <v>12</v>
      </c>
    </row>
    <row r="395" spans="1:8" hidden="1">
      <c r="A395" t="s">
        <v>44</v>
      </c>
      <c r="B395" t="s">
        <v>57</v>
      </c>
      <c r="C395" t="s">
        <v>58</v>
      </c>
      <c r="D395" t="s">
        <v>10</v>
      </c>
      <c r="E395">
        <v>56</v>
      </c>
      <c r="F395" t="s">
        <v>11</v>
      </c>
      <c r="G395">
        <v>3</v>
      </c>
      <c r="H395" t="s">
        <v>12</v>
      </c>
    </row>
    <row r="396" spans="1:8" hidden="1">
      <c r="A396" t="s">
        <v>44</v>
      </c>
      <c r="B396" t="s">
        <v>59</v>
      </c>
      <c r="C396" t="s">
        <v>60</v>
      </c>
      <c r="D396" t="s">
        <v>10</v>
      </c>
      <c r="E396">
        <v>53</v>
      </c>
      <c r="F396" t="s">
        <v>11</v>
      </c>
      <c r="G396">
        <v>3</v>
      </c>
      <c r="H396" t="s">
        <v>12</v>
      </c>
    </row>
    <row r="397" spans="1:8" hidden="1">
      <c r="A397" t="s">
        <v>44</v>
      </c>
      <c r="B397" t="s">
        <v>61</v>
      </c>
      <c r="C397" t="s">
        <v>62</v>
      </c>
      <c r="D397" t="s">
        <v>10</v>
      </c>
      <c r="E397">
        <v>53</v>
      </c>
      <c r="F397" t="s">
        <v>11</v>
      </c>
      <c r="G397">
        <v>3</v>
      </c>
      <c r="H397" t="s">
        <v>12</v>
      </c>
    </row>
    <row r="398" spans="1:8" hidden="1">
      <c r="A398" t="s">
        <v>44</v>
      </c>
      <c r="B398" t="s">
        <v>63</v>
      </c>
      <c r="C398" t="s">
        <v>64</v>
      </c>
      <c r="D398" t="s">
        <v>10</v>
      </c>
      <c r="E398">
        <v>56</v>
      </c>
      <c r="F398" t="s">
        <v>11</v>
      </c>
      <c r="G398">
        <v>3</v>
      </c>
      <c r="H398" t="s">
        <v>12</v>
      </c>
    </row>
    <row r="399" spans="1:8" hidden="1">
      <c r="A399" t="s">
        <v>158</v>
      </c>
      <c r="B399" t="s">
        <v>159</v>
      </c>
      <c r="C399" t="s">
        <v>160</v>
      </c>
      <c r="D399" t="s">
        <v>10</v>
      </c>
      <c r="E399">
        <v>55</v>
      </c>
      <c r="F399" t="s">
        <v>11</v>
      </c>
      <c r="G399">
        <v>3</v>
      </c>
      <c r="H399" t="s">
        <v>12</v>
      </c>
    </row>
    <row r="400" spans="1:8" hidden="1">
      <c r="A400" t="s">
        <v>158</v>
      </c>
      <c r="B400" t="s">
        <v>161</v>
      </c>
      <c r="C400" t="s">
        <v>162</v>
      </c>
      <c r="D400" t="s">
        <v>10</v>
      </c>
      <c r="E400">
        <v>40</v>
      </c>
      <c r="F400" t="s">
        <v>11</v>
      </c>
      <c r="G400">
        <v>3</v>
      </c>
      <c r="H400" t="s">
        <v>12</v>
      </c>
    </row>
    <row r="401" spans="1:8" hidden="1">
      <c r="A401" t="s">
        <v>158</v>
      </c>
      <c r="B401" t="s">
        <v>163</v>
      </c>
      <c r="C401" t="s">
        <v>164</v>
      </c>
      <c r="D401" t="s">
        <v>10</v>
      </c>
      <c r="E401">
        <v>50</v>
      </c>
      <c r="F401" t="s">
        <v>11</v>
      </c>
      <c r="G401">
        <v>3</v>
      </c>
      <c r="H401" t="s">
        <v>12</v>
      </c>
    </row>
    <row r="402" spans="1:8" hidden="1">
      <c r="A402" t="s">
        <v>158</v>
      </c>
      <c r="B402" t="s">
        <v>165</v>
      </c>
      <c r="C402" t="s">
        <v>166</v>
      </c>
      <c r="D402" t="s">
        <v>10</v>
      </c>
      <c r="E402">
        <v>57</v>
      </c>
      <c r="F402" t="s">
        <v>11</v>
      </c>
      <c r="G402">
        <v>3</v>
      </c>
      <c r="H402" t="s">
        <v>12</v>
      </c>
    </row>
    <row r="403" spans="1:8" hidden="1">
      <c r="A403" t="s">
        <v>158</v>
      </c>
      <c r="B403" t="s">
        <v>167</v>
      </c>
      <c r="C403" t="s">
        <v>168</v>
      </c>
      <c r="D403" t="s">
        <v>10</v>
      </c>
      <c r="E403">
        <v>50</v>
      </c>
      <c r="F403" t="s">
        <v>11</v>
      </c>
      <c r="G403">
        <v>3</v>
      </c>
      <c r="H403" t="s">
        <v>12</v>
      </c>
    </row>
    <row r="404" spans="1:8" hidden="1">
      <c r="A404" t="s">
        <v>158</v>
      </c>
      <c r="B404" t="s">
        <v>169</v>
      </c>
      <c r="C404" t="s">
        <v>170</v>
      </c>
      <c r="D404" t="s">
        <v>10</v>
      </c>
      <c r="E404">
        <v>43</v>
      </c>
      <c r="F404" t="s">
        <v>11</v>
      </c>
      <c r="G404">
        <v>3</v>
      </c>
      <c r="H404" t="s">
        <v>12</v>
      </c>
    </row>
    <row r="405" spans="1:8" hidden="1">
      <c r="A405" t="s">
        <v>97</v>
      </c>
      <c r="B405" t="s">
        <v>98</v>
      </c>
      <c r="C405" t="s">
        <v>99</v>
      </c>
      <c r="D405" t="s">
        <v>10</v>
      </c>
      <c r="E405">
        <v>40</v>
      </c>
      <c r="F405" t="s">
        <v>11</v>
      </c>
      <c r="G405">
        <v>3</v>
      </c>
      <c r="H405" t="s">
        <v>12</v>
      </c>
    </row>
    <row r="406" spans="1:8" hidden="1">
      <c r="A406" t="s">
        <v>97</v>
      </c>
      <c r="B406" t="s">
        <v>100</v>
      </c>
      <c r="C406" t="s">
        <v>101</v>
      </c>
      <c r="D406" t="s">
        <v>10</v>
      </c>
      <c r="E406">
        <v>51</v>
      </c>
      <c r="F406" t="s">
        <v>11</v>
      </c>
      <c r="G406">
        <v>3</v>
      </c>
      <c r="H406" t="s">
        <v>12</v>
      </c>
    </row>
    <row r="407" spans="1:8" hidden="1">
      <c r="A407" t="s">
        <v>97</v>
      </c>
      <c r="B407" t="s">
        <v>102</v>
      </c>
      <c r="C407" t="s">
        <v>103</v>
      </c>
      <c r="D407" t="s">
        <v>10</v>
      </c>
      <c r="E407">
        <v>53</v>
      </c>
      <c r="F407" t="s">
        <v>11</v>
      </c>
      <c r="G407">
        <v>3</v>
      </c>
      <c r="H407" t="s">
        <v>12</v>
      </c>
    </row>
    <row r="408" spans="1:8" hidden="1">
      <c r="A408" t="s">
        <v>97</v>
      </c>
      <c r="B408" t="s">
        <v>104</v>
      </c>
      <c r="C408" t="s">
        <v>105</v>
      </c>
      <c r="D408" t="s">
        <v>10</v>
      </c>
      <c r="E408">
        <v>45</v>
      </c>
      <c r="F408" t="s">
        <v>11</v>
      </c>
      <c r="G408">
        <v>3</v>
      </c>
      <c r="H408" t="s">
        <v>12</v>
      </c>
    </row>
    <row r="409" spans="1:8" hidden="1">
      <c r="A409" t="s">
        <v>97</v>
      </c>
      <c r="B409" t="s">
        <v>106</v>
      </c>
      <c r="C409" t="s">
        <v>107</v>
      </c>
      <c r="D409" t="s">
        <v>10</v>
      </c>
      <c r="E409">
        <v>51</v>
      </c>
      <c r="F409" t="s">
        <v>11</v>
      </c>
      <c r="G409">
        <v>3</v>
      </c>
      <c r="H409" t="s">
        <v>12</v>
      </c>
    </row>
    <row r="410" spans="1:8" hidden="1">
      <c r="A410" t="s">
        <v>97</v>
      </c>
      <c r="B410" t="s">
        <v>108</v>
      </c>
      <c r="C410" t="s">
        <v>109</v>
      </c>
      <c r="D410" t="s">
        <v>10</v>
      </c>
      <c r="E410">
        <v>40</v>
      </c>
      <c r="F410" t="s">
        <v>11</v>
      </c>
      <c r="G410">
        <v>3</v>
      </c>
      <c r="H410" t="s">
        <v>12</v>
      </c>
    </row>
    <row r="411" spans="1:8" hidden="1">
      <c r="A411" t="s">
        <v>97</v>
      </c>
      <c r="B411" t="s">
        <v>110</v>
      </c>
      <c r="C411" t="s">
        <v>111</v>
      </c>
      <c r="D411" t="s">
        <v>10</v>
      </c>
      <c r="E411">
        <v>30</v>
      </c>
      <c r="F411" t="s">
        <v>11</v>
      </c>
      <c r="G411">
        <v>3</v>
      </c>
      <c r="H411" t="s">
        <v>12</v>
      </c>
    </row>
    <row r="412" spans="1:8" hidden="1">
      <c r="A412" t="s">
        <v>97</v>
      </c>
      <c r="B412" t="s">
        <v>112</v>
      </c>
      <c r="C412" t="s">
        <v>113</v>
      </c>
      <c r="D412" t="s">
        <v>10</v>
      </c>
      <c r="E412">
        <v>40</v>
      </c>
      <c r="F412" t="s">
        <v>11</v>
      </c>
      <c r="G412">
        <v>3</v>
      </c>
      <c r="H412" t="s">
        <v>12</v>
      </c>
    </row>
    <row r="413" spans="1:8" hidden="1">
      <c r="A413" t="s">
        <v>97</v>
      </c>
      <c r="B413" t="s">
        <v>114</v>
      </c>
      <c r="C413" t="s">
        <v>115</v>
      </c>
      <c r="D413" t="s">
        <v>10</v>
      </c>
      <c r="E413">
        <v>50</v>
      </c>
      <c r="F413" t="s">
        <v>11</v>
      </c>
      <c r="G413">
        <v>3</v>
      </c>
      <c r="H413" t="s">
        <v>12</v>
      </c>
    </row>
    <row r="414" spans="1:8" hidden="1">
      <c r="A414" t="s">
        <v>97</v>
      </c>
      <c r="B414" t="s">
        <v>116</v>
      </c>
      <c r="C414" t="s">
        <v>117</v>
      </c>
      <c r="D414" t="s">
        <v>10</v>
      </c>
      <c r="E414">
        <v>52</v>
      </c>
      <c r="F414" t="s">
        <v>11</v>
      </c>
      <c r="G414">
        <v>3</v>
      </c>
      <c r="H414" t="s">
        <v>12</v>
      </c>
    </row>
    <row r="415" spans="1:8" hidden="1">
      <c r="A415" t="s">
        <v>97</v>
      </c>
      <c r="B415" t="s">
        <v>118</v>
      </c>
      <c r="C415" t="s">
        <v>119</v>
      </c>
      <c r="D415" t="s">
        <v>10</v>
      </c>
      <c r="E415">
        <v>41</v>
      </c>
      <c r="F415" t="s">
        <v>11</v>
      </c>
      <c r="G415">
        <v>3</v>
      </c>
      <c r="H415" t="s">
        <v>12</v>
      </c>
    </row>
    <row r="416" spans="1:8" hidden="1">
      <c r="A416" t="s">
        <v>97</v>
      </c>
      <c r="B416" t="s">
        <v>120</v>
      </c>
      <c r="C416" t="s">
        <v>121</v>
      </c>
      <c r="D416" t="s">
        <v>10</v>
      </c>
      <c r="E416">
        <v>56</v>
      </c>
      <c r="F416" t="s">
        <v>11</v>
      </c>
      <c r="G416">
        <v>3</v>
      </c>
      <c r="H416" t="s">
        <v>12</v>
      </c>
    </row>
    <row r="417" spans="1:8" hidden="1">
      <c r="A417" t="s">
        <v>65</v>
      </c>
      <c r="B417" t="s">
        <v>66</v>
      </c>
      <c r="C417" t="s">
        <v>67</v>
      </c>
      <c r="D417" t="s">
        <v>10</v>
      </c>
      <c r="E417">
        <v>47</v>
      </c>
      <c r="F417" t="s">
        <v>11</v>
      </c>
      <c r="G417">
        <v>3</v>
      </c>
      <c r="H417" t="s">
        <v>12</v>
      </c>
    </row>
    <row r="418" spans="1:8" hidden="1">
      <c r="A418" t="s">
        <v>65</v>
      </c>
      <c r="B418" t="s">
        <v>68</v>
      </c>
      <c r="C418" t="s">
        <v>69</v>
      </c>
      <c r="D418" t="s">
        <v>10</v>
      </c>
      <c r="E418">
        <v>41</v>
      </c>
      <c r="F418" t="s">
        <v>11</v>
      </c>
      <c r="G418">
        <v>3</v>
      </c>
      <c r="H418" t="s">
        <v>12</v>
      </c>
    </row>
    <row r="419" spans="1:8" hidden="1">
      <c r="A419" t="s">
        <v>65</v>
      </c>
      <c r="B419" t="s">
        <v>70</v>
      </c>
      <c r="C419" t="s">
        <v>71</v>
      </c>
      <c r="D419" t="s">
        <v>10</v>
      </c>
      <c r="E419">
        <v>54</v>
      </c>
      <c r="F419" t="s">
        <v>11</v>
      </c>
      <c r="G419">
        <v>3</v>
      </c>
      <c r="H419" t="s">
        <v>12</v>
      </c>
    </row>
    <row r="420" spans="1:8" hidden="1">
      <c r="A420" t="s">
        <v>65</v>
      </c>
      <c r="B420" t="s">
        <v>72</v>
      </c>
      <c r="C420" t="s">
        <v>73</v>
      </c>
      <c r="D420" t="s">
        <v>10</v>
      </c>
      <c r="E420">
        <v>50</v>
      </c>
      <c r="F420" t="s">
        <v>11</v>
      </c>
      <c r="G420">
        <v>3</v>
      </c>
      <c r="H420" t="s">
        <v>12</v>
      </c>
    </row>
    <row r="421" spans="1:8" hidden="1">
      <c r="A421" t="s">
        <v>65</v>
      </c>
      <c r="B421" t="s">
        <v>74</v>
      </c>
      <c r="C421" t="s">
        <v>75</v>
      </c>
      <c r="D421" t="s">
        <v>10</v>
      </c>
      <c r="E421">
        <v>54</v>
      </c>
      <c r="F421" t="s">
        <v>11</v>
      </c>
      <c r="G421">
        <v>3</v>
      </c>
      <c r="H421" t="s">
        <v>12</v>
      </c>
    </row>
    <row r="422" spans="1:8" hidden="1">
      <c r="A422" t="s">
        <v>65</v>
      </c>
      <c r="B422" t="s">
        <v>76</v>
      </c>
      <c r="C422" t="s">
        <v>77</v>
      </c>
      <c r="D422" t="s">
        <v>10</v>
      </c>
      <c r="E422">
        <v>41</v>
      </c>
      <c r="F422" t="s">
        <v>11</v>
      </c>
      <c r="G422">
        <v>3</v>
      </c>
      <c r="H422" t="s">
        <v>12</v>
      </c>
    </row>
    <row r="423" spans="1:8" hidden="1">
      <c r="A423" t="s">
        <v>65</v>
      </c>
      <c r="B423" t="s">
        <v>78</v>
      </c>
      <c r="C423" t="s">
        <v>79</v>
      </c>
      <c r="D423" t="s">
        <v>10</v>
      </c>
      <c r="E423">
        <v>43</v>
      </c>
      <c r="F423" t="s">
        <v>11</v>
      </c>
      <c r="G423">
        <v>3</v>
      </c>
      <c r="H423" t="s">
        <v>12</v>
      </c>
    </row>
    <row r="424" spans="1:8" hidden="1">
      <c r="A424" t="s">
        <v>65</v>
      </c>
      <c r="B424" t="s">
        <v>80</v>
      </c>
      <c r="C424" t="s">
        <v>81</v>
      </c>
      <c r="D424" t="s">
        <v>10</v>
      </c>
      <c r="E424">
        <v>48</v>
      </c>
      <c r="F424" t="s">
        <v>11</v>
      </c>
      <c r="G424">
        <v>3</v>
      </c>
      <c r="H424" t="s">
        <v>12</v>
      </c>
    </row>
    <row r="425" spans="1:8" hidden="1">
      <c r="A425" t="s">
        <v>65</v>
      </c>
      <c r="B425" t="s">
        <v>82</v>
      </c>
      <c r="C425" t="s">
        <v>83</v>
      </c>
      <c r="D425" t="s">
        <v>10</v>
      </c>
      <c r="E425">
        <v>31</v>
      </c>
      <c r="F425" t="s">
        <v>11</v>
      </c>
      <c r="G425">
        <v>3</v>
      </c>
      <c r="H425" t="s">
        <v>12</v>
      </c>
    </row>
    <row r="426" spans="1:8" hidden="1">
      <c r="A426" t="s">
        <v>294</v>
      </c>
      <c r="B426" t="s">
        <v>295</v>
      </c>
      <c r="C426" t="s">
        <v>296</v>
      </c>
      <c r="D426" t="s">
        <v>10</v>
      </c>
      <c r="E426">
        <v>55</v>
      </c>
      <c r="F426" t="s">
        <v>11</v>
      </c>
      <c r="G426">
        <v>3</v>
      </c>
      <c r="H426" t="s">
        <v>12</v>
      </c>
    </row>
    <row r="427" spans="1:8" hidden="1">
      <c r="A427" t="s">
        <v>294</v>
      </c>
      <c r="B427" t="s">
        <v>297</v>
      </c>
      <c r="C427" t="s">
        <v>298</v>
      </c>
      <c r="D427" t="s">
        <v>10</v>
      </c>
      <c r="E427">
        <v>57</v>
      </c>
      <c r="F427" t="s">
        <v>11</v>
      </c>
      <c r="G427">
        <v>3</v>
      </c>
      <c r="H427" t="s">
        <v>12</v>
      </c>
    </row>
    <row r="428" spans="1:8" hidden="1">
      <c r="A428" t="s">
        <v>294</v>
      </c>
      <c r="B428" t="s">
        <v>299</v>
      </c>
      <c r="C428" t="s">
        <v>300</v>
      </c>
      <c r="D428" t="s">
        <v>10</v>
      </c>
      <c r="E428">
        <v>51</v>
      </c>
      <c r="F428" t="s">
        <v>11</v>
      </c>
      <c r="G428">
        <v>3</v>
      </c>
      <c r="H428" t="s">
        <v>12</v>
      </c>
    </row>
    <row r="429" spans="1:8" hidden="1">
      <c r="A429" t="s">
        <v>301</v>
      </c>
      <c r="B429" t="s">
        <v>302</v>
      </c>
      <c r="C429" t="s">
        <v>303</v>
      </c>
      <c r="D429" t="s">
        <v>10</v>
      </c>
      <c r="E429">
        <v>46</v>
      </c>
      <c r="F429" t="s">
        <v>11</v>
      </c>
      <c r="G429">
        <v>3</v>
      </c>
      <c r="H429" t="s">
        <v>12</v>
      </c>
    </row>
    <row r="430" spans="1:8" hidden="1">
      <c r="A430" t="s">
        <v>301</v>
      </c>
      <c r="B430" t="s">
        <v>304</v>
      </c>
      <c r="C430" t="s">
        <v>305</v>
      </c>
      <c r="D430" t="s">
        <v>10</v>
      </c>
      <c r="E430">
        <v>42</v>
      </c>
      <c r="F430" t="s">
        <v>11</v>
      </c>
      <c r="G430">
        <v>3</v>
      </c>
      <c r="H430" t="s">
        <v>12</v>
      </c>
    </row>
    <row r="431" spans="1:8" hidden="1">
      <c r="A431" t="s">
        <v>301</v>
      </c>
      <c r="B431" t="s">
        <v>306</v>
      </c>
      <c r="C431" t="s">
        <v>307</v>
      </c>
      <c r="D431" t="s">
        <v>10</v>
      </c>
      <c r="E431">
        <v>55</v>
      </c>
      <c r="F431" t="s">
        <v>11</v>
      </c>
      <c r="G431">
        <v>3</v>
      </c>
      <c r="H431" t="s">
        <v>12</v>
      </c>
    </row>
    <row r="432" spans="1:8" hidden="1">
      <c r="A432" t="s">
        <v>301</v>
      </c>
      <c r="B432" t="s">
        <v>308</v>
      </c>
      <c r="C432" t="s">
        <v>309</v>
      </c>
      <c r="D432" t="s">
        <v>10</v>
      </c>
      <c r="E432">
        <v>55</v>
      </c>
      <c r="F432" t="s">
        <v>11</v>
      </c>
      <c r="G432">
        <v>3</v>
      </c>
      <c r="H432" t="s">
        <v>12</v>
      </c>
    </row>
    <row r="433" spans="1:8" hidden="1">
      <c r="A433" t="s">
        <v>301</v>
      </c>
      <c r="B433" t="s">
        <v>310</v>
      </c>
      <c r="C433" t="s">
        <v>311</v>
      </c>
      <c r="D433" t="s">
        <v>10</v>
      </c>
      <c r="E433">
        <v>42</v>
      </c>
      <c r="F433" t="s">
        <v>11</v>
      </c>
      <c r="G433">
        <v>3</v>
      </c>
      <c r="H433" t="s">
        <v>12</v>
      </c>
    </row>
    <row r="434" spans="1:8" hidden="1">
      <c r="A434" t="s">
        <v>301</v>
      </c>
      <c r="B434" t="s">
        <v>312</v>
      </c>
      <c r="C434" t="s">
        <v>313</v>
      </c>
      <c r="D434" t="s">
        <v>10</v>
      </c>
      <c r="E434">
        <v>58</v>
      </c>
      <c r="F434" t="s">
        <v>11</v>
      </c>
      <c r="G434">
        <v>3</v>
      </c>
      <c r="H434" t="s">
        <v>12</v>
      </c>
    </row>
    <row r="435" spans="1:8" hidden="1">
      <c r="A435" t="s">
        <v>301</v>
      </c>
      <c r="B435" t="s">
        <v>314</v>
      </c>
      <c r="C435" t="s">
        <v>315</v>
      </c>
      <c r="D435" t="s">
        <v>10</v>
      </c>
      <c r="E435">
        <v>40</v>
      </c>
      <c r="F435" t="s">
        <v>11</v>
      </c>
      <c r="G435">
        <v>3</v>
      </c>
      <c r="H435" t="s">
        <v>12</v>
      </c>
    </row>
    <row r="436" spans="1:8" hidden="1">
      <c r="A436" t="s">
        <v>301</v>
      </c>
      <c r="B436" t="s">
        <v>316</v>
      </c>
      <c r="C436" t="s">
        <v>317</v>
      </c>
      <c r="D436" t="s">
        <v>10</v>
      </c>
      <c r="E436">
        <v>57</v>
      </c>
      <c r="F436" t="s">
        <v>11</v>
      </c>
      <c r="G436">
        <v>3</v>
      </c>
      <c r="H436" t="s">
        <v>12</v>
      </c>
    </row>
    <row r="437" spans="1:8" hidden="1">
      <c r="A437" t="s">
        <v>301</v>
      </c>
      <c r="B437" t="s">
        <v>318</v>
      </c>
      <c r="C437" t="s">
        <v>319</v>
      </c>
      <c r="D437" t="s">
        <v>10</v>
      </c>
      <c r="E437">
        <v>45</v>
      </c>
      <c r="F437" t="s">
        <v>11</v>
      </c>
      <c r="G437">
        <v>3</v>
      </c>
      <c r="H437" t="s">
        <v>12</v>
      </c>
    </row>
    <row r="438" spans="1:8" hidden="1">
      <c r="A438" t="s">
        <v>301</v>
      </c>
      <c r="B438" t="s">
        <v>320</v>
      </c>
      <c r="C438" t="s">
        <v>321</v>
      </c>
      <c r="D438" t="s">
        <v>10</v>
      </c>
      <c r="E438">
        <v>43</v>
      </c>
      <c r="F438" t="s">
        <v>11</v>
      </c>
      <c r="G438">
        <v>3</v>
      </c>
      <c r="H438" t="s">
        <v>12</v>
      </c>
    </row>
    <row r="439" spans="1:8" hidden="1">
      <c r="A439" t="s">
        <v>194</v>
      </c>
      <c r="B439" t="s">
        <v>195</v>
      </c>
      <c r="C439" t="s">
        <v>196</v>
      </c>
      <c r="D439" t="s">
        <v>10</v>
      </c>
      <c r="E439">
        <v>55</v>
      </c>
      <c r="F439" t="s">
        <v>11</v>
      </c>
      <c r="G439">
        <v>3</v>
      </c>
      <c r="H439" t="s">
        <v>12</v>
      </c>
    </row>
    <row r="440" spans="1:8" hidden="1">
      <c r="A440" t="s">
        <v>194</v>
      </c>
      <c r="B440" t="s">
        <v>197</v>
      </c>
      <c r="C440" t="s">
        <v>198</v>
      </c>
      <c r="D440" t="s">
        <v>10</v>
      </c>
      <c r="E440">
        <v>46</v>
      </c>
      <c r="F440" t="s">
        <v>11</v>
      </c>
      <c r="G440">
        <v>3</v>
      </c>
      <c r="H440" t="s">
        <v>12</v>
      </c>
    </row>
    <row r="441" spans="1:8" hidden="1">
      <c r="A441" t="s">
        <v>194</v>
      </c>
      <c r="B441" t="s">
        <v>199</v>
      </c>
      <c r="C441" t="s">
        <v>200</v>
      </c>
      <c r="D441" t="s">
        <v>10</v>
      </c>
      <c r="E441">
        <v>40</v>
      </c>
      <c r="F441" t="s">
        <v>11</v>
      </c>
      <c r="G441">
        <v>3</v>
      </c>
      <c r="H441" t="s">
        <v>12</v>
      </c>
    </row>
    <row r="442" spans="1:8" hidden="1">
      <c r="A442" t="s">
        <v>194</v>
      </c>
      <c r="B442" t="s">
        <v>201</v>
      </c>
      <c r="C442" t="s">
        <v>202</v>
      </c>
      <c r="D442" t="s">
        <v>10</v>
      </c>
      <c r="E442">
        <v>53</v>
      </c>
      <c r="F442" t="s">
        <v>11</v>
      </c>
      <c r="G442">
        <v>3</v>
      </c>
      <c r="H442" t="s">
        <v>12</v>
      </c>
    </row>
    <row r="443" spans="1:8" hidden="1">
      <c r="A443" t="s">
        <v>194</v>
      </c>
      <c r="B443" t="s">
        <v>203</v>
      </c>
      <c r="C443" t="s">
        <v>204</v>
      </c>
      <c r="D443" t="s">
        <v>10</v>
      </c>
      <c r="E443">
        <v>50</v>
      </c>
      <c r="F443" t="s">
        <v>11</v>
      </c>
      <c r="G443">
        <v>3</v>
      </c>
      <c r="H443" t="s">
        <v>12</v>
      </c>
    </row>
    <row r="444" spans="1:8" hidden="1">
      <c r="A444" t="s">
        <v>194</v>
      </c>
      <c r="B444" t="s">
        <v>205</v>
      </c>
      <c r="C444" t="s">
        <v>206</v>
      </c>
      <c r="D444" t="s">
        <v>10</v>
      </c>
      <c r="E444">
        <v>40</v>
      </c>
      <c r="F444" t="s">
        <v>11</v>
      </c>
      <c r="G444">
        <v>3</v>
      </c>
      <c r="H444" t="s">
        <v>12</v>
      </c>
    </row>
    <row r="445" spans="1:8" hidden="1">
      <c r="A445" t="s">
        <v>194</v>
      </c>
      <c r="B445" t="s">
        <v>207</v>
      </c>
      <c r="C445" t="s">
        <v>208</v>
      </c>
      <c r="D445" t="s">
        <v>10</v>
      </c>
      <c r="E445">
        <v>40</v>
      </c>
      <c r="F445" t="s">
        <v>11</v>
      </c>
      <c r="G445">
        <v>3</v>
      </c>
      <c r="H445" t="s">
        <v>12</v>
      </c>
    </row>
    <row r="446" spans="1:8" hidden="1">
      <c r="A446" t="s">
        <v>194</v>
      </c>
      <c r="B446" t="s">
        <v>209</v>
      </c>
      <c r="C446" t="s">
        <v>210</v>
      </c>
      <c r="D446" t="s">
        <v>10</v>
      </c>
      <c r="E446">
        <v>50</v>
      </c>
      <c r="F446" t="s">
        <v>11</v>
      </c>
      <c r="G446">
        <v>3</v>
      </c>
      <c r="H446" t="s">
        <v>12</v>
      </c>
    </row>
    <row r="447" spans="1:8" hidden="1">
      <c r="A447" t="s">
        <v>194</v>
      </c>
      <c r="B447" t="s">
        <v>211</v>
      </c>
      <c r="C447" t="s">
        <v>212</v>
      </c>
      <c r="D447" t="s">
        <v>10</v>
      </c>
      <c r="E447">
        <v>40</v>
      </c>
      <c r="F447" t="s">
        <v>11</v>
      </c>
      <c r="G447">
        <v>3</v>
      </c>
      <c r="H447" t="s">
        <v>12</v>
      </c>
    </row>
    <row r="448" spans="1:8" hidden="1">
      <c r="A448" t="s">
        <v>194</v>
      </c>
      <c r="B448" t="s">
        <v>213</v>
      </c>
      <c r="C448" t="s">
        <v>214</v>
      </c>
      <c r="D448" t="s">
        <v>10</v>
      </c>
      <c r="E448">
        <v>50</v>
      </c>
      <c r="F448" t="s">
        <v>11</v>
      </c>
      <c r="G448">
        <v>3</v>
      </c>
      <c r="H448" t="s">
        <v>12</v>
      </c>
    </row>
    <row r="449" spans="1:8" hidden="1">
      <c r="A449" t="s">
        <v>194</v>
      </c>
      <c r="B449" t="s">
        <v>215</v>
      </c>
      <c r="C449" t="s">
        <v>216</v>
      </c>
      <c r="D449" t="s">
        <v>10</v>
      </c>
      <c r="E449">
        <v>40</v>
      </c>
      <c r="F449" t="s">
        <v>11</v>
      </c>
      <c r="G449">
        <v>3</v>
      </c>
      <c r="H449" t="s">
        <v>12</v>
      </c>
    </row>
    <row r="450" spans="1:8" hidden="1">
      <c r="A450" t="s">
        <v>322</v>
      </c>
      <c r="B450" t="s">
        <v>323</v>
      </c>
      <c r="C450" t="s">
        <v>324</v>
      </c>
      <c r="D450" t="s">
        <v>10</v>
      </c>
      <c r="E450">
        <v>48</v>
      </c>
      <c r="F450" t="s">
        <v>11</v>
      </c>
      <c r="G450">
        <v>3</v>
      </c>
      <c r="H450" t="s">
        <v>12</v>
      </c>
    </row>
    <row r="451" spans="1:8" hidden="1">
      <c r="A451" t="s">
        <v>322</v>
      </c>
      <c r="B451" t="s">
        <v>325</v>
      </c>
      <c r="C451" t="s">
        <v>326</v>
      </c>
      <c r="D451" t="s">
        <v>10</v>
      </c>
      <c r="E451">
        <v>51</v>
      </c>
      <c r="F451" t="s">
        <v>11</v>
      </c>
      <c r="G451">
        <v>3</v>
      </c>
      <c r="H451" t="s">
        <v>12</v>
      </c>
    </row>
    <row r="452" spans="1:8" hidden="1">
      <c r="A452" t="s">
        <v>322</v>
      </c>
      <c r="B452" t="s">
        <v>327</v>
      </c>
      <c r="C452" t="s">
        <v>328</v>
      </c>
      <c r="D452" t="s">
        <v>10</v>
      </c>
      <c r="E452">
        <v>52</v>
      </c>
      <c r="F452" t="s">
        <v>11</v>
      </c>
      <c r="G452">
        <v>3</v>
      </c>
      <c r="H452" t="s">
        <v>12</v>
      </c>
    </row>
    <row r="453" spans="1:8" hidden="1">
      <c r="A453" t="s">
        <v>322</v>
      </c>
      <c r="B453" t="s">
        <v>329</v>
      </c>
      <c r="C453" t="s">
        <v>330</v>
      </c>
      <c r="D453" t="s">
        <v>10</v>
      </c>
      <c r="E453">
        <v>56</v>
      </c>
      <c r="F453" t="s">
        <v>11</v>
      </c>
      <c r="G453">
        <v>3</v>
      </c>
      <c r="H453" t="s">
        <v>12</v>
      </c>
    </row>
    <row r="454" spans="1:8" hidden="1">
      <c r="A454" t="s">
        <v>322</v>
      </c>
      <c r="B454" t="s">
        <v>331</v>
      </c>
      <c r="C454" t="s">
        <v>332</v>
      </c>
      <c r="D454" t="s">
        <v>10</v>
      </c>
      <c r="E454">
        <v>58</v>
      </c>
      <c r="F454" t="s">
        <v>11</v>
      </c>
      <c r="G454">
        <v>3</v>
      </c>
      <c r="H454" t="s">
        <v>12</v>
      </c>
    </row>
    <row r="455" spans="1:8" hidden="1">
      <c r="A455" t="s">
        <v>322</v>
      </c>
      <c r="B455" t="s">
        <v>333</v>
      </c>
      <c r="C455" t="s">
        <v>334</v>
      </c>
      <c r="D455" t="s">
        <v>10</v>
      </c>
      <c r="E455">
        <v>53</v>
      </c>
      <c r="F455" t="s">
        <v>11</v>
      </c>
      <c r="G455">
        <v>3</v>
      </c>
      <c r="H455" t="s">
        <v>12</v>
      </c>
    </row>
    <row r="456" spans="1:8" hidden="1">
      <c r="A456" t="s">
        <v>217</v>
      </c>
      <c r="B456" t="s">
        <v>218</v>
      </c>
      <c r="C456" t="s">
        <v>219</v>
      </c>
      <c r="D456" t="s">
        <v>10</v>
      </c>
      <c r="E456">
        <v>55</v>
      </c>
      <c r="F456" t="s">
        <v>11</v>
      </c>
      <c r="G456">
        <v>3</v>
      </c>
      <c r="H456" t="s">
        <v>12</v>
      </c>
    </row>
    <row r="457" spans="1:8" hidden="1">
      <c r="A457" t="s">
        <v>217</v>
      </c>
      <c r="B457" t="s">
        <v>220</v>
      </c>
      <c r="C457" t="s">
        <v>221</v>
      </c>
      <c r="D457" t="s">
        <v>10</v>
      </c>
      <c r="E457">
        <v>54</v>
      </c>
      <c r="F457" t="s">
        <v>11</v>
      </c>
      <c r="G457">
        <v>3</v>
      </c>
      <c r="H457" t="s">
        <v>12</v>
      </c>
    </row>
    <row r="458" spans="1:8" hidden="1">
      <c r="A458" t="s">
        <v>217</v>
      </c>
      <c r="B458" t="s">
        <v>222</v>
      </c>
      <c r="C458" t="s">
        <v>223</v>
      </c>
      <c r="D458" t="s">
        <v>10</v>
      </c>
      <c r="E458">
        <v>55</v>
      </c>
      <c r="F458" t="s">
        <v>11</v>
      </c>
      <c r="G458">
        <v>3</v>
      </c>
      <c r="H458" t="s">
        <v>12</v>
      </c>
    </row>
    <row r="459" spans="1:8" hidden="1">
      <c r="A459" t="s">
        <v>217</v>
      </c>
      <c r="B459" t="s">
        <v>224</v>
      </c>
      <c r="C459" t="s">
        <v>225</v>
      </c>
      <c r="D459" t="s">
        <v>10</v>
      </c>
      <c r="E459">
        <v>52</v>
      </c>
      <c r="F459" t="s">
        <v>11</v>
      </c>
      <c r="G459">
        <v>3</v>
      </c>
      <c r="H459" t="s">
        <v>12</v>
      </c>
    </row>
    <row r="460" spans="1:8" hidden="1">
      <c r="A460" t="s">
        <v>217</v>
      </c>
      <c r="B460" t="s">
        <v>226</v>
      </c>
      <c r="C460" t="s">
        <v>227</v>
      </c>
      <c r="D460" t="s">
        <v>10</v>
      </c>
      <c r="E460">
        <v>40</v>
      </c>
      <c r="F460" t="s">
        <v>11</v>
      </c>
      <c r="G460">
        <v>3</v>
      </c>
      <c r="H460" t="s">
        <v>12</v>
      </c>
    </row>
    <row r="461" spans="1:8" hidden="1">
      <c r="A461" t="s">
        <v>217</v>
      </c>
      <c r="B461" t="s">
        <v>228</v>
      </c>
      <c r="C461" t="s">
        <v>229</v>
      </c>
      <c r="D461" t="s">
        <v>10</v>
      </c>
      <c r="E461">
        <v>58</v>
      </c>
      <c r="F461" t="s">
        <v>11</v>
      </c>
      <c r="G461">
        <v>3</v>
      </c>
      <c r="H461" t="s">
        <v>12</v>
      </c>
    </row>
    <row r="462" spans="1:8" hidden="1">
      <c r="A462" t="s">
        <v>217</v>
      </c>
      <c r="B462" t="s">
        <v>230</v>
      </c>
      <c r="C462" t="s">
        <v>231</v>
      </c>
      <c r="D462" t="s">
        <v>10</v>
      </c>
      <c r="E462">
        <v>45</v>
      </c>
      <c r="F462" t="s">
        <v>11</v>
      </c>
      <c r="G462">
        <v>3</v>
      </c>
      <c r="H462" t="s">
        <v>12</v>
      </c>
    </row>
    <row r="463" spans="1:8" hidden="1">
      <c r="A463" t="s">
        <v>217</v>
      </c>
      <c r="B463" t="s">
        <v>232</v>
      </c>
      <c r="C463" t="s">
        <v>233</v>
      </c>
      <c r="D463" t="s">
        <v>10</v>
      </c>
      <c r="E463">
        <v>41</v>
      </c>
      <c r="F463" t="s">
        <v>11</v>
      </c>
      <c r="G463">
        <v>3</v>
      </c>
      <c r="H463" t="s">
        <v>12</v>
      </c>
    </row>
    <row r="464" spans="1:8" hidden="1">
      <c r="A464" t="s">
        <v>122</v>
      </c>
      <c r="B464" t="s">
        <v>123</v>
      </c>
      <c r="C464" t="s">
        <v>124</v>
      </c>
      <c r="D464" t="s">
        <v>10</v>
      </c>
      <c r="E464">
        <v>55</v>
      </c>
      <c r="F464" t="s">
        <v>11</v>
      </c>
      <c r="G464">
        <v>3</v>
      </c>
      <c r="H464" t="s">
        <v>12</v>
      </c>
    </row>
    <row r="465" spans="1:8" hidden="1">
      <c r="A465" t="s">
        <v>122</v>
      </c>
      <c r="B465" t="s">
        <v>125</v>
      </c>
      <c r="C465" t="s">
        <v>126</v>
      </c>
      <c r="D465" t="s">
        <v>10</v>
      </c>
      <c r="E465">
        <v>55</v>
      </c>
      <c r="F465" t="s">
        <v>11</v>
      </c>
      <c r="G465">
        <v>3</v>
      </c>
      <c r="H465" t="s">
        <v>12</v>
      </c>
    </row>
    <row r="466" spans="1:8" hidden="1">
      <c r="A466" t="s">
        <v>122</v>
      </c>
      <c r="B466" t="s">
        <v>127</v>
      </c>
      <c r="C466" t="s">
        <v>128</v>
      </c>
      <c r="D466" t="s">
        <v>10</v>
      </c>
      <c r="E466">
        <v>50</v>
      </c>
      <c r="F466" t="s">
        <v>11</v>
      </c>
      <c r="G466">
        <v>3</v>
      </c>
      <c r="H466" t="s">
        <v>12</v>
      </c>
    </row>
    <row r="467" spans="1:8" hidden="1">
      <c r="A467" t="s">
        <v>122</v>
      </c>
      <c r="B467" t="s">
        <v>129</v>
      </c>
      <c r="C467" t="s">
        <v>130</v>
      </c>
      <c r="D467" t="s">
        <v>10</v>
      </c>
      <c r="E467">
        <v>50</v>
      </c>
      <c r="F467" t="s">
        <v>11</v>
      </c>
      <c r="G467">
        <v>3</v>
      </c>
      <c r="H467" t="s">
        <v>12</v>
      </c>
    </row>
    <row r="468" spans="1:8" hidden="1">
      <c r="A468" t="s">
        <v>122</v>
      </c>
      <c r="B468" t="s">
        <v>131</v>
      </c>
      <c r="C468" t="s">
        <v>132</v>
      </c>
      <c r="D468" t="s">
        <v>10</v>
      </c>
      <c r="E468">
        <v>45</v>
      </c>
      <c r="F468" t="s">
        <v>11</v>
      </c>
      <c r="G468">
        <v>3</v>
      </c>
      <c r="H468" t="s">
        <v>12</v>
      </c>
    </row>
    <row r="469" spans="1:8" hidden="1">
      <c r="A469" t="s">
        <v>122</v>
      </c>
      <c r="B469" t="s">
        <v>133</v>
      </c>
      <c r="C469" t="s">
        <v>134</v>
      </c>
      <c r="D469" t="s">
        <v>10</v>
      </c>
      <c r="E469">
        <v>46</v>
      </c>
      <c r="F469" t="s">
        <v>11</v>
      </c>
      <c r="G469">
        <v>3</v>
      </c>
      <c r="H469" t="s">
        <v>12</v>
      </c>
    </row>
    <row r="470" spans="1:8" hidden="1">
      <c r="A470" t="s">
        <v>122</v>
      </c>
      <c r="B470" t="s">
        <v>135</v>
      </c>
      <c r="C470" t="s">
        <v>136</v>
      </c>
      <c r="D470" t="s">
        <v>10</v>
      </c>
      <c r="E470">
        <v>52</v>
      </c>
      <c r="F470" t="s">
        <v>11</v>
      </c>
      <c r="G470">
        <v>3</v>
      </c>
      <c r="H470" t="s">
        <v>12</v>
      </c>
    </row>
    <row r="471" spans="1:8" hidden="1">
      <c r="A471" t="s">
        <v>122</v>
      </c>
      <c r="B471" t="s">
        <v>137</v>
      </c>
      <c r="C471" t="s">
        <v>138</v>
      </c>
      <c r="D471" t="s">
        <v>10</v>
      </c>
      <c r="E471">
        <v>40</v>
      </c>
      <c r="F471" t="s">
        <v>11</v>
      </c>
      <c r="G471">
        <v>3</v>
      </c>
      <c r="H471" t="s">
        <v>12</v>
      </c>
    </row>
    <row r="472" spans="1:8" hidden="1">
      <c r="A472" t="s">
        <v>122</v>
      </c>
      <c r="B472" t="s">
        <v>139</v>
      </c>
      <c r="C472" t="s">
        <v>140</v>
      </c>
      <c r="D472" t="s">
        <v>10</v>
      </c>
      <c r="E472">
        <v>50</v>
      </c>
      <c r="F472" t="s">
        <v>11</v>
      </c>
      <c r="G472">
        <v>3</v>
      </c>
      <c r="H472" t="s">
        <v>12</v>
      </c>
    </row>
    <row r="473" spans="1:8" hidden="1">
      <c r="A473" t="s">
        <v>234</v>
      </c>
      <c r="B473" t="s">
        <v>235</v>
      </c>
      <c r="C473" t="s">
        <v>236</v>
      </c>
      <c r="D473" t="s">
        <v>10</v>
      </c>
      <c r="E473">
        <v>55</v>
      </c>
      <c r="F473" t="s">
        <v>11</v>
      </c>
      <c r="G473">
        <v>3</v>
      </c>
      <c r="H473" t="s">
        <v>12</v>
      </c>
    </row>
    <row r="474" spans="1:8" hidden="1">
      <c r="A474" t="s">
        <v>234</v>
      </c>
      <c r="B474" t="s">
        <v>237</v>
      </c>
      <c r="C474" t="s">
        <v>238</v>
      </c>
      <c r="D474" t="s">
        <v>10</v>
      </c>
      <c r="E474">
        <v>50</v>
      </c>
      <c r="F474" t="s">
        <v>11</v>
      </c>
      <c r="G474">
        <v>3</v>
      </c>
      <c r="H474" t="s">
        <v>12</v>
      </c>
    </row>
    <row r="475" spans="1:8" hidden="1">
      <c r="A475" t="s">
        <v>335</v>
      </c>
      <c r="B475" t="s">
        <v>336</v>
      </c>
      <c r="C475" t="s">
        <v>337</v>
      </c>
      <c r="D475" t="s">
        <v>10</v>
      </c>
      <c r="E475">
        <v>56</v>
      </c>
      <c r="F475" t="s">
        <v>11</v>
      </c>
      <c r="G475">
        <v>3</v>
      </c>
      <c r="H475" t="s">
        <v>12</v>
      </c>
    </row>
    <row r="476" spans="1:8" hidden="1">
      <c r="A476" t="s">
        <v>239</v>
      </c>
      <c r="B476" t="s">
        <v>240</v>
      </c>
      <c r="C476" t="s">
        <v>241</v>
      </c>
      <c r="D476" t="s">
        <v>10</v>
      </c>
      <c r="E476">
        <v>51</v>
      </c>
      <c r="F476" t="s">
        <v>11</v>
      </c>
      <c r="G476">
        <v>3</v>
      </c>
      <c r="H476" t="s">
        <v>12</v>
      </c>
    </row>
    <row r="477" spans="1:8" hidden="1">
      <c r="A477" t="s">
        <v>239</v>
      </c>
      <c r="B477" t="s">
        <v>242</v>
      </c>
      <c r="C477" t="s">
        <v>243</v>
      </c>
      <c r="D477" t="s">
        <v>10</v>
      </c>
      <c r="E477">
        <v>51</v>
      </c>
      <c r="F477" t="s">
        <v>11</v>
      </c>
      <c r="G477">
        <v>3</v>
      </c>
      <c r="H477" t="s">
        <v>12</v>
      </c>
    </row>
    <row r="478" spans="1:8" hidden="1">
      <c r="A478" t="s">
        <v>239</v>
      </c>
      <c r="B478" t="s">
        <v>244</v>
      </c>
      <c r="C478" t="s">
        <v>245</v>
      </c>
      <c r="D478" t="s">
        <v>10</v>
      </c>
      <c r="E478">
        <v>52</v>
      </c>
      <c r="F478" t="s">
        <v>11</v>
      </c>
      <c r="G478">
        <v>3</v>
      </c>
      <c r="H478" t="s">
        <v>12</v>
      </c>
    </row>
    <row r="479" spans="1:8" hidden="1">
      <c r="A479" t="s">
        <v>141</v>
      </c>
      <c r="B479" t="s">
        <v>142</v>
      </c>
      <c r="C479" t="s">
        <v>143</v>
      </c>
      <c r="D479" t="s">
        <v>10</v>
      </c>
      <c r="E479">
        <v>56</v>
      </c>
      <c r="F479" t="s">
        <v>11</v>
      </c>
      <c r="G479">
        <v>3</v>
      </c>
      <c r="H479" t="s">
        <v>12</v>
      </c>
    </row>
    <row r="480" spans="1:8" hidden="1">
      <c r="A480" t="s">
        <v>141</v>
      </c>
      <c r="B480" t="s">
        <v>144</v>
      </c>
      <c r="C480" t="s">
        <v>145</v>
      </c>
      <c r="D480" t="s">
        <v>10</v>
      </c>
      <c r="E480">
        <v>40</v>
      </c>
      <c r="F480" t="s">
        <v>11</v>
      </c>
      <c r="G480">
        <v>3</v>
      </c>
      <c r="H480" t="s">
        <v>12</v>
      </c>
    </row>
    <row r="481" spans="1:8" hidden="1">
      <c r="A481" t="s">
        <v>141</v>
      </c>
      <c r="B481" t="s">
        <v>146</v>
      </c>
      <c r="C481" t="s">
        <v>147</v>
      </c>
      <c r="D481" t="s">
        <v>10</v>
      </c>
      <c r="E481">
        <v>44</v>
      </c>
      <c r="F481" t="s">
        <v>11</v>
      </c>
      <c r="G481">
        <v>3</v>
      </c>
      <c r="H481" t="s">
        <v>12</v>
      </c>
    </row>
    <row r="482" spans="1:8" hidden="1">
      <c r="A482" t="s">
        <v>141</v>
      </c>
      <c r="B482" t="s">
        <v>148</v>
      </c>
      <c r="C482" t="s">
        <v>149</v>
      </c>
      <c r="D482" t="s">
        <v>10</v>
      </c>
      <c r="E482">
        <v>40</v>
      </c>
      <c r="F482" t="s">
        <v>11</v>
      </c>
      <c r="G482">
        <v>3</v>
      </c>
      <c r="H482" t="s">
        <v>12</v>
      </c>
    </row>
    <row r="483" spans="1:8" hidden="1">
      <c r="A483" t="s">
        <v>141</v>
      </c>
      <c r="B483" t="s">
        <v>150</v>
      </c>
      <c r="C483" t="s">
        <v>151</v>
      </c>
      <c r="D483" t="s">
        <v>10</v>
      </c>
      <c r="E483">
        <v>49</v>
      </c>
      <c r="F483" t="s">
        <v>11</v>
      </c>
      <c r="G483">
        <v>3</v>
      </c>
      <c r="H483" t="s">
        <v>12</v>
      </c>
    </row>
    <row r="484" spans="1:8" hidden="1">
      <c r="A484" t="s">
        <v>141</v>
      </c>
      <c r="B484" t="s">
        <v>152</v>
      </c>
      <c r="C484" t="s">
        <v>153</v>
      </c>
      <c r="D484" t="s">
        <v>10</v>
      </c>
      <c r="E484">
        <v>50</v>
      </c>
      <c r="F484" t="s">
        <v>11</v>
      </c>
      <c r="G484">
        <v>3</v>
      </c>
      <c r="H484" t="s">
        <v>12</v>
      </c>
    </row>
    <row r="485" spans="1:8" hidden="1">
      <c r="A485" t="s">
        <v>141</v>
      </c>
      <c r="B485" t="s">
        <v>154</v>
      </c>
      <c r="C485" t="s">
        <v>155</v>
      </c>
      <c r="D485" t="s">
        <v>10</v>
      </c>
      <c r="E485">
        <v>49</v>
      </c>
      <c r="F485" t="s">
        <v>11</v>
      </c>
      <c r="G485">
        <v>3</v>
      </c>
      <c r="H485" t="s">
        <v>12</v>
      </c>
    </row>
    <row r="486" spans="1:8" hidden="1">
      <c r="A486" t="s">
        <v>141</v>
      </c>
      <c r="B486" t="s">
        <v>156</v>
      </c>
      <c r="C486" t="s">
        <v>157</v>
      </c>
      <c r="D486" t="s">
        <v>10</v>
      </c>
      <c r="E486">
        <v>50</v>
      </c>
      <c r="F486" t="s">
        <v>11</v>
      </c>
      <c r="G486">
        <v>3</v>
      </c>
      <c r="H486" t="s">
        <v>12</v>
      </c>
    </row>
    <row r="487" spans="1:8" hidden="1">
      <c r="A487" t="s">
        <v>171</v>
      </c>
      <c r="B487" t="s">
        <v>797</v>
      </c>
      <c r="C487" t="s">
        <v>798</v>
      </c>
      <c r="D487" t="s">
        <v>828</v>
      </c>
      <c r="E487">
        <v>40</v>
      </c>
      <c r="F487" t="s">
        <v>11</v>
      </c>
      <c r="G487">
        <v>1</v>
      </c>
      <c r="H487" t="s">
        <v>12</v>
      </c>
    </row>
    <row r="488" spans="1:8" hidden="1">
      <c r="A488" t="s">
        <v>7</v>
      </c>
      <c r="B488" t="s">
        <v>745</v>
      </c>
      <c r="C488" t="s">
        <v>746</v>
      </c>
      <c r="D488" t="s">
        <v>828</v>
      </c>
      <c r="E488">
        <v>50</v>
      </c>
      <c r="F488" t="s">
        <v>11</v>
      </c>
      <c r="G488">
        <v>1</v>
      </c>
      <c r="H488" t="s">
        <v>12</v>
      </c>
    </row>
    <row r="489" spans="1:8" hidden="1">
      <c r="A489" t="s">
        <v>25</v>
      </c>
      <c r="B489" t="s">
        <v>713</v>
      </c>
      <c r="C489" t="s">
        <v>714</v>
      </c>
      <c r="D489" t="s">
        <v>828</v>
      </c>
      <c r="E489">
        <v>47</v>
      </c>
      <c r="F489" t="s">
        <v>11</v>
      </c>
      <c r="G489">
        <v>1</v>
      </c>
      <c r="H489" t="s">
        <v>12</v>
      </c>
    </row>
    <row r="490" spans="1:8" hidden="1">
      <c r="A490" t="s">
        <v>246</v>
      </c>
      <c r="B490" t="s">
        <v>590</v>
      </c>
      <c r="C490" t="s">
        <v>591</v>
      </c>
      <c r="D490" t="s">
        <v>828</v>
      </c>
      <c r="E490">
        <v>40</v>
      </c>
      <c r="F490" t="s">
        <v>11</v>
      </c>
      <c r="G490">
        <v>1</v>
      </c>
      <c r="H490" t="s">
        <v>12</v>
      </c>
    </row>
    <row r="491" spans="1:8" hidden="1">
      <c r="A491" t="s">
        <v>246</v>
      </c>
      <c r="B491" t="s">
        <v>263</v>
      </c>
      <c r="C491" t="s">
        <v>264</v>
      </c>
      <c r="D491" t="s">
        <v>828</v>
      </c>
      <c r="E491">
        <v>56</v>
      </c>
      <c r="F491" t="s">
        <v>11</v>
      </c>
      <c r="G491">
        <v>1</v>
      </c>
      <c r="H491" t="s">
        <v>12</v>
      </c>
    </row>
    <row r="492" spans="1:8" hidden="1">
      <c r="A492" t="s">
        <v>246</v>
      </c>
      <c r="B492" t="s">
        <v>265</v>
      </c>
      <c r="C492" t="s">
        <v>266</v>
      </c>
      <c r="D492" t="s">
        <v>828</v>
      </c>
      <c r="E492">
        <v>40</v>
      </c>
      <c r="F492" t="s">
        <v>11</v>
      </c>
      <c r="G492">
        <v>1</v>
      </c>
      <c r="H492" t="s">
        <v>12</v>
      </c>
    </row>
    <row r="493" spans="1:8" hidden="1">
      <c r="A493" t="s">
        <v>246</v>
      </c>
      <c r="B493" t="s">
        <v>829</v>
      </c>
      <c r="C493" t="s">
        <v>830</v>
      </c>
      <c r="D493" t="s">
        <v>828</v>
      </c>
      <c r="E493">
        <v>40</v>
      </c>
      <c r="F493" t="s">
        <v>11</v>
      </c>
      <c r="G493">
        <v>1</v>
      </c>
      <c r="H493" t="s">
        <v>12</v>
      </c>
    </row>
    <row r="494" spans="1:8" hidden="1">
      <c r="A494" t="s">
        <v>246</v>
      </c>
      <c r="B494" t="s">
        <v>269</v>
      </c>
      <c r="C494" t="s">
        <v>270</v>
      </c>
      <c r="D494" t="s">
        <v>828</v>
      </c>
      <c r="E494">
        <v>53</v>
      </c>
      <c r="F494" t="s">
        <v>11</v>
      </c>
      <c r="G494">
        <v>1</v>
      </c>
      <c r="H494" t="s">
        <v>12</v>
      </c>
    </row>
    <row r="495" spans="1:8" hidden="1">
      <c r="A495" t="s">
        <v>246</v>
      </c>
      <c r="B495" t="s">
        <v>596</v>
      </c>
      <c r="C495" t="s">
        <v>597</v>
      </c>
      <c r="D495" t="s">
        <v>828</v>
      </c>
      <c r="E495">
        <v>42</v>
      </c>
      <c r="F495" t="s">
        <v>11</v>
      </c>
      <c r="G495">
        <v>1</v>
      </c>
      <c r="H495" t="s">
        <v>12</v>
      </c>
    </row>
    <row r="496" spans="1:8" hidden="1">
      <c r="A496" t="s">
        <v>174</v>
      </c>
      <c r="B496" t="s">
        <v>831</v>
      </c>
      <c r="C496" t="s">
        <v>832</v>
      </c>
      <c r="D496" t="s">
        <v>828</v>
      </c>
      <c r="E496">
        <v>40</v>
      </c>
      <c r="F496" t="s">
        <v>11</v>
      </c>
      <c r="G496">
        <v>1</v>
      </c>
      <c r="H496" t="s">
        <v>12</v>
      </c>
    </row>
    <row r="497" spans="1:8" hidden="1">
      <c r="A497" t="s">
        <v>44</v>
      </c>
      <c r="B497" t="s">
        <v>51</v>
      </c>
      <c r="C497" t="s">
        <v>52</v>
      </c>
      <c r="D497" t="s">
        <v>828</v>
      </c>
      <c r="E497">
        <v>47</v>
      </c>
      <c r="F497" t="s">
        <v>11</v>
      </c>
      <c r="G497">
        <v>1</v>
      </c>
      <c r="H497" t="s">
        <v>12</v>
      </c>
    </row>
    <row r="498" spans="1:8" hidden="1">
      <c r="A498" t="s">
        <v>65</v>
      </c>
      <c r="B498" t="s">
        <v>80</v>
      </c>
      <c r="C498" t="s">
        <v>81</v>
      </c>
      <c r="D498" t="s">
        <v>828</v>
      </c>
      <c r="E498">
        <v>52</v>
      </c>
      <c r="F498" t="s">
        <v>11</v>
      </c>
      <c r="G498">
        <v>1</v>
      </c>
      <c r="H498" t="s">
        <v>12</v>
      </c>
    </row>
    <row r="499" spans="1:8" hidden="1">
      <c r="A499" t="s">
        <v>301</v>
      </c>
      <c r="B499" t="s">
        <v>304</v>
      </c>
      <c r="C499" t="s">
        <v>305</v>
      </c>
      <c r="D499" t="s">
        <v>828</v>
      </c>
      <c r="E499">
        <v>50</v>
      </c>
      <c r="F499" t="s">
        <v>11</v>
      </c>
      <c r="G499">
        <v>1</v>
      </c>
      <c r="H499" t="s">
        <v>12</v>
      </c>
    </row>
    <row r="500" spans="1:8" hidden="1">
      <c r="A500" t="s">
        <v>301</v>
      </c>
      <c r="B500" t="s">
        <v>314</v>
      </c>
      <c r="C500" t="s">
        <v>315</v>
      </c>
      <c r="D500" t="s">
        <v>828</v>
      </c>
      <c r="E500">
        <v>54</v>
      </c>
      <c r="F500" t="s">
        <v>11</v>
      </c>
      <c r="G500">
        <v>1</v>
      </c>
      <c r="H500" t="s">
        <v>12</v>
      </c>
    </row>
    <row r="501" spans="1:8" hidden="1">
      <c r="A501" t="s">
        <v>301</v>
      </c>
      <c r="B501" t="s">
        <v>705</v>
      </c>
      <c r="C501" t="s">
        <v>706</v>
      </c>
      <c r="D501" t="s">
        <v>828</v>
      </c>
      <c r="E501">
        <v>43</v>
      </c>
      <c r="F501" t="s">
        <v>11</v>
      </c>
      <c r="G501">
        <v>1</v>
      </c>
      <c r="H501" t="s">
        <v>12</v>
      </c>
    </row>
    <row r="502" spans="1:8" hidden="1">
      <c r="A502" t="s">
        <v>194</v>
      </c>
      <c r="B502" t="s">
        <v>761</v>
      </c>
      <c r="C502" t="s">
        <v>762</v>
      </c>
      <c r="D502" t="s">
        <v>828</v>
      </c>
      <c r="E502">
        <v>40</v>
      </c>
      <c r="F502" t="s">
        <v>11</v>
      </c>
      <c r="G502">
        <v>1</v>
      </c>
      <c r="H502" t="s">
        <v>12</v>
      </c>
    </row>
    <row r="503" spans="1:8" hidden="1">
      <c r="A503" t="s">
        <v>122</v>
      </c>
      <c r="B503" t="s">
        <v>131</v>
      </c>
      <c r="C503" t="s">
        <v>132</v>
      </c>
      <c r="D503" t="s">
        <v>828</v>
      </c>
      <c r="E503">
        <v>43</v>
      </c>
      <c r="F503" t="s">
        <v>11</v>
      </c>
      <c r="G503">
        <v>1</v>
      </c>
      <c r="H503" t="s">
        <v>12</v>
      </c>
    </row>
    <row r="504" spans="1:8" hidden="1">
      <c r="A504" t="s">
        <v>171</v>
      </c>
      <c r="B504" t="s">
        <v>481</v>
      </c>
      <c r="C504" t="s">
        <v>482</v>
      </c>
      <c r="D504" t="s">
        <v>340</v>
      </c>
      <c r="E504">
        <v>35</v>
      </c>
      <c r="F504" t="s">
        <v>11</v>
      </c>
      <c r="G504">
        <v>2</v>
      </c>
      <c r="H504" t="s">
        <v>12</v>
      </c>
    </row>
    <row r="505" spans="1:8" hidden="1">
      <c r="A505" t="s">
        <v>171</v>
      </c>
      <c r="B505" t="s">
        <v>483</v>
      </c>
      <c r="C505" t="s">
        <v>484</v>
      </c>
      <c r="D505" t="s">
        <v>340</v>
      </c>
      <c r="E505">
        <v>42</v>
      </c>
      <c r="F505" t="s">
        <v>11</v>
      </c>
      <c r="G505">
        <v>2</v>
      </c>
      <c r="H505" t="s">
        <v>12</v>
      </c>
    </row>
    <row r="506" spans="1:8" hidden="1">
      <c r="A506" t="s">
        <v>171</v>
      </c>
      <c r="B506" t="s">
        <v>172</v>
      </c>
      <c r="C506" t="s">
        <v>173</v>
      </c>
      <c r="D506" t="s">
        <v>340</v>
      </c>
      <c r="E506">
        <v>58</v>
      </c>
      <c r="F506" t="s">
        <v>11</v>
      </c>
      <c r="G506">
        <v>2</v>
      </c>
      <c r="H506" t="s">
        <v>12</v>
      </c>
    </row>
    <row r="507" spans="1:8" hidden="1">
      <c r="A507" t="s">
        <v>171</v>
      </c>
      <c r="B507" t="s">
        <v>485</v>
      </c>
      <c r="C507" t="s">
        <v>486</v>
      </c>
      <c r="D507" t="s">
        <v>340</v>
      </c>
      <c r="E507">
        <v>56</v>
      </c>
      <c r="F507" t="s">
        <v>11</v>
      </c>
      <c r="G507">
        <v>2</v>
      </c>
      <c r="H507" t="s">
        <v>12</v>
      </c>
    </row>
    <row r="508" spans="1:8" hidden="1">
      <c r="A508" t="s">
        <v>171</v>
      </c>
      <c r="B508" t="s">
        <v>487</v>
      </c>
      <c r="C508" t="s">
        <v>488</v>
      </c>
      <c r="D508" t="s">
        <v>340</v>
      </c>
      <c r="E508">
        <v>52</v>
      </c>
      <c r="F508" t="s">
        <v>11</v>
      </c>
      <c r="G508">
        <v>2</v>
      </c>
      <c r="H508" t="s">
        <v>12</v>
      </c>
    </row>
    <row r="509" spans="1:8" hidden="1">
      <c r="A509" t="s">
        <v>7</v>
      </c>
      <c r="B509" t="s">
        <v>8</v>
      </c>
      <c r="C509" t="s">
        <v>9</v>
      </c>
      <c r="D509" t="s">
        <v>340</v>
      </c>
      <c r="E509">
        <v>40</v>
      </c>
      <c r="F509" t="s">
        <v>11</v>
      </c>
      <c r="G509">
        <v>2</v>
      </c>
      <c r="H509" t="s">
        <v>12</v>
      </c>
    </row>
    <row r="510" spans="1:8" hidden="1">
      <c r="A510" t="s">
        <v>7</v>
      </c>
      <c r="B510" t="s">
        <v>13</v>
      </c>
      <c r="C510" t="s">
        <v>14</v>
      </c>
      <c r="D510" t="s">
        <v>340</v>
      </c>
      <c r="E510">
        <v>56</v>
      </c>
      <c r="F510" t="s">
        <v>11</v>
      </c>
      <c r="G510">
        <v>2</v>
      </c>
      <c r="H510" t="s">
        <v>12</v>
      </c>
    </row>
    <row r="511" spans="1:8" hidden="1">
      <c r="A511" t="s">
        <v>7</v>
      </c>
      <c r="B511" t="s">
        <v>541</v>
      </c>
      <c r="C511" t="s">
        <v>542</v>
      </c>
      <c r="D511" t="s">
        <v>340</v>
      </c>
      <c r="E511">
        <v>56</v>
      </c>
      <c r="F511" t="s">
        <v>11</v>
      </c>
      <c r="G511">
        <v>2</v>
      </c>
      <c r="H511" t="s">
        <v>12</v>
      </c>
    </row>
    <row r="512" spans="1:8" hidden="1">
      <c r="A512" t="s">
        <v>7</v>
      </c>
      <c r="B512" t="s">
        <v>543</v>
      </c>
      <c r="C512" t="s">
        <v>71</v>
      </c>
      <c r="D512" t="s">
        <v>340</v>
      </c>
      <c r="E512">
        <v>55</v>
      </c>
      <c r="F512" t="s">
        <v>11</v>
      </c>
      <c r="G512">
        <v>2</v>
      </c>
      <c r="H512" t="s">
        <v>12</v>
      </c>
    </row>
    <row r="513" spans="1:8" hidden="1">
      <c r="A513" t="s">
        <v>7</v>
      </c>
      <c r="B513" t="s">
        <v>17</v>
      </c>
      <c r="C513" t="s">
        <v>18</v>
      </c>
      <c r="D513" t="s">
        <v>340</v>
      </c>
      <c r="E513">
        <v>42</v>
      </c>
      <c r="F513" t="s">
        <v>11</v>
      </c>
      <c r="G513">
        <v>2</v>
      </c>
      <c r="H513" t="s">
        <v>12</v>
      </c>
    </row>
    <row r="514" spans="1:8" hidden="1">
      <c r="A514" t="s">
        <v>7</v>
      </c>
      <c r="B514" t="s">
        <v>544</v>
      </c>
      <c r="C514" t="s">
        <v>545</v>
      </c>
      <c r="D514" t="s">
        <v>340</v>
      </c>
      <c r="E514">
        <v>53</v>
      </c>
      <c r="F514" t="s">
        <v>11</v>
      </c>
      <c r="G514">
        <v>2</v>
      </c>
      <c r="H514" t="s">
        <v>12</v>
      </c>
    </row>
    <row r="515" spans="1:8" hidden="1">
      <c r="A515" t="s">
        <v>7</v>
      </c>
      <c r="B515" t="s">
        <v>546</v>
      </c>
      <c r="C515" t="s">
        <v>547</v>
      </c>
      <c r="D515" t="s">
        <v>340</v>
      </c>
      <c r="E515">
        <v>40</v>
      </c>
      <c r="F515" t="s">
        <v>11</v>
      </c>
      <c r="G515">
        <v>2</v>
      </c>
      <c r="H515" t="s">
        <v>12</v>
      </c>
    </row>
    <row r="516" spans="1:8" hidden="1">
      <c r="A516" t="s">
        <v>7</v>
      </c>
      <c r="B516" t="s">
        <v>548</v>
      </c>
      <c r="C516" t="s">
        <v>549</v>
      </c>
      <c r="D516" t="s">
        <v>340</v>
      </c>
      <c r="E516">
        <v>54</v>
      </c>
      <c r="F516" t="s">
        <v>11</v>
      </c>
      <c r="G516">
        <v>2</v>
      </c>
      <c r="H516" t="s">
        <v>12</v>
      </c>
    </row>
    <row r="517" spans="1:8" hidden="1">
      <c r="A517" t="s">
        <v>7</v>
      </c>
      <c r="B517" t="s">
        <v>550</v>
      </c>
      <c r="C517" t="s">
        <v>551</v>
      </c>
      <c r="D517" t="s">
        <v>340</v>
      </c>
      <c r="E517">
        <v>40</v>
      </c>
      <c r="F517" t="s">
        <v>11</v>
      </c>
      <c r="G517">
        <v>2</v>
      </c>
      <c r="H517" t="s">
        <v>12</v>
      </c>
    </row>
    <row r="518" spans="1:8" hidden="1">
      <c r="A518" t="s">
        <v>7</v>
      </c>
      <c r="B518" t="s">
        <v>552</v>
      </c>
      <c r="C518" t="s">
        <v>553</v>
      </c>
      <c r="D518" t="s">
        <v>340</v>
      </c>
      <c r="E518">
        <v>55</v>
      </c>
      <c r="F518" t="s">
        <v>11</v>
      </c>
      <c r="G518">
        <v>2</v>
      </c>
      <c r="H518" t="s">
        <v>12</v>
      </c>
    </row>
    <row r="519" spans="1:8" hidden="1">
      <c r="A519" t="s">
        <v>7</v>
      </c>
      <c r="B519" t="s">
        <v>554</v>
      </c>
      <c r="C519" t="s">
        <v>555</v>
      </c>
      <c r="D519" t="s">
        <v>340</v>
      </c>
      <c r="E519">
        <v>54</v>
      </c>
      <c r="F519" t="s">
        <v>11</v>
      </c>
      <c r="G519">
        <v>2</v>
      </c>
      <c r="H519" t="s">
        <v>12</v>
      </c>
    </row>
    <row r="520" spans="1:8" hidden="1">
      <c r="A520" t="s">
        <v>7</v>
      </c>
      <c r="B520" t="s">
        <v>556</v>
      </c>
      <c r="C520" t="s">
        <v>557</v>
      </c>
      <c r="D520" t="s">
        <v>340</v>
      </c>
      <c r="E520">
        <v>40</v>
      </c>
      <c r="F520" t="s">
        <v>11</v>
      </c>
      <c r="G520">
        <v>2</v>
      </c>
      <c r="H520" t="s">
        <v>12</v>
      </c>
    </row>
    <row r="521" spans="1:8" hidden="1">
      <c r="A521" t="s">
        <v>84</v>
      </c>
      <c r="B521" t="s">
        <v>441</v>
      </c>
      <c r="C521" t="s">
        <v>442</v>
      </c>
      <c r="D521" t="s">
        <v>340</v>
      </c>
      <c r="E521">
        <v>54</v>
      </c>
      <c r="F521" t="s">
        <v>11</v>
      </c>
      <c r="G521">
        <v>2</v>
      </c>
      <c r="H521" t="s">
        <v>12</v>
      </c>
    </row>
    <row r="522" spans="1:8" hidden="1">
      <c r="A522" t="s">
        <v>84</v>
      </c>
      <c r="B522" t="s">
        <v>89</v>
      </c>
      <c r="C522" t="s">
        <v>90</v>
      </c>
      <c r="D522" t="s">
        <v>340</v>
      </c>
      <c r="E522">
        <v>40</v>
      </c>
      <c r="F522" t="s">
        <v>11</v>
      </c>
      <c r="G522">
        <v>2</v>
      </c>
      <c r="H522" t="s">
        <v>12</v>
      </c>
    </row>
    <row r="523" spans="1:8" hidden="1">
      <c r="A523" t="s">
        <v>84</v>
      </c>
      <c r="B523" t="s">
        <v>443</v>
      </c>
      <c r="C523" t="s">
        <v>444</v>
      </c>
      <c r="D523" t="s">
        <v>340</v>
      </c>
      <c r="E523">
        <v>49</v>
      </c>
      <c r="F523" t="s">
        <v>11</v>
      </c>
      <c r="G523">
        <v>2</v>
      </c>
      <c r="H523" t="s">
        <v>12</v>
      </c>
    </row>
    <row r="524" spans="1:8" hidden="1">
      <c r="A524" t="s">
        <v>84</v>
      </c>
      <c r="B524" t="s">
        <v>91</v>
      </c>
      <c r="C524" t="s">
        <v>92</v>
      </c>
      <c r="D524" t="s">
        <v>340</v>
      </c>
      <c r="E524">
        <v>40</v>
      </c>
      <c r="F524" t="s">
        <v>11</v>
      </c>
      <c r="G524">
        <v>2</v>
      </c>
      <c r="H524" t="s">
        <v>12</v>
      </c>
    </row>
    <row r="525" spans="1:8" hidden="1">
      <c r="A525" t="s">
        <v>84</v>
      </c>
      <c r="B525" t="s">
        <v>445</v>
      </c>
      <c r="C525" t="s">
        <v>446</v>
      </c>
      <c r="D525" t="s">
        <v>340</v>
      </c>
      <c r="E525">
        <v>41</v>
      </c>
      <c r="F525" t="s">
        <v>11</v>
      </c>
      <c r="G525">
        <v>2</v>
      </c>
      <c r="H525" t="s">
        <v>12</v>
      </c>
    </row>
    <row r="526" spans="1:8" hidden="1">
      <c r="A526" t="s">
        <v>84</v>
      </c>
      <c r="B526" t="s">
        <v>447</v>
      </c>
      <c r="C526" t="s">
        <v>448</v>
      </c>
      <c r="D526" t="s">
        <v>340</v>
      </c>
      <c r="E526">
        <v>40</v>
      </c>
      <c r="F526" t="s">
        <v>11</v>
      </c>
      <c r="G526">
        <v>2</v>
      </c>
      <c r="H526" t="s">
        <v>12</v>
      </c>
    </row>
    <row r="527" spans="1:8" hidden="1">
      <c r="A527" t="s">
        <v>25</v>
      </c>
      <c r="B527" t="s">
        <v>338</v>
      </c>
      <c r="C527" t="s">
        <v>339</v>
      </c>
      <c r="D527" t="s">
        <v>340</v>
      </c>
      <c r="E527">
        <v>40</v>
      </c>
      <c r="F527" t="s">
        <v>11</v>
      </c>
      <c r="G527">
        <v>2</v>
      </c>
      <c r="H527" t="s">
        <v>12</v>
      </c>
    </row>
    <row r="528" spans="1:8" hidden="1">
      <c r="A528" t="s">
        <v>25</v>
      </c>
      <c r="B528" t="s">
        <v>30</v>
      </c>
      <c r="C528" t="s">
        <v>31</v>
      </c>
      <c r="D528" t="s">
        <v>340</v>
      </c>
      <c r="E528">
        <v>40</v>
      </c>
      <c r="F528" t="s">
        <v>11</v>
      </c>
      <c r="G528">
        <v>2</v>
      </c>
      <c r="H528" t="s">
        <v>12</v>
      </c>
    </row>
    <row r="529" spans="1:8" hidden="1">
      <c r="A529" t="s">
        <v>25</v>
      </c>
      <c r="B529" t="s">
        <v>341</v>
      </c>
      <c r="C529" t="s">
        <v>342</v>
      </c>
      <c r="D529" t="s">
        <v>340</v>
      </c>
      <c r="E529">
        <v>49</v>
      </c>
      <c r="F529" t="s">
        <v>11</v>
      </c>
      <c r="G529">
        <v>2</v>
      </c>
      <c r="H529" t="s">
        <v>12</v>
      </c>
    </row>
    <row r="530" spans="1:8" hidden="1">
      <c r="A530" t="s">
        <v>25</v>
      </c>
      <c r="B530" t="s">
        <v>343</v>
      </c>
      <c r="C530" t="s">
        <v>344</v>
      </c>
      <c r="D530" t="s">
        <v>340</v>
      </c>
      <c r="E530">
        <v>51</v>
      </c>
      <c r="F530" t="s">
        <v>11</v>
      </c>
      <c r="G530">
        <v>2</v>
      </c>
      <c r="H530" t="s">
        <v>12</v>
      </c>
    </row>
    <row r="531" spans="1:8" hidden="1">
      <c r="A531" t="s">
        <v>25</v>
      </c>
      <c r="B531" t="s">
        <v>345</v>
      </c>
      <c r="C531" t="s">
        <v>346</v>
      </c>
      <c r="D531" t="s">
        <v>340</v>
      </c>
      <c r="E531">
        <v>46</v>
      </c>
      <c r="F531" t="s">
        <v>11</v>
      </c>
      <c r="G531">
        <v>2</v>
      </c>
      <c r="H531" t="s">
        <v>12</v>
      </c>
    </row>
    <row r="532" spans="1:8" hidden="1">
      <c r="A532" t="s">
        <v>25</v>
      </c>
      <c r="B532" t="s">
        <v>347</v>
      </c>
      <c r="C532" t="s">
        <v>348</v>
      </c>
      <c r="D532" t="s">
        <v>340</v>
      </c>
      <c r="E532">
        <v>54</v>
      </c>
      <c r="F532" t="s">
        <v>11</v>
      </c>
      <c r="G532">
        <v>2</v>
      </c>
      <c r="H532" t="s">
        <v>12</v>
      </c>
    </row>
    <row r="533" spans="1:8" hidden="1">
      <c r="A533" t="s">
        <v>25</v>
      </c>
      <c r="B533" t="s">
        <v>32</v>
      </c>
      <c r="C533" t="s">
        <v>33</v>
      </c>
      <c r="D533" t="s">
        <v>340</v>
      </c>
      <c r="E533">
        <v>40</v>
      </c>
      <c r="F533" t="s">
        <v>11</v>
      </c>
      <c r="G533">
        <v>2</v>
      </c>
      <c r="H533" t="s">
        <v>12</v>
      </c>
    </row>
    <row r="534" spans="1:8" hidden="1">
      <c r="A534" t="s">
        <v>25</v>
      </c>
      <c r="B534" t="s">
        <v>34</v>
      </c>
      <c r="C534" t="s">
        <v>35</v>
      </c>
      <c r="D534" t="s">
        <v>340</v>
      </c>
      <c r="E534">
        <v>47</v>
      </c>
      <c r="F534" t="s">
        <v>11</v>
      </c>
      <c r="G534">
        <v>2</v>
      </c>
      <c r="H534" t="s">
        <v>12</v>
      </c>
    </row>
    <row r="535" spans="1:8" hidden="1">
      <c r="A535" t="s">
        <v>25</v>
      </c>
      <c r="B535" t="s">
        <v>38</v>
      </c>
      <c r="C535" t="s">
        <v>39</v>
      </c>
      <c r="D535" t="s">
        <v>340</v>
      </c>
      <c r="E535">
        <v>56</v>
      </c>
      <c r="F535" t="s">
        <v>11</v>
      </c>
      <c r="G535">
        <v>2</v>
      </c>
      <c r="H535" t="s">
        <v>12</v>
      </c>
    </row>
    <row r="536" spans="1:8" hidden="1">
      <c r="A536" t="s">
        <v>25</v>
      </c>
      <c r="B536" t="s">
        <v>349</v>
      </c>
      <c r="C536" t="s">
        <v>350</v>
      </c>
      <c r="D536" t="s">
        <v>340</v>
      </c>
      <c r="E536">
        <v>40</v>
      </c>
      <c r="F536" t="s">
        <v>11</v>
      </c>
      <c r="G536">
        <v>2</v>
      </c>
      <c r="H536" t="s">
        <v>12</v>
      </c>
    </row>
    <row r="537" spans="1:8" hidden="1">
      <c r="A537" t="s">
        <v>25</v>
      </c>
      <c r="B537" t="s">
        <v>351</v>
      </c>
      <c r="C537" t="s">
        <v>352</v>
      </c>
      <c r="D537" t="s">
        <v>340</v>
      </c>
      <c r="E537">
        <v>40</v>
      </c>
      <c r="F537" t="s">
        <v>11</v>
      </c>
      <c r="G537">
        <v>2</v>
      </c>
      <c r="H537" t="s">
        <v>12</v>
      </c>
    </row>
    <row r="538" spans="1:8" hidden="1">
      <c r="A538" t="s">
        <v>246</v>
      </c>
      <c r="B538" t="s">
        <v>247</v>
      </c>
      <c r="C538" t="s">
        <v>248</v>
      </c>
      <c r="D538" t="s">
        <v>340</v>
      </c>
      <c r="E538">
        <v>47</v>
      </c>
      <c r="F538" t="s">
        <v>11</v>
      </c>
      <c r="G538">
        <v>2</v>
      </c>
      <c r="H538" t="s">
        <v>12</v>
      </c>
    </row>
    <row r="539" spans="1:8" hidden="1">
      <c r="A539" t="s">
        <v>246</v>
      </c>
      <c r="B539" t="s">
        <v>251</v>
      </c>
      <c r="C539" t="s">
        <v>252</v>
      </c>
      <c r="D539" t="s">
        <v>340</v>
      </c>
      <c r="E539">
        <v>52</v>
      </c>
      <c r="F539" t="s">
        <v>11</v>
      </c>
      <c r="G539">
        <v>2</v>
      </c>
      <c r="H539" t="s">
        <v>12</v>
      </c>
    </row>
    <row r="540" spans="1:8" hidden="1">
      <c r="A540" t="s">
        <v>246</v>
      </c>
      <c r="B540" t="s">
        <v>253</v>
      </c>
      <c r="C540" t="s">
        <v>254</v>
      </c>
      <c r="D540" t="s">
        <v>340</v>
      </c>
      <c r="E540">
        <v>47</v>
      </c>
      <c r="F540" t="s">
        <v>11</v>
      </c>
      <c r="G540">
        <v>2</v>
      </c>
      <c r="H540" t="s">
        <v>12</v>
      </c>
    </row>
    <row r="541" spans="1:8" hidden="1">
      <c r="A541" t="s">
        <v>246</v>
      </c>
      <c r="B541" t="s">
        <v>255</v>
      </c>
      <c r="C541" t="s">
        <v>256</v>
      </c>
      <c r="D541" t="s">
        <v>340</v>
      </c>
      <c r="E541">
        <v>50</v>
      </c>
      <c r="F541" t="s">
        <v>11</v>
      </c>
      <c r="G541">
        <v>2</v>
      </c>
      <c r="H541" t="s">
        <v>12</v>
      </c>
    </row>
    <row r="542" spans="1:8" hidden="1">
      <c r="A542" t="s">
        <v>246</v>
      </c>
      <c r="B542" t="s">
        <v>411</v>
      </c>
      <c r="C542" t="s">
        <v>412</v>
      </c>
      <c r="D542" t="s">
        <v>340</v>
      </c>
      <c r="E542">
        <v>49</v>
      </c>
      <c r="F542" t="s">
        <v>11</v>
      </c>
      <c r="G542">
        <v>2</v>
      </c>
      <c r="H542" t="s">
        <v>12</v>
      </c>
    </row>
    <row r="543" spans="1:8" hidden="1">
      <c r="A543" t="s">
        <v>246</v>
      </c>
      <c r="B543" t="s">
        <v>259</v>
      </c>
      <c r="C543" t="s">
        <v>260</v>
      </c>
      <c r="D543" t="s">
        <v>340</v>
      </c>
      <c r="E543">
        <v>47</v>
      </c>
      <c r="F543" t="s">
        <v>11</v>
      </c>
      <c r="G543">
        <v>2</v>
      </c>
      <c r="H543" t="s">
        <v>12</v>
      </c>
    </row>
    <row r="544" spans="1:8" hidden="1">
      <c r="A544" t="s">
        <v>246</v>
      </c>
      <c r="B544" t="s">
        <v>413</v>
      </c>
      <c r="C544" t="s">
        <v>414</v>
      </c>
      <c r="D544" t="s">
        <v>340</v>
      </c>
      <c r="E544">
        <v>54</v>
      </c>
      <c r="F544" t="s">
        <v>11</v>
      </c>
      <c r="G544">
        <v>2</v>
      </c>
      <c r="H544" t="s">
        <v>12</v>
      </c>
    </row>
    <row r="545" spans="1:8" hidden="1">
      <c r="A545" t="s">
        <v>246</v>
      </c>
      <c r="B545" t="s">
        <v>263</v>
      </c>
      <c r="C545" t="s">
        <v>264</v>
      </c>
      <c r="D545" t="s">
        <v>340</v>
      </c>
      <c r="E545">
        <v>52</v>
      </c>
      <c r="F545" t="s">
        <v>11</v>
      </c>
      <c r="G545">
        <v>2</v>
      </c>
      <c r="H545" t="s">
        <v>12</v>
      </c>
    </row>
    <row r="546" spans="1:8" hidden="1">
      <c r="A546" t="s">
        <v>246</v>
      </c>
      <c r="B546" t="s">
        <v>267</v>
      </c>
      <c r="C546" t="s">
        <v>268</v>
      </c>
      <c r="D546" t="s">
        <v>340</v>
      </c>
      <c r="E546">
        <v>47</v>
      </c>
      <c r="F546" t="s">
        <v>11</v>
      </c>
      <c r="G546">
        <v>2</v>
      </c>
      <c r="H546" t="s">
        <v>12</v>
      </c>
    </row>
    <row r="547" spans="1:8" hidden="1">
      <c r="A547" t="s">
        <v>246</v>
      </c>
      <c r="B547" t="s">
        <v>415</v>
      </c>
      <c r="C547" t="s">
        <v>416</v>
      </c>
      <c r="D547" t="s">
        <v>340</v>
      </c>
      <c r="E547">
        <v>50</v>
      </c>
      <c r="F547" t="s">
        <v>11</v>
      </c>
      <c r="G547">
        <v>2</v>
      </c>
      <c r="H547" t="s">
        <v>12</v>
      </c>
    </row>
    <row r="548" spans="1:8" hidden="1">
      <c r="A548" t="s">
        <v>279</v>
      </c>
      <c r="B548" t="s">
        <v>280</v>
      </c>
      <c r="C548" t="s">
        <v>281</v>
      </c>
      <c r="D548" t="s">
        <v>340</v>
      </c>
      <c r="E548">
        <v>45</v>
      </c>
      <c r="F548" t="s">
        <v>11</v>
      </c>
      <c r="G548">
        <v>2</v>
      </c>
      <c r="H548" t="s">
        <v>12</v>
      </c>
    </row>
    <row r="549" spans="1:8" hidden="1">
      <c r="A549" t="s">
        <v>279</v>
      </c>
      <c r="B549" t="s">
        <v>282</v>
      </c>
      <c r="C549" t="s">
        <v>283</v>
      </c>
      <c r="D549" t="s">
        <v>340</v>
      </c>
      <c r="E549">
        <v>40</v>
      </c>
      <c r="F549" t="s">
        <v>11</v>
      </c>
      <c r="G549">
        <v>2</v>
      </c>
      <c r="H549" t="s">
        <v>12</v>
      </c>
    </row>
    <row r="550" spans="1:8" hidden="1">
      <c r="A550" t="s">
        <v>279</v>
      </c>
      <c r="B550" t="s">
        <v>353</v>
      </c>
      <c r="C550" t="s">
        <v>354</v>
      </c>
      <c r="D550" t="s">
        <v>340</v>
      </c>
      <c r="E550">
        <v>44</v>
      </c>
      <c r="F550" t="s">
        <v>11</v>
      </c>
      <c r="G550">
        <v>2</v>
      </c>
      <c r="H550" t="s">
        <v>12</v>
      </c>
    </row>
    <row r="551" spans="1:8" hidden="1">
      <c r="A551" t="s">
        <v>279</v>
      </c>
      <c r="B551" t="s">
        <v>355</v>
      </c>
      <c r="C551" t="s">
        <v>356</v>
      </c>
      <c r="D551" t="s">
        <v>340</v>
      </c>
      <c r="E551">
        <v>45</v>
      </c>
      <c r="F551" t="s">
        <v>11</v>
      </c>
      <c r="G551">
        <v>2</v>
      </c>
      <c r="H551" t="s">
        <v>12</v>
      </c>
    </row>
    <row r="552" spans="1:8" hidden="1">
      <c r="A552" t="s">
        <v>279</v>
      </c>
      <c r="B552" t="s">
        <v>286</v>
      </c>
      <c r="C552" t="s">
        <v>287</v>
      </c>
      <c r="D552" t="s">
        <v>340</v>
      </c>
      <c r="E552">
        <v>47</v>
      </c>
      <c r="F552" t="s">
        <v>11</v>
      </c>
      <c r="G552">
        <v>2</v>
      </c>
      <c r="H552" t="s">
        <v>12</v>
      </c>
    </row>
    <row r="553" spans="1:8" hidden="1">
      <c r="A553" t="s">
        <v>279</v>
      </c>
      <c r="B553" t="s">
        <v>357</v>
      </c>
      <c r="C553" t="s">
        <v>358</v>
      </c>
      <c r="D553" t="s">
        <v>340</v>
      </c>
      <c r="E553">
        <v>55</v>
      </c>
      <c r="F553" t="s">
        <v>11</v>
      </c>
      <c r="G553">
        <v>2</v>
      </c>
      <c r="H553" t="s">
        <v>12</v>
      </c>
    </row>
    <row r="554" spans="1:8" hidden="1">
      <c r="A554" t="s">
        <v>279</v>
      </c>
      <c r="B554" t="s">
        <v>359</v>
      </c>
      <c r="C554" t="s">
        <v>360</v>
      </c>
      <c r="D554" t="s">
        <v>340</v>
      </c>
      <c r="E554">
        <v>46</v>
      </c>
      <c r="F554" t="s">
        <v>11</v>
      </c>
      <c r="G554">
        <v>2</v>
      </c>
      <c r="H554" t="s">
        <v>12</v>
      </c>
    </row>
    <row r="555" spans="1:8" hidden="1">
      <c r="A555" t="s">
        <v>279</v>
      </c>
      <c r="B555" t="s">
        <v>288</v>
      </c>
      <c r="C555" t="s">
        <v>289</v>
      </c>
      <c r="D555" t="s">
        <v>340</v>
      </c>
      <c r="E555">
        <v>54</v>
      </c>
      <c r="F555" t="s">
        <v>11</v>
      </c>
      <c r="G555">
        <v>2</v>
      </c>
      <c r="H555" t="s">
        <v>12</v>
      </c>
    </row>
    <row r="556" spans="1:8" hidden="1">
      <c r="A556" t="s">
        <v>279</v>
      </c>
      <c r="B556" t="s">
        <v>290</v>
      </c>
      <c r="C556" t="s">
        <v>291</v>
      </c>
      <c r="D556" t="s">
        <v>340</v>
      </c>
      <c r="E556">
        <v>52</v>
      </c>
      <c r="F556" t="s">
        <v>11</v>
      </c>
      <c r="G556">
        <v>2</v>
      </c>
      <c r="H556" t="s">
        <v>12</v>
      </c>
    </row>
    <row r="557" spans="1:8" hidden="1">
      <c r="A557" t="s">
        <v>279</v>
      </c>
      <c r="B557" t="s">
        <v>361</v>
      </c>
      <c r="C557" t="s">
        <v>362</v>
      </c>
      <c r="D557" t="s">
        <v>340</v>
      </c>
      <c r="E557">
        <v>49</v>
      </c>
      <c r="F557" t="s">
        <v>11</v>
      </c>
      <c r="G557">
        <v>2</v>
      </c>
      <c r="H557" t="s">
        <v>12</v>
      </c>
    </row>
    <row r="558" spans="1:8" hidden="1">
      <c r="A558" t="s">
        <v>279</v>
      </c>
      <c r="B558" t="s">
        <v>363</v>
      </c>
      <c r="C558" t="s">
        <v>364</v>
      </c>
      <c r="D558" t="s">
        <v>340</v>
      </c>
      <c r="E558">
        <v>50</v>
      </c>
      <c r="F558" t="s">
        <v>11</v>
      </c>
      <c r="G558">
        <v>2</v>
      </c>
      <c r="H558" t="s">
        <v>12</v>
      </c>
    </row>
    <row r="559" spans="1:8" hidden="1">
      <c r="A559" t="s">
        <v>279</v>
      </c>
      <c r="B559" t="s">
        <v>365</v>
      </c>
      <c r="C559" t="s">
        <v>366</v>
      </c>
      <c r="D559" t="s">
        <v>340</v>
      </c>
      <c r="E559">
        <v>49</v>
      </c>
      <c r="F559" t="s">
        <v>11</v>
      </c>
      <c r="G559">
        <v>2</v>
      </c>
      <c r="H559" t="s">
        <v>12</v>
      </c>
    </row>
    <row r="560" spans="1:8" hidden="1">
      <c r="A560" t="s">
        <v>279</v>
      </c>
      <c r="B560" t="s">
        <v>292</v>
      </c>
      <c r="C560" t="s">
        <v>293</v>
      </c>
      <c r="D560" t="s">
        <v>340</v>
      </c>
      <c r="E560">
        <v>49</v>
      </c>
      <c r="F560" t="s">
        <v>11</v>
      </c>
      <c r="G560">
        <v>2</v>
      </c>
      <c r="H560" t="s">
        <v>12</v>
      </c>
    </row>
    <row r="561" spans="1:8" hidden="1">
      <c r="A561" t="s">
        <v>174</v>
      </c>
      <c r="B561" t="s">
        <v>491</v>
      </c>
      <c r="C561" t="s">
        <v>492</v>
      </c>
      <c r="D561" t="s">
        <v>340</v>
      </c>
      <c r="E561">
        <v>43</v>
      </c>
      <c r="F561" t="s">
        <v>11</v>
      </c>
      <c r="G561">
        <v>2</v>
      </c>
      <c r="H561" t="s">
        <v>12</v>
      </c>
    </row>
    <row r="562" spans="1:8" hidden="1">
      <c r="A562" t="s">
        <v>174</v>
      </c>
      <c r="B562" t="s">
        <v>175</v>
      </c>
      <c r="C562" t="s">
        <v>176</v>
      </c>
      <c r="D562" t="s">
        <v>340</v>
      </c>
      <c r="E562">
        <v>41</v>
      </c>
      <c r="F562" t="s">
        <v>11</v>
      </c>
      <c r="G562">
        <v>2</v>
      </c>
      <c r="H562" t="s">
        <v>12</v>
      </c>
    </row>
    <row r="563" spans="1:8" hidden="1">
      <c r="A563" t="s">
        <v>174</v>
      </c>
      <c r="B563" t="s">
        <v>493</v>
      </c>
      <c r="C563" t="s">
        <v>494</v>
      </c>
      <c r="D563" t="s">
        <v>340</v>
      </c>
      <c r="E563">
        <v>49</v>
      </c>
      <c r="F563" t="s">
        <v>11</v>
      </c>
      <c r="G563">
        <v>2</v>
      </c>
      <c r="H563" t="s">
        <v>12</v>
      </c>
    </row>
    <row r="564" spans="1:8" hidden="1">
      <c r="A564" t="s">
        <v>174</v>
      </c>
      <c r="B564" t="s">
        <v>495</v>
      </c>
      <c r="C564" t="s">
        <v>496</v>
      </c>
      <c r="D564" t="s">
        <v>340</v>
      </c>
      <c r="E564">
        <v>50</v>
      </c>
      <c r="F564" t="s">
        <v>11</v>
      </c>
      <c r="G564">
        <v>2</v>
      </c>
      <c r="H564" t="s">
        <v>12</v>
      </c>
    </row>
    <row r="565" spans="1:8" hidden="1">
      <c r="A565" t="s">
        <v>174</v>
      </c>
      <c r="B565" t="s">
        <v>497</v>
      </c>
      <c r="C565" t="s">
        <v>498</v>
      </c>
      <c r="D565" t="s">
        <v>340</v>
      </c>
      <c r="E565">
        <v>48</v>
      </c>
      <c r="F565" t="s">
        <v>11</v>
      </c>
      <c r="G565">
        <v>2</v>
      </c>
      <c r="H565" t="s">
        <v>12</v>
      </c>
    </row>
    <row r="566" spans="1:8" hidden="1">
      <c r="A566" t="s">
        <v>174</v>
      </c>
      <c r="B566" t="s">
        <v>183</v>
      </c>
      <c r="C566" t="s">
        <v>184</v>
      </c>
      <c r="D566" t="s">
        <v>340</v>
      </c>
      <c r="E566">
        <v>51</v>
      </c>
      <c r="F566" t="s">
        <v>11</v>
      </c>
      <c r="G566">
        <v>2</v>
      </c>
      <c r="H566" t="s">
        <v>12</v>
      </c>
    </row>
    <row r="567" spans="1:8" hidden="1">
      <c r="A567" t="s">
        <v>174</v>
      </c>
      <c r="B567" t="s">
        <v>187</v>
      </c>
      <c r="C567" t="s">
        <v>188</v>
      </c>
      <c r="D567" t="s">
        <v>340</v>
      </c>
      <c r="E567">
        <v>50</v>
      </c>
      <c r="F567" t="s">
        <v>11</v>
      </c>
      <c r="G567">
        <v>2</v>
      </c>
      <c r="H567" t="s">
        <v>12</v>
      </c>
    </row>
    <row r="568" spans="1:8" hidden="1">
      <c r="A568" t="s">
        <v>174</v>
      </c>
      <c r="B568" t="s">
        <v>499</v>
      </c>
      <c r="C568" t="s">
        <v>500</v>
      </c>
      <c r="D568" t="s">
        <v>340</v>
      </c>
      <c r="E568">
        <v>43</v>
      </c>
      <c r="F568" t="s">
        <v>11</v>
      </c>
      <c r="G568">
        <v>2</v>
      </c>
      <c r="H568" t="s">
        <v>12</v>
      </c>
    </row>
    <row r="569" spans="1:8" hidden="1">
      <c r="A569" t="s">
        <v>174</v>
      </c>
      <c r="B569" t="s">
        <v>189</v>
      </c>
      <c r="C569" t="s">
        <v>190</v>
      </c>
      <c r="D569" t="s">
        <v>340</v>
      </c>
      <c r="E569">
        <v>54</v>
      </c>
      <c r="F569" t="s">
        <v>11</v>
      </c>
      <c r="G569">
        <v>2</v>
      </c>
      <c r="H569" t="s">
        <v>12</v>
      </c>
    </row>
    <row r="570" spans="1:8" hidden="1">
      <c r="A570" t="s">
        <v>174</v>
      </c>
      <c r="B570" t="s">
        <v>191</v>
      </c>
      <c r="C570" t="s">
        <v>151</v>
      </c>
      <c r="D570" t="s">
        <v>340</v>
      </c>
      <c r="E570">
        <v>42</v>
      </c>
      <c r="F570" t="s">
        <v>11</v>
      </c>
      <c r="G570">
        <v>2</v>
      </c>
      <c r="H570" t="s">
        <v>12</v>
      </c>
    </row>
    <row r="571" spans="1:8" hidden="1">
      <c r="A571" t="s">
        <v>174</v>
      </c>
      <c r="B571" t="s">
        <v>192</v>
      </c>
      <c r="C571" t="s">
        <v>193</v>
      </c>
      <c r="D571" t="s">
        <v>340</v>
      </c>
      <c r="E571">
        <v>40</v>
      </c>
      <c r="F571" t="s">
        <v>11</v>
      </c>
      <c r="G571">
        <v>2</v>
      </c>
      <c r="H571" t="s">
        <v>12</v>
      </c>
    </row>
    <row r="572" spans="1:8" hidden="1">
      <c r="A572" t="s">
        <v>174</v>
      </c>
      <c r="B572" t="s">
        <v>501</v>
      </c>
      <c r="C572" t="s">
        <v>502</v>
      </c>
      <c r="D572" t="s">
        <v>340</v>
      </c>
      <c r="E572">
        <v>40</v>
      </c>
      <c r="F572" t="s">
        <v>11</v>
      </c>
      <c r="G572">
        <v>2</v>
      </c>
      <c r="H572" t="s">
        <v>12</v>
      </c>
    </row>
    <row r="573" spans="1:8" hidden="1">
      <c r="A573" t="s">
        <v>174</v>
      </c>
      <c r="B573" t="s">
        <v>503</v>
      </c>
      <c r="C573" t="s">
        <v>504</v>
      </c>
      <c r="D573" t="s">
        <v>340</v>
      </c>
      <c r="E573">
        <v>41</v>
      </c>
      <c r="F573" t="s">
        <v>11</v>
      </c>
      <c r="G573">
        <v>2</v>
      </c>
      <c r="H573" t="s">
        <v>12</v>
      </c>
    </row>
    <row r="574" spans="1:8" hidden="1">
      <c r="A574" t="s">
        <v>174</v>
      </c>
      <c r="B574" t="s">
        <v>505</v>
      </c>
      <c r="C574" t="s">
        <v>506</v>
      </c>
      <c r="D574" t="s">
        <v>340</v>
      </c>
      <c r="E574">
        <v>49</v>
      </c>
      <c r="F574" t="s">
        <v>11</v>
      </c>
      <c r="G574">
        <v>2</v>
      </c>
      <c r="H574" t="s">
        <v>12</v>
      </c>
    </row>
    <row r="575" spans="1:8" hidden="1">
      <c r="A575" t="s">
        <v>44</v>
      </c>
      <c r="B575" t="s">
        <v>449</v>
      </c>
      <c r="C575" t="s">
        <v>450</v>
      </c>
      <c r="D575" t="s">
        <v>340</v>
      </c>
      <c r="E575">
        <v>46</v>
      </c>
      <c r="F575" t="s">
        <v>11</v>
      </c>
      <c r="G575">
        <v>2</v>
      </c>
      <c r="H575" t="s">
        <v>12</v>
      </c>
    </row>
    <row r="576" spans="1:8" hidden="1">
      <c r="A576" t="s">
        <v>44</v>
      </c>
      <c r="B576" t="s">
        <v>45</v>
      </c>
      <c r="C576" t="s">
        <v>46</v>
      </c>
      <c r="D576" t="s">
        <v>340</v>
      </c>
      <c r="E576">
        <v>52</v>
      </c>
      <c r="F576" t="s">
        <v>11</v>
      </c>
      <c r="G576">
        <v>2</v>
      </c>
      <c r="H576" t="s">
        <v>12</v>
      </c>
    </row>
    <row r="577" spans="1:8" hidden="1">
      <c r="A577" t="s">
        <v>44</v>
      </c>
      <c r="B577" t="s">
        <v>451</v>
      </c>
      <c r="C577" t="s">
        <v>452</v>
      </c>
      <c r="D577" t="s">
        <v>340</v>
      </c>
      <c r="E577">
        <v>49</v>
      </c>
      <c r="F577" t="s">
        <v>11</v>
      </c>
      <c r="G577">
        <v>2</v>
      </c>
      <c r="H577" t="s">
        <v>12</v>
      </c>
    </row>
    <row r="578" spans="1:8" hidden="1">
      <c r="A578" t="s">
        <v>44</v>
      </c>
      <c r="B578" t="s">
        <v>53</v>
      </c>
      <c r="C578" t="s">
        <v>54</v>
      </c>
      <c r="D578" t="s">
        <v>340</v>
      </c>
      <c r="E578">
        <v>44</v>
      </c>
      <c r="F578" t="s">
        <v>11</v>
      </c>
      <c r="G578">
        <v>2</v>
      </c>
      <c r="H578" t="s">
        <v>12</v>
      </c>
    </row>
    <row r="579" spans="1:8" hidden="1">
      <c r="A579" t="s">
        <v>44</v>
      </c>
      <c r="B579" t="s">
        <v>453</v>
      </c>
      <c r="C579" t="s">
        <v>454</v>
      </c>
      <c r="D579" t="s">
        <v>340</v>
      </c>
      <c r="E579">
        <v>53</v>
      </c>
      <c r="F579" t="s">
        <v>11</v>
      </c>
      <c r="G579">
        <v>2</v>
      </c>
      <c r="H579" t="s">
        <v>12</v>
      </c>
    </row>
    <row r="580" spans="1:8" hidden="1">
      <c r="A580" t="s">
        <v>44</v>
      </c>
      <c r="B580" t="s">
        <v>455</v>
      </c>
      <c r="C580" t="s">
        <v>456</v>
      </c>
      <c r="D580" t="s">
        <v>340</v>
      </c>
      <c r="E580">
        <v>52</v>
      </c>
      <c r="F580" t="s">
        <v>11</v>
      </c>
      <c r="G580">
        <v>2</v>
      </c>
      <c r="H580" t="s">
        <v>12</v>
      </c>
    </row>
    <row r="581" spans="1:8" hidden="1">
      <c r="A581" t="s">
        <v>44</v>
      </c>
      <c r="B581" t="s">
        <v>457</v>
      </c>
      <c r="C581" t="s">
        <v>458</v>
      </c>
      <c r="D581" t="s">
        <v>340</v>
      </c>
      <c r="E581">
        <v>56</v>
      </c>
      <c r="F581" t="s">
        <v>11</v>
      </c>
      <c r="G581">
        <v>2</v>
      </c>
      <c r="H581" t="s">
        <v>12</v>
      </c>
    </row>
    <row r="582" spans="1:8" hidden="1">
      <c r="A582" t="s">
        <v>44</v>
      </c>
      <c r="B582" t="s">
        <v>459</v>
      </c>
      <c r="C582" t="s">
        <v>460</v>
      </c>
      <c r="D582" t="s">
        <v>340</v>
      </c>
      <c r="E582">
        <v>55</v>
      </c>
      <c r="F582" t="s">
        <v>11</v>
      </c>
      <c r="G582">
        <v>2</v>
      </c>
      <c r="H582" t="s">
        <v>12</v>
      </c>
    </row>
    <row r="583" spans="1:8" hidden="1">
      <c r="A583" t="s">
        <v>44</v>
      </c>
      <c r="B583" t="s">
        <v>59</v>
      </c>
      <c r="C583" t="s">
        <v>60</v>
      </c>
      <c r="D583" t="s">
        <v>340</v>
      </c>
      <c r="E583">
        <v>54</v>
      </c>
      <c r="F583" t="s">
        <v>11</v>
      </c>
      <c r="G583">
        <v>2</v>
      </c>
      <c r="H583" t="s">
        <v>12</v>
      </c>
    </row>
    <row r="584" spans="1:8" hidden="1">
      <c r="A584" t="s">
        <v>44</v>
      </c>
      <c r="B584" t="s">
        <v>461</v>
      </c>
      <c r="C584" t="s">
        <v>462</v>
      </c>
      <c r="D584" t="s">
        <v>340</v>
      </c>
      <c r="E584">
        <v>52</v>
      </c>
      <c r="F584" t="s">
        <v>11</v>
      </c>
      <c r="G584">
        <v>2</v>
      </c>
      <c r="H584" t="s">
        <v>12</v>
      </c>
    </row>
    <row r="585" spans="1:8" hidden="1">
      <c r="A585" t="s">
        <v>158</v>
      </c>
      <c r="B585" t="s">
        <v>507</v>
      </c>
      <c r="C585" t="s">
        <v>508</v>
      </c>
      <c r="D585" t="s">
        <v>340</v>
      </c>
      <c r="E585">
        <v>43</v>
      </c>
      <c r="F585" t="s">
        <v>11</v>
      </c>
      <c r="G585">
        <v>2</v>
      </c>
      <c r="H585" t="s">
        <v>12</v>
      </c>
    </row>
    <row r="586" spans="1:8" hidden="1">
      <c r="A586" t="s">
        <v>158</v>
      </c>
      <c r="B586" t="s">
        <v>509</v>
      </c>
      <c r="C586" t="s">
        <v>510</v>
      </c>
      <c r="D586" t="s">
        <v>340</v>
      </c>
      <c r="E586">
        <v>53</v>
      </c>
      <c r="F586" t="s">
        <v>11</v>
      </c>
      <c r="G586">
        <v>2</v>
      </c>
      <c r="H586" t="s">
        <v>12</v>
      </c>
    </row>
    <row r="587" spans="1:8" hidden="1">
      <c r="A587" t="s">
        <v>158</v>
      </c>
      <c r="B587" t="s">
        <v>159</v>
      </c>
      <c r="C587" t="s">
        <v>160</v>
      </c>
      <c r="D587" t="s">
        <v>340</v>
      </c>
      <c r="E587">
        <v>52</v>
      </c>
      <c r="F587" t="s">
        <v>11</v>
      </c>
      <c r="G587">
        <v>2</v>
      </c>
      <c r="H587" t="s">
        <v>12</v>
      </c>
    </row>
    <row r="588" spans="1:8" hidden="1">
      <c r="A588" t="s">
        <v>158</v>
      </c>
      <c r="B588" t="s">
        <v>511</v>
      </c>
      <c r="C588" t="s">
        <v>512</v>
      </c>
      <c r="D588" t="s">
        <v>340</v>
      </c>
      <c r="E588">
        <v>48</v>
      </c>
      <c r="F588" t="s">
        <v>11</v>
      </c>
      <c r="G588">
        <v>2</v>
      </c>
      <c r="H588" t="s">
        <v>12</v>
      </c>
    </row>
    <row r="589" spans="1:8" hidden="1">
      <c r="A589" t="s">
        <v>158</v>
      </c>
      <c r="B589" t="s">
        <v>165</v>
      </c>
      <c r="C589" t="s">
        <v>166</v>
      </c>
      <c r="D589" t="s">
        <v>340</v>
      </c>
      <c r="E589">
        <v>53</v>
      </c>
      <c r="F589" t="s">
        <v>11</v>
      </c>
      <c r="G589">
        <v>2</v>
      </c>
      <c r="H589" t="s">
        <v>12</v>
      </c>
    </row>
    <row r="590" spans="1:8" hidden="1">
      <c r="A590" t="s">
        <v>158</v>
      </c>
      <c r="B590" t="s">
        <v>513</v>
      </c>
      <c r="C590" t="s">
        <v>514</v>
      </c>
      <c r="D590" t="s">
        <v>340</v>
      </c>
      <c r="E590">
        <v>52</v>
      </c>
      <c r="F590" t="s">
        <v>11</v>
      </c>
      <c r="G590">
        <v>2</v>
      </c>
      <c r="H590" t="s">
        <v>12</v>
      </c>
    </row>
    <row r="591" spans="1:8" hidden="1">
      <c r="A591" t="s">
        <v>158</v>
      </c>
      <c r="B591" t="s">
        <v>515</v>
      </c>
      <c r="C591" t="s">
        <v>516</v>
      </c>
      <c r="D591" t="s">
        <v>340</v>
      </c>
      <c r="E591">
        <v>56</v>
      </c>
      <c r="F591" t="s">
        <v>11</v>
      </c>
      <c r="G591">
        <v>2</v>
      </c>
      <c r="H591" t="s">
        <v>12</v>
      </c>
    </row>
    <row r="592" spans="1:8" hidden="1">
      <c r="A592" t="s">
        <v>158</v>
      </c>
      <c r="B592" t="s">
        <v>517</v>
      </c>
      <c r="C592" t="s">
        <v>518</v>
      </c>
      <c r="D592" t="s">
        <v>340</v>
      </c>
      <c r="E592">
        <v>50</v>
      </c>
      <c r="F592" t="s">
        <v>11</v>
      </c>
      <c r="G592">
        <v>2</v>
      </c>
      <c r="H592" t="s">
        <v>12</v>
      </c>
    </row>
    <row r="593" spans="1:8" hidden="1">
      <c r="A593" t="s">
        <v>97</v>
      </c>
      <c r="B593" t="s">
        <v>98</v>
      </c>
      <c r="C593" t="s">
        <v>99</v>
      </c>
      <c r="D593" t="s">
        <v>340</v>
      </c>
      <c r="E593">
        <v>46</v>
      </c>
      <c r="F593" t="s">
        <v>11</v>
      </c>
      <c r="G593">
        <v>2</v>
      </c>
      <c r="H593" t="s">
        <v>12</v>
      </c>
    </row>
    <row r="594" spans="1:8" hidden="1">
      <c r="A594" t="s">
        <v>97</v>
      </c>
      <c r="B594" t="s">
        <v>110</v>
      </c>
      <c r="C594" t="s">
        <v>111</v>
      </c>
      <c r="D594" t="s">
        <v>340</v>
      </c>
      <c r="E594">
        <v>33</v>
      </c>
      <c r="F594" t="s">
        <v>11</v>
      </c>
      <c r="G594">
        <v>2</v>
      </c>
      <c r="H594" t="s">
        <v>12</v>
      </c>
    </row>
    <row r="595" spans="1:8" hidden="1">
      <c r="A595" t="s">
        <v>97</v>
      </c>
      <c r="B595" t="s">
        <v>112</v>
      </c>
      <c r="C595" t="s">
        <v>113</v>
      </c>
      <c r="D595" t="s">
        <v>340</v>
      </c>
      <c r="E595">
        <v>46</v>
      </c>
      <c r="F595" t="s">
        <v>11</v>
      </c>
      <c r="G595">
        <v>2</v>
      </c>
      <c r="H595" t="s">
        <v>12</v>
      </c>
    </row>
    <row r="596" spans="1:8" hidden="1">
      <c r="A596" t="s">
        <v>97</v>
      </c>
      <c r="B596" t="s">
        <v>519</v>
      </c>
      <c r="C596" t="s">
        <v>520</v>
      </c>
      <c r="D596" t="s">
        <v>340</v>
      </c>
      <c r="E596">
        <v>45</v>
      </c>
      <c r="F596" t="s">
        <v>11</v>
      </c>
      <c r="G596">
        <v>2</v>
      </c>
      <c r="H596" t="s">
        <v>12</v>
      </c>
    </row>
    <row r="597" spans="1:8" hidden="1">
      <c r="A597" t="s">
        <v>97</v>
      </c>
      <c r="B597" t="s">
        <v>116</v>
      </c>
      <c r="C597" t="s">
        <v>117</v>
      </c>
      <c r="D597" t="s">
        <v>340</v>
      </c>
      <c r="E597">
        <v>44</v>
      </c>
      <c r="F597" t="s">
        <v>11</v>
      </c>
      <c r="G597">
        <v>2</v>
      </c>
      <c r="H597" t="s">
        <v>12</v>
      </c>
    </row>
    <row r="598" spans="1:8" hidden="1">
      <c r="A598" t="s">
        <v>97</v>
      </c>
      <c r="B598" t="s">
        <v>118</v>
      </c>
      <c r="C598" t="s">
        <v>119</v>
      </c>
      <c r="D598" t="s">
        <v>340</v>
      </c>
      <c r="E598">
        <v>48</v>
      </c>
      <c r="F598" t="s">
        <v>11</v>
      </c>
      <c r="G598">
        <v>2</v>
      </c>
      <c r="H598" t="s">
        <v>12</v>
      </c>
    </row>
    <row r="599" spans="1:8" hidden="1">
      <c r="A599" t="s">
        <v>97</v>
      </c>
      <c r="B599" t="s">
        <v>521</v>
      </c>
      <c r="C599" t="s">
        <v>522</v>
      </c>
      <c r="D599" t="s">
        <v>340</v>
      </c>
      <c r="E599">
        <v>53</v>
      </c>
      <c r="F599" t="s">
        <v>11</v>
      </c>
      <c r="G599">
        <v>2</v>
      </c>
      <c r="H599" t="s">
        <v>12</v>
      </c>
    </row>
    <row r="600" spans="1:8" hidden="1">
      <c r="A600" t="s">
        <v>65</v>
      </c>
      <c r="B600" t="s">
        <v>66</v>
      </c>
      <c r="C600" t="s">
        <v>67</v>
      </c>
      <c r="D600" t="s">
        <v>340</v>
      </c>
      <c r="E600">
        <v>47</v>
      </c>
      <c r="F600" t="s">
        <v>11</v>
      </c>
      <c r="G600">
        <v>2</v>
      </c>
      <c r="H600" t="s">
        <v>12</v>
      </c>
    </row>
    <row r="601" spans="1:8" hidden="1">
      <c r="A601" t="s">
        <v>65</v>
      </c>
      <c r="B601" t="s">
        <v>74</v>
      </c>
      <c r="C601" t="s">
        <v>75</v>
      </c>
      <c r="D601" t="s">
        <v>340</v>
      </c>
      <c r="E601">
        <v>57</v>
      </c>
      <c r="F601" t="s">
        <v>11</v>
      </c>
      <c r="G601">
        <v>2</v>
      </c>
      <c r="H601" t="s">
        <v>12</v>
      </c>
    </row>
    <row r="602" spans="1:8" hidden="1">
      <c r="A602" t="s">
        <v>65</v>
      </c>
      <c r="B602" t="s">
        <v>489</v>
      </c>
      <c r="C602" t="s">
        <v>490</v>
      </c>
      <c r="D602" t="s">
        <v>340</v>
      </c>
      <c r="E602">
        <v>47</v>
      </c>
      <c r="F602" t="s">
        <v>11</v>
      </c>
      <c r="G602">
        <v>2</v>
      </c>
      <c r="H602" t="s">
        <v>12</v>
      </c>
    </row>
    <row r="603" spans="1:8" hidden="1">
      <c r="A603" t="s">
        <v>294</v>
      </c>
      <c r="B603" t="s">
        <v>417</v>
      </c>
      <c r="C603" t="s">
        <v>418</v>
      </c>
      <c r="D603" t="s">
        <v>340</v>
      </c>
      <c r="E603">
        <v>56</v>
      </c>
      <c r="F603" t="s">
        <v>11</v>
      </c>
      <c r="G603">
        <v>2</v>
      </c>
      <c r="H603" t="s">
        <v>12</v>
      </c>
    </row>
    <row r="604" spans="1:8" hidden="1">
      <c r="A604" t="s">
        <v>294</v>
      </c>
      <c r="B604" t="s">
        <v>419</v>
      </c>
      <c r="C604" t="s">
        <v>420</v>
      </c>
      <c r="D604" t="s">
        <v>340</v>
      </c>
      <c r="E604">
        <v>48</v>
      </c>
      <c r="F604" t="s">
        <v>11</v>
      </c>
      <c r="G604">
        <v>2</v>
      </c>
      <c r="H604" t="s">
        <v>12</v>
      </c>
    </row>
    <row r="605" spans="1:8" hidden="1">
      <c r="A605" t="s">
        <v>294</v>
      </c>
      <c r="B605" t="s">
        <v>297</v>
      </c>
      <c r="C605" t="s">
        <v>298</v>
      </c>
      <c r="D605" t="s">
        <v>340</v>
      </c>
      <c r="E605">
        <v>52</v>
      </c>
      <c r="F605" t="s">
        <v>11</v>
      </c>
      <c r="G605">
        <v>2</v>
      </c>
      <c r="H605" t="s">
        <v>12</v>
      </c>
    </row>
    <row r="606" spans="1:8" hidden="1">
      <c r="A606" t="s">
        <v>294</v>
      </c>
      <c r="B606" t="s">
        <v>421</v>
      </c>
      <c r="C606" t="s">
        <v>422</v>
      </c>
      <c r="D606" t="s">
        <v>340</v>
      </c>
      <c r="E606">
        <v>48</v>
      </c>
      <c r="F606" t="s">
        <v>11</v>
      </c>
      <c r="G606">
        <v>2</v>
      </c>
      <c r="H606" t="s">
        <v>12</v>
      </c>
    </row>
    <row r="607" spans="1:8" hidden="1">
      <c r="A607" t="s">
        <v>294</v>
      </c>
      <c r="B607" t="s">
        <v>423</v>
      </c>
      <c r="C607" t="s">
        <v>424</v>
      </c>
      <c r="D607" t="s">
        <v>340</v>
      </c>
      <c r="E607">
        <v>56</v>
      </c>
      <c r="F607" t="s">
        <v>11</v>
      </c>
      <c r="G607">
        <v>2</v>
      </c>
      <c r="H607" t="s">
        <v>12</v>
      </c>
    </row>
    <row r="608" spans="1:8" hidden="1">
      <c r="A608" t="s">
        <v>294</v>
      </c>
      <c r="B608" t="s">
        <v>425</v>
      </c>
      <c r="C608" t="s">
        <v>426</v>
      </c>
      <c r="D608" t="s">
        <v>340</v>
      </c>
      <c r="E608">
        <v>56</v>
      </c>
      <c r="F608" t="s">
        <v>11</v>
      </c>
      <c r="G608">
        <v>2</v>
      </c>
      <c r="H608" t="s">
        <v>12</v>
      </c>
    </row>
    <row r="609" spans="1:8" hidden="1">
      <c r="A609" t="s">
        <v>294</v>
      </c>
      <c r="B609" t="s">
        <v>427</v>
      </c>
      <c r="C609" t="s">
        <v>428</v>
      </c>
      <c r="D609" t="s">
        <v>340</v>
      </c>
      <c r="E609">
        <v>53</v>
      </c>
      <c r="F609" t="s">
        <v>11</v>
      </c>
      <c r="G609">
        <v>2</v>
      </c>
      <c r="H609" t="s">
        <v>12</v>
      </c>
    </row>
    <row r="610" spans="1:8" hidden="1">
      <c r="A610" t="s">
        <v>294</v>
      </c>
      <c r="B610" t="s">
        <v>429</v>
      </c>
      <c r="C610" t="s">
        <v>430</v>
      </c>
      <c r="D610" t="s">
        <v>340</v>
      </c>
      <c r="E610">
        <v>56</v>
      </c>
      <c r="F610" t="s">
        <v>11</v>
      </c>
      <c r="G610">
        <v>2</v>
      </c>
      <c r="H610" t="s">
        <v>12</v>
      </c>
    </row>
    <row r="611" spans="1:8" hidden="1">
      <c r="A611" t="s">
        <v>301</v>
      </c>
      <c r="B611" t="s">
        <v>302</v>
      </c>
      <c r="C611" t="s">
        <v>303</v>
      </c>
      <c r="D611" t="s">
        <v>340</v>
      </c>
      <c r="E611">
        <v>50</v>
      </c>
      <c r="F611" t="s">
        <v>11</v>
      </c>
      <c r="G611">
        <v>2</v>
      </c>
      <c r="H611" t="s">
        <v>12</v>
      </c>
    </row>
    <row r="612" spans="1:8" hidden="1">
      <c r="A612" t="s">
        <v>301</v>
      </c>
      <c r="B612" t="s">
        <v>463</v>
      </c>
      <c r="C612" t="s">
        <v>464</v>
      </c>
      <c r="D612" t="s">
        <v>340</v>
      </c>
      <c r="E612">
        <v>44</v>
      </c>
      <c r="F612" t="s">
        <v>11</v>
      </c>
      <c r="G612">
        <v>2</v>
      </c>
      <c r="H612" t="s">
        <v>12</v>
      </c>
    </row>
    <row r="613" spans="1:8" hidden="1">
      <c r="A613" t="s">
        <v>301</v>
      </c>
      <c r="B613" t="s">
        <v>465</v>
      </c>
      <c r="C613" t="s">
        <v>466</v>
      </c>
      <c r="D613" t="s">
        <v>340</v>
      </c>
      <c r="E613">
        <v>53</v>
      </c>
      <c r="F613" t="s">
        <v>11</v>
      </c>
      <c r="G613">
        <v>2</v>
      </c>
      <c r="H613" t="s">
        <v>12</v>
      </c>
    </row>
    <row r="614" spans="1:8" hidden="1">
      <c r="A614" t="s">
        <v>301</v>
      </c>
      <c r="B614" t="s">
        <v>306</v>
      </c>
      <c r="C614" t="s">
        <v>307</v>
      </c>
      <c r="D614" t="s">
        <v>340</v>
      </c>
      <c r="E614">
        <v>56</v>
      </c>
      <c r="F614" t="s">
        <v>11</v>
      </c>
      <c r="G614">
        <v>2</v>
      </c>
      <c r="H614" t="s">
        <v>12</v>
      </c>
    </row>
    <row r="615" spans="1:8" hidden="1">
      <c r="A615" t="s">
        <v>301</v>
      </c>
      <c r="B615" t="s">
        <v>310</v>
      </c>
      <c r="C615" t="s">
        <v>311</v>
      </c>
      <c r="D615" t="s">
        <v>340</v>
      </c>
      <c r="E615">
        <v>55</v>
      </c>
      <c r="F615" t="s">
        <v>11</v>
      </c>
      <c r="G615">
        <v>2</v>
      </c>
      <c r="H615" t="s">
        <v>12</v>
      </c>
    </row>
    <row r="616" spans="1:8" hidden="1">
      <c r="A616" t="s">
        <v>301</v>
      </c>
      <c r="B616" t="s">
        <v>467</v>
      </c>
      <c r="C616" t="s">
        <v>468</v>
      </c>
      <c r="D616" t="s">
        <v>340</v>
      </c>
      <c r="E616">
        <v>49</v>
      </c>
      <c r="F616" t="s">
        <v>11</v>
      </c>
      <c r="G616">
        <v>2</v>
      </c>
      <c r="H616" t="s">
        <v>12</v>
      </c>
    </row>
    <row r="617" spans="1:8" hidden="1">
      <c r="A617" t="s">
        <v>301</v>
      </c>
      <c r="B617" t="s">
        <v>318</v>
      </c>
      <c r="C617" t="s">
        <v>319</v>
      </c>
      <c r="D617" t="s">
        <v>340</v>
      </c>
      <c r="E617">
        <v>44</v>
      </c>
      <c r="F617" t="s">
        <v>11</v>
      </c>
      <c r="G617">
        <v>2</v>
      </c>
      <c r="H617" t="s">
        <v>12</v>
      </c>
    </row>
    <row r="618" spans="1:8" hidden="1">
      <c r="A618" t="s">
        <v>301</v>
      </c>
      <c r="B618" t="s">
        <v>469</v>
      </c>
      <c r="C618" t="s">
        <v>470</v>
      </c>
      <c r="D618" t="s">
        <v>340</v>
      </c>
      <c r="E618">
        <v>47</v>
      </c>
      <c r="F618" t="s">
        <v>11</v>
      </c>
      <c r="G618">
        <v>2</v>
      </c>
      <c r="H618" t="s">
        <v>12</v>
      </c>
    </row>
    <row r="619" spans="1:8" hidden="1">
      <c r="A619" t="s">
        <v>301</v>
      </c>
      <c r="B619" t="s">
        <v>471</v>
      </c>
      <c r="C619" t="s">
        <v>472</v>
      </c>
      <c r="D619" t="s">
        <v>340</v>
      </c>
      <c r="E619">
        <v>55</v>
      </c>
      <c r="F619" t="s">
        <v>11</v>
      </c>
      <c r="G619">
        <v>2</v>
      </c>
      <c r="H619" t="s">
        <v>12</v>
      </c>
    </row>
    <row r="620" spans="1:8" hidden="1">
      <c r="A620" t="s">
        <v>301</v>
      </c>
      <c r="B620" t="s">
        <v>473</v>
      </c>
      <c r="C620" t="s">
        <v>474</v>
      </c>
      <c r="D620" t="s">
        <v>340</v>
      </c>
      <c r="E620">
        <v>40</v>
      </c>
      <c r="F620" t="s">
        <v>11</v>
      </c>
      <c r="G620">
        <v>2</v>
      </c>
      <c r="H620" t="s">
        <v>12</v>
      </c>
    </row>
    <row r="621" spans="1:8" hidden="1">
      <c r="A621" t="s">
        <v>301</v>
      </c>
      <c r="B621" t="s">
        <v>475</v>
      </c>
      <c r="C621" t="s">
        <v>476</v>
      </c>
      <c r="D621" t="s">
        <v>340</v>
      </c>
      <c r="E621">
        <v>49</v>
      </c>
      <c r="F621" t="s">
        <v>11</v>
      </c>
      <c r="G621">
        <v>2</v>
      </c>
      <c r="H621" t="s">
        <v>12</v>
      </c>
    </row>
    <row r="622" spans="1:8" hidden="1">
      <c r="A622" t="s">
        <v>301</v>
      </c>
      <c r="B622" t="s">
        <v>477</v>
      </c>
      <c r="C622" t="s">
        <v>478</v>
      </c>
      <c r="D622" t="s">
        <v>340</v>
      </c>
      <c r="E622">
        <v>55</v>
      </c>
      <c r="F622" t="s">
        <v>11</v>
      </c>
      <c r="G622">
        <v>2</v>
      </c>
      <c r="H622" t="s">
        <v>12</v>
      </c>
    </row>
    <row r="623" spans="1:8" hidden="1">
      <c r="A623" t="s">
        <v>194</v>
      </c>
      <c r="B623" t="s">
        <v>523</v>
      </c>
      <c r="C623" t="s">
        <v>524</v>
      </c>
      <c r="D623" t="s">
        <v>340</v>
      </c>
      <c r="E623">
        <v>46</v>
      </c>
      <c r="F623" t="s">
        <v>11</v>
      </c>
      <c r="G623">
        <v>2</v>
      </c>
      <c r="H623" t="s">
        <v>12</v>
      </c>
    </row>
    <row r="624" spans="1:8" hidden="1">
      <c r="A624" t="s">
        <v>194</v>
      </c>
      <c r="B624" t="s">
        <v>197</v>
      </c>
      <c r="C624" t="s">
        <v>198</v>
      </c>
      <c r="D624" t="s">
        <v>340</v>
      </c>
      <c r="E624">
        <v>44</v>
      </c>
      <c r="F624" t="s">
        <v>11</v>
      </c>
      <c r="G624">
        <v>2</v>
      </c>
      <c r="H624" t="s">
        <v>12</v>
      </c>
    </row>
    <row r="625" spans="1:8" hidden="1">
      <c r="A625" t="s">
        <v>194</v>
      </c>
      <c r="B625" t="s">
        <v>203</v>
      </c>
      <c r="C625" t="s">
        <v>204</v>
      </c>
      <c r="D625" t="s">
        <v>340</v>
      </c>
      <c r="E625">
        <v>41</v>
      </c>
      <c r="F625" t="s">
        <v>11</v>
      </c>
      <c r="G625">
        <v>2</v>
      </c>
      <c r="H625" t="s">
        <v>12</v>
      </c>
    </row>
    <row r="626" spans="1:8" hidden="1">
      <c r="A626" t="s">
        <v>194</v>
      </c>
      <c r="B626" t="s">
        <v>525</v>
      </c>
      <c r="C626" t="s">
        <v>526</v>
      </c>
      <c r="D626" t="s">
        <v>340</v>
      </c>
      <c r="E626">
        <v>46</v>
      </c>
      <c r="F626" t="s">
        <v>11</v>
      </c>
      <c r="G626">
        <v>2</v>
      </c>
      <c r="H626" t="s">
        <v>12</v>
      </c>
    </row>
    <row r="627" spans="1:8" hidden="1">
      <c r="A627" t="s">
        <v>194</v>
      </c>
      <c r="B627" t="s">
        <v>527</v>
      </c>
      <c r="C627" t="s">
        <v>528</v>
      </c>
      <c r="D627" t="s">
        <v>340</v>
      </c>
      <c r="E627">
        <v>42</v>
      </c>
      <c r="F627" t="s">
        <v>11</v>
      </c>
      <c r="G627">
        <v>2</v>
      </c>
      <c r="H627" t="s">
        <v>12</v>
      </c>
    </row>
    <row r="628" spans="1:8" hidden="1">
      <c r="A628" t="s">
        <v>194</v>
      </c>
      <c r="B628" t="s">
        <v>529</v>
      </c>
      <c r="C628" t="s">
        <v>530</v>
      </c>
      <c r="D628" t="s">
        <v>340</v>
      </c>
      <c r="E628">
        <v>42</v>
      </c>
      <c r="F628" t="s">
        <v>11</v>
      </c>
      <c r="G628">
        <v>2</v>
      </c>
      <c r="H628" t="s">
        <v>12</v>
      </c>
    </row>
    <row r="629" spans="1:8" hidden="1">
      <c r="A629" t="s">
        <v>194</v>
      </c>
      <c r="B629" t="s">
        <v>531</v>
      </c>
      <c r="C629" t="s">
        <v>532</v>
      </c>
      <c r="D629" t="s">
        <v>340</v>
      </c>
      <c r="E629">
        <v>46</v>
      </c>
      <c r="F629" t="s">
        <v>11</v>
      </c>
      <c r="G629">
        <v>2</v>
      </c>
      <c r="H629" t="s">
        <v>12</v>
      </c>
    </row>
    <row r="630" spans="1:8" hidden="1">
      <c r="A630" t="s">
        <v>194</v>
      </c>
      <c r="B630" t="s">
        <v>533</v>
      </c>
      <c r="C630" t="s">
        <v>534</v>
      </c>
      <c r="D630" t="s">
        <v>340</v>
      </c>
      <c r="E630">
        <v>42</v>
      </c>
      <c r="F630" t="s">
        <v>11</v>
      </c>
      <c r="G630">
        <v>2</v>
      </c>
      <c r="H630" t="s">
        <v>12</v>
      </c>
    </row>
    <row r="631" spans="1:8" hidden="1">
      <c r="A631" t="s">
        <v>194</v>
      </c>
      <c r="B631" t="s">
        <v>213</v>
      </c>
      <c r="C631" t="s">
        <v>214</v>
      </c>
      <c r="D631" t="s">
        <v>340</v>
      </c>
      <c r="E631">
        <v>44</v>
      </c>
      <c r="F631" t="s">
        <v>11</v>
      </c>
      <c r="G631">
        <v>2</v>
      </c>
      <c r="H631" t="s">
        <v>12</v>
      </c>
    </row>
    <row r="632" spans="1:8" hidden="1">
      <c r="A632" t="s">
        <v>194</v>
      </c>
      <c r="B632" t="s">
        <v>535</v>
      </c>
      <c r="C632" t="s">
        <v>536</v>
      </c>
      <c r="D632" t="s">
        <v>340</v>
      </c>
      <c r="E632">
        <v>48</v>
      </c>
      <c r="F632" t="s">
        <v>11</v>
      </c>
      <c r="G632">
        <v>2</v>
      </c>
      <c r="H632" t="s">
        <v>12</v>
      </c>
    </row>
    <row r="633" spans="1:8" hidden="1">
      <c r="A633" t="s">
        <v>322</v>
      </c>
      <c r="B633" t="s">
        <v>537</v>
      </c>
      <c r="C633" t="s">
        <v>538</v>
      </c>
      <c r="D633" t="s">
        <v>340</v>
      </c>
      <c r="E633">
        <v>40</v>
      </c>
      <c r="F633" t="s">
        <v>11</v>
      </c>
      <c r="G633">
        <v>2</v>
      </c>
      <c r="H633" t="s">
        <v>12</v>
      </c>
    </row>
    <row r="634" spans="1:8" hidden="1">
      <c r="A634" t="s">
        <v>322</v>
      </c>
      <c r="B634" t="s">
        <v>539</v>
      </c>
      <c r="C634" t="s">
        <v>540</v>
      </c>
      <c r="D634" t="s">
        <v>340</v>
      </c>
      <c r="E634">
        <v>42</v>
      </c>
      <c r="F634" t="s">
        <v>11</v>
      </c>
      <c r="G634">
        <v>2</v>
      </c>
      <c r="H634" t="s">
        <v>12</v>
      </c>
    </row>
    <row r="635" spans="1:8" hidden="1">
      <c r="A635" t="s">
        <v>322</v>
      </c>
      <c r="B635" t="s">
        <v>325</v>
      </c>
      <c r="C635" t="s">
        <v>326</v>
      </c>
      <c r="D635" t="s">
        <v>340</v>
      </c>
      <c r="E635">
        <v>40</v>
      </c>
      <c r="F635" t="s">
        <v>11</v>
      </c>
      <c r="G635">
        <v>2</v>
      </c>
      <c r="H635" t="s">
        <v>12</v>
      </c>
    </row>
    <row r="636" spans="1:8" hidden="1">
      <c r="A636" t="s">
        <v>322</v>
      </c>
      <c r="B636" t="s">
        <v>329</v>
      </c>
      <c r="C636" t="s">
        <v>330</v>
      </c>
      <c r="D636" t="s">
        <v>340</v>
      </c>
      <c r="E636">
        <v>45</v>
      </c>
      <c r="F636" t="s">
        <v>11</v>
      </c>
      <c r="G636">
        <v>2</v>
      </c>
      <c r="H636" t="s">
        <v>12</v>
      </c>
    </row>
    <row r="637" spans="1:8" hidden="1">
      <c r="A637" t="s">
        <v>217</v>
      </c>
      <c r="B637" t="s">
        <v>367</v>
      </c>
      <c r="C637" t="s">
        <v>368</v>
      </c>
      <c r="D637" t="s">
        <v>340</v>
      </c>
      <c r="E637">
        <v>48</v>
      </c>
      <c r="F637" t="s">
        <v>11</v>
      </c>
      <c r="G637">
        <v>2</v>
      </c>
      <c r="H637" t="s">
        <v>12</v>
      </c>
    </row>
    <row r="638" spans="1:8" hidden="1">
      <c r="A638" t="s">
        <v>217</v>
      </c>
      <c r="B638" t="s">
        <v>369</v>
      </c>
      <c r="C638" t="s">
        <v>370</v>
      </c>
      <c r="D638" t="s">
        <v>340</v>
      </c>
      <c r="E638">
        <v>56</v>
      </c>
      <c r="F638" t="s">
        <v>11</v>
      </c>
      <c r="G638">
        <v>2</v>
      </c>
      <c r="H638" t="s">
        <v>12</v>
      </c>
    </row>
    <row r="639" spans="1:8" hidden="1">
      <c r="A639" t="s">
        <v>217</v>
      </c>
      <c r="B639" t="s">
        <v>220</v>
      </c>
      <c r="C639" t="s">
        <v>221</v>
      </c>
      <c r="D639" t="s">
        <v>340</v>
      </c>
      <c r="E639">
        <v>40</v>
      </c>
      <c r="F639" t="s">
        <v>11</v>
      </c>
      <c r="G639">
        <v>2</v>
      </c>
      <c r="H639" t="s">
        <v>12</v>
      </c>
    </row>
    <row r="640" spans="1:8" hidden="1">
      <c r="A640" t="s">
        <v>217</v>
      </c>
      <c r="B640" t="s">
        <v>371</v>
      </c>
      <c r="C640" t="s">
        <v>372</v>
      </c>
      <c r="D640" t="s">
        <v>340</v>
      </c>
      <c r="E640">
        <v>46</v>
      </c>
      <c r="F640" t="s">
        <v>11</v>
      </c>
      <c r="G640">
        <v>2</v>
      </c>
      <c r="H640" t="s">
        <v>12</v>
      </c>
    </row>
    <row r="641" spans="1:8" hidden="1">
      <c r="A641" t="s">
        <v>217</v>
      </c>
      <c r="B641" t="s">
        <v>373</v>
      </c>
      <c r="C641" t="s">
        <v>374</v>
      </c>
      <c r="D641" t="s">
        <v>340</v>
      </c>
      <c r="E641">
        <v>40</v>
      </c>
      <c r="F641" t="s">
        <v>11</v>
      </c>
      <c r="G641">
        <v>2</v>
      </c>
      <c r="H641" t="s">
        <v>12</v>
      </c>
    </row>
    <row r="642" spans="1:8" hidden="1">
      <c r="A642" t="s">
        <v>217</v>
      </c>
      <c r="B642" t="s">
        <v>375</v>
      </c>
      <c r="C642" t="s">
        <v>376</v>
      </c>
      <c r="D642" t="s">
        <v>340</v>
      </c>
      <c r="E642">
        <v>52</v>
      </c>
      <c r="F642" t="s">
        <v>11</v>
      </c>
      <c r="G642">
        <v>2</v>
      </c>
      <c r="H642" t="s">
        <v>12</v>
      </c>
    </row>
    <row r="643" spans="1:8" hidden="1">
      <c r="A643" t="s">
        <v>217</v>
      </c>
      <c r="B643" t="s">
        <v>377</v>
      </c>
      <c r="C643" t="s">
        <v>378</v>
      </c>
      <c r="D643" t="s">
        <v>340</v>
      </c>
      <c r="E643">
        <v>49</v>
      </c>
      <c r="F643" t="s">
        <v>11</v>
      </c>
      <c r="G643">
        <v>2</v>
      </c>
      <c r="H643" t="s">
        <v>12</v>
      </c>
    </row>
    <row r="644" spans="1:8" hidden="1">
      <c r="A644" t="s">
        <v>217</v>
      </c>
      <c r="B644" t="s">
        <v>379</v>
      </c>
      <c r="C644" t="s">
        <v>380</v>
      </c>
      <c r="D644" t="s">
        <v>340</v>
      </c>
      <c r="E644">
        <v>42</v>
      </c>
      <c r="F644" t="s">
        <v>11</v>
      </c>
      <c r="G644">
        <v>2</v>
      </c>
      <c r="H644" t="s">
        <v>12</v>
      </c>
    </row>
    <row r="645" spans="1:8" hidden="1">
      <c r="A645" t="s">
        <v>217</v>
      </c>
      <c r="B645" t="s">
        <v>222</v>
      </c>
      <c r="C645" t="s">
        <v>223</v>
      </c>
      <c r="D645" t="s">
        <v>340</v>
      </c>
      <c r="E645">
        <v>56</v>
      </c>
      <c r="F645" t="s">
        <v>11</v>
      </c>
      <c r="G645">
        <v>2</v>
      </c>
      <c r="H645" t="s">
        <v>12</v>
      </c>
    </row>
    <row r="646" spans="1:8" hidden="1">
      <c r="A646" t="s">
        <v>217</v>
      </c>
      <c r="B646" t="s">
        <v>224</v>
      </c>
      <c r="C646" t="s">
        <v>225</v>
      </c>
      <c r="D646" t="s">
        <v>340</v>
      </c>
      <c r="E646">
        <v>48</v>
      </c>
      <c r="F646" t="s">
        <v>11</v>
      </c>
      <c r="G646">
        <v>2</v>
      </c>
      <c r="H646" t="s">
        <v>12</v>
      </c>
    </row>
    <row r="647" spans="1:8" hidden="1">
      <c r="A647" t="s">
        <v>217</v>
      </c>
      <c r="B647" t="s">
        <v>381</v>
      </c>
      <c r="C647" t="s">
        <v>382</v>
      </c>
      <c r="D647" t="s">
        <v>340</v>
      </c>
      <c r="E647">
        <v>55</v>
      </c>
      <c r="F647" t="s">
        <v>11</v>
      </c>
      <c r="G647">
        <v>2</v>
      </c>
      <c r="H647" t="s">
        <v>12</v>
      </c>
    </row>
    <row r="648" spans="1:8" hidden="1">
      <c r="A648" t="s">
        <v>217</v>
      </c>
      <c r="B648" t="s">
        <v>383</v>
      </c>
      <c r="C648" t="s">
        <v>384</v>
      </c>
      <c r="D648" t="s">
        <v>340</v>
      </c>
      <c r="E648">
        <v>48</v>
      </c>
      <c r="F648" t="s">
        <v>11</v>
      </c>
      <c r="G648">
        <v>2</v>
      </c>
      <c r="H648" t="s">
        <v>12</v>
      </c>
    </row>
    <row r="649" spans="1:8" hidden="1">
      <c r="A649" t="s">
        <v>217</v>
      </c>
      <c r="B649" t="s">
        <v>385</v>
      </c>
      <c r="C649" t="s">
        <v>386</v>
      </c>
      <c r="D649" t="s">
        <v>340</v>
      </c>
      <c r="E649">
        <v>50</v>
      </c>
      <c r="F649" t="s">
        <v>11</v>
      </c>
      <c r="G649">
        <v>2</v>
      </c>
      <c r="H649" t="s">
        <v>12</v>
      </c>
    </row>
    <row r="650" spans="1:8" hidden="1">
      <c r="A650" t="s">
        <v>122</v>
      </c>
      <c r="B650" t="s">
        <v>431</v>
      </c>
      <c r="C650" t="s">
        <v>432</v>
      </c>
      <c r="D650" t="s">
        <v>340</v>
      </c>
      <c r="E650">
        <v>56</v>
      </c>
      <c r="F650" t="s">
        <v>11</v>
      </c>
      <c r="G650">
        <v>2</v>
      </c>
      <c r="H650" t="s">
        <v>12</v>
      </c>
    </row>
    <row r="651" spans="1:8" hidden="1">
      <c r="A651" t="s">
        <v>122</v>
      </c>
      <c r="B651" t="s">
        <v>125</v>
      </c>
      <c r="C651" t="s">
        <v>126</v>
      </c>
      <c r="D651" t="s">
        <v>340</v>
      </c>
      <c r="E651">
        <v>56</v>
      </c>
      <c r="F651" t="s">
        <v>11</v>
      </c>
      <c r="G651">
        <v>2</v>
      </c>
      <c r="H651" t="s">
        <v>12</v>
      </c>
    </row>
    <row r="652" spans="1:8" hidden="1">
      <c r="A652" t="s">
        <v>122</v>
      </c>
      <c r="B652" t="s">
        <v>433</v>
      </c>
      <c r="C652" t="s">
        <v>434</v>
      </c>
      <c r="D652" t="s">
        <v>340</v>
      </c>
      <c r="E652">
        <v>47</v>
      </c>
      <c r="F652" t="s">
        <v>11</v>
      </c>
      <c r="G652">
        <v>2</v>
      </c>
      <c r="H652" t="s">
        <v>12</v>
      </c>
    </row>
    <row r="653" spans="1:8" hidden="1">
      <c r="A653" t="s">
        <v>122</v>
      </c>
      <c r="B653" t="s">
        <v>127</v>
      </c>
      <c r="C653" t="s">
        <v>128</v>
      </c>
      <c r="D653" t="s">
        <v>340</v>
      </c>
      <c r="E653">
        <v>47</v>
      </c>
      <c r="F653" t="s">
        <v>11</v>
      </c>
      <c r="G653">
        <v>2</v>
      </c>
      <c r="H653" t="s">
        <v>12</v>
      </c>
    </row>
    <row r="654" spans="1:8" hidden="1">
      <c r="A654" t="s">
        <v>122</v>
      </c>
      <c r="B654" t="s">
        <v>435</v>
      </c>
      <c r="C654" t="s">
        <v>436</v>
      </c>
      <c r="D654" t="s">
        <v>340</v>
      </c>
      <c r="E654">
        <v>49</v>
      </c>
      <c r="F654" t="s">
        <v>11</v>
      </c>
      <c r="G654">
        <v>2</v>
      </c>
      <c r="H654" t="s">
        <v>12</v>
      </c>
    </row>
    <row r="655" spans="1:8" hidden="1">
      <c r="A655" t="s">
        <v>122</v>
      </c>
      <c r="B655" t="s">
        <v>437</v>
      </c>
      <c r="C655" t="s">
        <v>438</v>
      </c>
      <c r="D655" t="s">
        <v>340</v>
      </c>
      <c r="E655">
        <v>56</v>
      </c>
      <c r="F655" t="s">
        <v>11</v>
      </c>
      <c r="G655">
        <v>2</v>
      </c>
      <c r="H655" t="s">
        <v>12</v>
      </c>
    </row>
    <row r="656" spans="1:8" hidden="1">
      <c r="A656" t="s">
        <v>122</v>
      </c>
      <c r="B656" t="s">
        <v>439</v>
      </c>
      <c r="C656" t="s">
        <v>440</v>
      </c>
      <c r="D656" t="s">
        <v>340</v>
      </c>
      <c r="E656">
        <v>51</v>
      </c>
      <c r="F656" t="s">
        <v>11</v>
      </c>
      <c r="G656">
        <v>2</v>
      </c>
      <c r="H656" t="s">
        <v>12</v>
      </c>
    </row>
    <row r="657" spans="1:8" hidden="1">
      <c r="A657" t="s">
        <v>122</v>
      </c>
      <c r="B657" t="s">
        <v>137</v>
      </c>
      <c r="C657" t="s">
        <v>138</v>
      </c>
      <c r="D657" t="s">
        <v>340</v>
      </c>
      <c r="E657">
        <v>48</v>
      </c>
      <c r="F657" t="s">
        <v>11</v>
      </c>
      <c r="G657">
        <v>2</v>
      </c>
      <c r="H657" t="s">
        <v>12</v>
      </c>
    </row>
    <row r="658" spans="1:8" hidden="1">
      <c r="A658" t="s">
        <v>122</v>
      </c>
      <c r="B658" t="s">
        <v>139</v>
      </c>
      <c r="C658" t="s">
        <v>140</v>
      </c>
      <c r="D658" t="s">
        <v>340</v>
      </c>
      <c r="E658">
        <v>56</v>
      </c>
      <c r="F658" t="s">
        <v>11</v>
      </c>
      <c r="G658">
        <v>2</v>
      </c>
      <c r="H658" t="s">
        <v>12</v>
      </c>
    </row>
    <row r="659" spans="1:8" hidden="1">
      <c r="A659" t="s">
        <v>234</v>
      </c>
      <c r="B659" t="s">
        <v>235</v>
      </c>
      <c r="C659" t="s">
        <v>236</v>
      </c>
      <c r="D659" t="s">
        <v>340</v>
      </c>
      <c r="E659">
        <v>55</v>
      </c>
      <c r="F659" t="s">
        <v>11</v>
      </c>
      <c r="G659">
        <v>2</v>
      </c>
      <c r="H659" t="s">
        <v>12</v>
      </c>
    </row>
    <row r="660" spans="1:8" hidden="1">
      <c r="A660" t="s">
        <v>234</v>
      </c>
      <c r="B660" t="s">
        <v>237</v>
      </c>
      <c r="C660" t="s">
        <v>238</v>
      </c>
      <c r="D660" t="s">
        <v>340</v>
      </c>
      <c r="E660">
        <v>53</v>
      </c>
      <c r="F660" t="s">
        <v>11</v>
      </c>
      <c r="G660">
        <v>2</v>
      </c>
      <c r="H660" t="s">
        <v>12</v>
      </c>
    </row>
    <row r="661" spans="1:8" hidden="1">
      <c r="A661" t="s">
        <v>234</v>
      </c>
      <c r="B661" t="s">
        <v>479</v>
      </c>
      <c r="C661" t="s">
        <v>480</v>
      </c>
      <c r="D661" t="s">
        <v>340</v>
      </c>
      <c r="E661">
        <v>41</v>
      </c>
      <c r="F661" t="s">
        <v>11</v>
      </c>
      <c r="G661">
        <v>2</v>
      </c>
      <c r="H661" t="s">
        <v>12</v>
      </c>
    </row>
    <row r="662" spans="1:8" hidden="1">
      <c r="A662" t="s">
        <v>335</v>
      </c>
      <c r="B662" t="s">
        <v>387</v>
      </c>
      <c r="C662" t="s">
        <v>388</v>
      </c>
      <c r="D662" t="s">
        <v>340</v>
      </c>
      <c r="E662">
        <v>56</v>
      </c>
      <c r="F662" t="s">
        <v>11</v>
      </c>
      <c r="G662">
        <v>2</v>
      </c>
      <c r="H662" t="s">
        <v>12</v>
      </c>
    </row>
    <row r="663" spans="1:8" hidden="1">
      <c r="A663" t="s">
        <v>335</v>
      </c>
      <c r="B663" t="s">
        <v>389</v>
      </c>
      <c r="C663" t="s">
        <v>390</v>
      </c>
      <c r="D663" t="s">
        <v>340</v>
      </c>
      <c r="E663">
        <v>55</v>
      </c>
      <c r="F663" t="s">
        <v>11</v>
      </c>
      <c r="G663">
        <v>2</v>
      </c>
      <c r="H663" t="s">
        <v>12</v>
      </c>
    </row>
    <row r="664" spans="1:8" hidden="1">
      <c r="A664" t="s">
        <v>335</v>
      </c>
      <c r="B664" t="s">
        <v>391</v>
      </c>
      <c r="C664" t="s">
        <v>392</v>
      </c>
      <c r="D664" t="s">
        <v>340</v>
      </c>
      <c r="E664">
        <v>43</v>
      </c>
      <c r="F664" t="s">
        <v>11</v>
      </c>
      <c r="G664">
        <v>2</v>
      </c>
      <c r="H664" t="s">
        <v>12</v>
      </c>
    </row>
    <row r="665" spans="1:8" hidden="1">
      <c r="A665" t="s">
        <v>335</v>
      </c>
      <c r="B665" t="s">
        <v>393</v>
      </c>
      <c r="C665" t="s">
        <v>394</v>
      </c>
      <c r="D665" t="s">
        <v>340</v>
      </c>
      <c r="E665">
        <v>51</v>
      </c>
      <c r="F665" t="s">
        <v>11</v>
      </c>
      <c r="G665">
        <v>2</v>
      </c>
      <c r="H665" t="s">
        <v>12</v>
      </c>
    </row>
    <row r="666" spans="1:8" hidden="1">
      <c r="A666" t="s">
        <v>335</v>
      </c>
      <c r="B666" t="s">
        <v>395</v>
      </c>
      <c r="C666" t="s">
        <v>396</v>
      </c>
      <c r="D666" t="s">
        <v>340</v>
      </c>
      <c r="E666">
        <v>40</v>
      </c>
      <c r="F666" t="s">
        <v>11</v>
      </c>
      <c r="G666">
        <v>2</v>
      </c>
      <c r="H666" t="s">
        <v>12</v>
      </c>
    </row>
    <row r="667" spans="1:8" hidden="1">
      <c r="A667" t="s">
        <v>335</v>
      </c>
      <c r="B667" t="s">
        <v>397</v>
      </c>
      <c r="C667" t="s">
        <v>398</v>
      </c>
      <c r="D667" t="s">
        <v>340</v>
      </c>
      <c r="E667">
        <v>55</v>
      </c>
      <c r="F667" t="s">
        <v>11</v>
      </c>
      <c r="G667">
        <v>2</v>
      </c>
      <c r="H667" t="s">
        <v>12</v>
      </c>
    </row>
    <row r="668" spans="1:8" hidden="1">
      <c r="A668" t="s">
        <v>335</v>
      </c>
      <c r="B668" t="s">
        <v>399</v>
      </c>
      <c r="C668" t="s">
        <v>400</v>
      </c>
      <c r="D668" t="s">
        <v>340</v>
      </c>
      <c r="E668">
        <v>54</v>
      </c>
      <c r="F668" t="s">
        <v>11</v>
      </c>
      <c r="G668">
        <v>2</v>
      </c>
      <c r="H668" t="s">
        <v>12</v>
      </c>
    </row>
    <row r="669" spans="1:8" hidden="1">
      <c r="A669" t="s">
        <v>335</v>
      </c>
      <c r="B669" t="s">
        <v>401</v>
      </c>
      <c r="C669" t="s">
        <v>402</v>
      </c>
      <c r="D669" t="s">
        <v>340</v>
      </c>
      <c r="E669">
        <v>40</v>
      </c>
      <c r="F669" t="s">
        <v>11</v>
      </c>
      <c r="G669">
        <v>2</v>
      </c>
      <c r="H669" t="s">
        <v>12</v>
      </c>
    </row>
    <row r="670" spans="1:8" hidden="1">
      <c r="A670" t="s">
        <v>335</v>
      </c>
      <c r="B670" t="s">
        <v>403</v>
      </c>
      <c r="C670" t="s">
        <v>404</v>
      </c>
      <c r="D670" t="s">
        <v>340</v>
      </c>
      <c r="E670">
        <v>40</v>
      </c>
      <c r="F670" t="s">
        <v>11</v>
      </c>
      <c r="G670">
        <v>2</v>
      </c>
      <c r="H670" t="s">
        <v>12</v>
      </c>
    </row>
    <row r="671" spans="1:8" hidden="1">
      <c r="A671" t="s">
        <v>335</v>
      </c>
      <c r="B671" t="s">
        <v>405</v>
      </c>
      <c r="C671" t="s">
        <v>406</v>
      </c>
      <c r="D671" t="s">
        <v>340</v>
      </c>
      <c r="E671">
        <v>40</v>
      </c>
      <c r="F671" t="s">
        <v>11</v>
      </c>
      <c r="G671">
        <v>2</v>
      </c>
      <c r="H671" t="s">
        <v>12</v>
      </c>
    </row>
    <row r="672" spans="1:8" hidden="1">
      <c r="A672" t="s">
        <v>335</v>
      </c>
      <c r="B672" t="s">
        <v>407</v>
      </c>
      <c r="C672" t="s">
        <v>408</v>
      </c>
      <c r="D672" t="s">
        <v>340</v>
      </c>
      <c r="E672">
        <v>55</v>
      </c>
      <c r="F672" t="s">
        <v>11</v>
      </c>
      <c r="G672">
        <v>2</v>
      </c>
      <c r="H672" t="s">
        <v>12</v>
      </c>
    </row>
    <row r="673" spans="1:8" hidden="1">
      <c r="A673" t="s">
        <v>335</v>
      </c>
      <c r="B673" t="s">
        <v>409</v>
      </c>
      <c r="C673" t="s">
        <v>410</v>
      </c>
      <c r="D673" t="s">
        <v>340</v>
      </c>
      <c r="E673">
        <v>48</v>
      </c>
      <c r="F673" t="s">
        <v>11</v>
      </c>
      <c r="G673">
        <v>2</v>
      </c>
      <c r="H673" t="s">
        <v>12</v>
      </c>
    </row>
    <row r="674" spans="1:8" hidden="1">
      <c r="A674" t="s">
        <v>335</v>
      </c>
      <c r="B674" t="s">
        <v>336</v>
      </c>
      <c r="C674" t="s">
        <v>337</v>
      </c>
      <c r="D674" t="s">
        <v>340</v>
      </c>
      <c r="E674">
        <v>46</v>
      </c>
      <c r="F674" t="s">
        <v>11</v>
      </c>
      <c r="G674">
        <v>2</v>
      </c>
      <c r="H674" t="s">
        <v>12</v>
      </c>
    </row>
    <row r="675" spans="1:8" hidden="1">
      <c r="A675" t="s">
        <v>239</v>
      </c>
      <c r="B675" t="s">
        <v>558</v>
      </c>
      <c r="C675" t="s">
        <v>559</v>
      </c>
      <c r="D675" t="s">
        <v>340</v>
      </c>
      <c r="E675">
        <v>45</v>
      </c>
      <c r="F675" t="s">
        <v>11</v>
      </c>
      <c r="G675">
        <v>2</v>
      </c>
      <c r="H675" t="s">
        <v>12</v>
      </c>
    </row>
    <row r="676" spans="1:8" hidden="1">
      <c r="A676" t="s">
        <v>239</v>
      </c>
      <c r="B676" t="s">
        <v>560</v>
      </c>
      <c r="C676" t="s">
        <v>561</v>
      </c>
      <c r="D676" t="s">
        <v>340</v>
      </c>
      <c r="E676">
        <v>52</v>
      </c>
      <c r="F676" t="s">
        <v>11</v>
      </c>
      <c r="G676">
        <v>2</v>
      </c>
      <c r="H676" t="s">
        <v>12</v>
      </c>
    </row>
    <row r="677" spans="1:8" hidden="1">
      <c r="A677" t="s">
        <v>239</v>
      </c>
      <c r="B677" t="s">
        <v>562</v>
      </c>
      <c r="C677" t="s">
        <v>563</v>
      </c>
      <c r="D677" t="s">
        <v>340</v>
      </c>
      <c r="E677">
        <v>45</v>
      </c>
      <c r="F677" t="s">
        <v>11</v>
      </c>
      <c r="G677">
        <v>2</v>
      </c>
      <c r="H677" t="s">
        <v>12</v>
      </c>
    </row>
    <row r="678" spans="1:8" hidden="1">
      <c r="A678" t="s">
        <v>239</v>
      </c>
      <c r="B678" t="s">
        <v>564</v>
      </c>
      <c r="C678" t="s">
        <v>565</v>
      </c>
      <c r="D678" t="s">
        <v>340</v>
      </c>
      <c r="E678">
        <v>55</v>
      </c>
      <c r="F678" t="s">
        <v>11</v>
      </c>
      <c r="G678">
        <v>2</v>
      </c>
      <c r="H678" t="s">
        <v>12</v>
      </c>
    </row>
    <row r="679" spans="1:8" hidden="1">
      <c r="A679" t="s">
        <v>239</v>
      </c>
      <c r="B679" t="s">
        <v>240</v>
      </c>
      <c r="C679" t="s">
        <v>241</v>
      </c>
      <c r="D679" t="s">
        <v>340</v>
      </c>
      <c r="E679">
        <v>56</v>
      </c>
      <c r="F679" t="s">
        <v>11</v>
      </c>
      <c r="G679">
        <v>2</v>
      </c>
      <c r="H679" t="s">
        <v>12</v>
      </c>
    </row>
    <row r="680" spans="1:8" hidden="1">
      <c r="A680" t="s">
        <v>239</v>
      </c>
      <c r="B680" t="s">
        <v>242</v>
      </c>
      <c r="C680" t="s">
        <v>243</v>
      </c>
      <c r="D680" t="s">
        <v>340</v>
      </c>
      <c r="E680">
        <v>57</v>
      </c>
      <c r="F680" t="s">
        <v>11</v>
      </c>
      <c r="G680">
        <v>2</v>
      </c>
      <c r="H680" t="s">
        <v>12</v>
      </c>
    </row>
    <row r="681" spans="1:8" hidden="1">
      <c r="A681" t="s">
        <v>239</v>
      </c>
      <c r="B681" t="s">
        <v>566</v>
      </c>
      <c r="C681" t="s">
        <v>567</v>
      </c>
      <c r="D681" t="s">
        <v>340</v>
      </c>
      <c r="E681">
        <v>48</v>
      </c>
      <c r="F681" t="s">
        <v>11</v>
      </c>
      <c r="G681">
        <v>2</v>
      </c>
      <c r="H681" t="s">
        <v>12</v>
      </c>
    </row>
    <row r="682" spans="1:8" hidden="1">
      <c r="A682" t="s">
        <v>141</v>
      </c>
      <c r="B682" t="s">
        <v>568</v>
      </c>
      <c r="C682" t="s">
        <v>569</v>
      </c>
      <c r="D682" t="s">
        <v>340</v>
      </c>
      <c r="E682">
        <v>54</v>
      </c>
      <c r="F682" t="s">
        <v>11</v>
      </c>
      <c r="G682">
        <v>2</v>
      </c>
      <c r="H682" t="s">
        <v>12</v>
      </c>
    </row>
    <row r="683" spans="1:8" hidden="1">
      <c r="A683" t="s">
        <v>141</v>
      </c>
      <c r="B683" t="s">
        <v>570</v>
      </c>
      <c r="C683" t="s">
        <v>571</v>
      </c>
      <c r="D683" t="s">
        <v>340</v>
      </c>
      <c r="E683">
        <v>47</v>
      </c>
      <c r="F683" t="s">
        <v>11</v>
      </c>
      <c r="G683">
        <v>2</v>
      </c>
      <c r="H683" t="s">
        <v>12</v>
      </c>
    </row>
    <row r="684" spans="1:8" hidden="1">
      <c r="A684" t="s">
        <v>141</v>
      </c>
      <c r="B684" t="s">
        <v>572</v>
      </c>
      <c r="C684" t="s">
        <v>573</v>
      </c>
      <c r="D684" t="s">
        <v>340</v>
      </c>
      <c r="E684">
        <v>46</v>
      </c>
      <c r="F684" t="s">
        <v>11</v>
      </c>
      <c r="G684">
        <v>2</v>
      </c>
      <c r="H684" t="s">
        <v>12</v>
      </c>
    </row>
    <row r="685" spans="1:8" hidden="1">
      <c r="A685" t="s">
        <v>141</v>
      </c>
      <c r="B685" t="s">
        <v>574</v>
      </c>
      <c r="C685" t="s">
        <v>575</v>
      </c>
      <c r="D685" t="s">
        <v>340</v>
      </c>
      <c r="E685">
        <v>51</v>
      </c>
      <c r="F685" t="s">
        <v>11</v>
      </c>
      <c r="G685">
        <v>2</v>
      </c>
      <c r="H685" t="s">
        <v>12</v>
      </c>
    </row>
    <row r="686" spans="1:8" hidden="1">
      <c r="A686" t="s">
        <v>141</v>
      </c>
      <c r="B686" t="s">
        <v>144</v>
      </c>
      <c r="C686" t="s">
        <v>145</v>
      </c>
      <c r="D686" t="s">
        <v>340</v>
      </c>
      <c r="E686">
        <v>52</v>
      </c>
      <c r="F686" t="s">
        <v>11</v>
      </c>
      <c r="G686">
        <v>2</v>
      </c>
      <c r="H686" t="s">
        <v>12</v>
      </c>
    </row>
    <row r="687" spans="1:8" hidden="1">
      <c r="A687" t="s">
        <v>141</v>
      </c>
      <c r="B687" t="s">
        <v>148</v>
      </c>
      <c r="C687" t="s">
        <v>149</v>
      </c>
      <c r="D687" t="s">
        <v>340</v>
      </c>
      <c r="E687">
        <v>49</v>
      </c>
      <c r="F687" t="s">
        <v>11</v>
      </c>
      <c r="G687">
        <v>2</v>
      </c>
      <c r="H687" t="s">
        <v>12</v>
      </c>
    </row>
    <row r="688" spans="1:8" hidden="1">
      <c r="A688" t="s">
        <v>141</v>
      </c>
      <c r="B688" t="s">
        <v>576</v>
      </c>
      <c r="C688" t="s">
        <v>577</v>
      </c>
      <c r="D688" t="s">
        <v>340</v>
      </c>
      <c r="E688">
        <v>47</v>
      </c>
      <c r="F688" t="s">
        <v>11</v>
      </c>
      <c r="G688">
        <v>2</v>
      </c>
      <c r="H688" t="s">
        <v>12</v>
      </c>
    </row>
    <row r="689" spans="1:8" hidden="1">
      <c r="A689" t="s">
        <v>141</v>
      </c>
      <c r="B689" t="s">
        <v>578</v>
      </c>
      <c r="C689" t="s">
        <v>579</v>
      </c>
      <c r="D689" t="s">
        <v>340</v>
      </c>
      <c r="E689">
        <v>51</v>
      </c>
      <c r="F689" t="s">
        <v>11</v>
      </c>
      <c r="G689">
        <v>2</v>
      </c>
      <c r="H689" t="s">
        <v>12</v>
      </c>
    </row>
    <row r="690" spans="1:8" hidden="1">
      <c r="A690" t="s">
        <v>141</v>
      </c>
      <c r="B690" t="s">
        <v>580</v>
      </c>
      <c r="C690" t="s">
        <v>581</v>
      </c>
      <c r="D690" t="s">
        <v>340</v>
      </c>
      <c r="E690">
        <v>50</v>
      </c>
      <c r="F690" t="s">
        <v>11</v>
      </c>
      <c r="G690">
        <v>2</v>
      </c>
      <c r="H690" t="s">
        <v>12</v>
      </c>
    </row>
    <row r="691" spans="1:8" hidden="1">
      <c r="A691" t="s">
        <v>141</v>
      </c>
      <c r="B691" t="s">
        <v>154</v>
      </c>
      <c r="C691" t="s">
        <v>155</v>
      </c>
      <c r="D691" t="s">
        <v>340</v>
      </c>
      <c r="E691">
        <v>47</v>
      </c>
      <c r="F691" t="s">
        <v>11</v>
      </c>
      <c r="G691">
        <v>2</v>
      </c>
      <c r="H691" t="s">
        <v>12</v>
      </c>
    </row>
    <row r="692" spans="1:8" hidden="1">
      <c r="A692" t="s">
        <v>7</v>
      </c>
      <c r="B692" t="s">
        <v>8</v>
      </c>
      <c r="C692" t="s">
        <v>9</v>
      </c>
      <c r="D692" t="s">
        <v>582</v>
      </c>
      <c r="E692">
        <v>45</v>
      </c>
      <c r="F692" t="s">
        <v>583</v>
      </c>
      <c r="G692">
        <v>1</v>
      </c>
      <c r="H692" t="s">
        <v>12</v>
      </c>
    </row>
    <row r="693" spans="1:8" hidden="1">
      <c r="A693" t="s">
        <v>7</v>
      </c>
      <c r="B693" t="s">
        <v>17</v>
      </c>
      <c r="C693" t="s">
        <v>18</v>
      </c>
      <c r="D693" t="s">
        <v>582</v>
      </c>
      <c r="E693">
        <v>42</v>
      </c>
      <c r="F693" t="s">
        <v>583</v>
      </c>
      <c r="G693">
        <v>1</v>
      </c>
      <c r="H693" t="s">
        <v>12</v>
      </c>
    </row>
    <row r="694" spans="1:8" hidden="1">
      <c r="A694" t="s">
        <v>7</v>
      </c>
      <c r="B694" t="s">
        <v>546</v>
      </c>
      <c r="C694" t="s">
        <v>547</v>
      </c>
      <c r="D694" t="s">
        <v>582</v>
      </c>
      <c r="E694">
        <v>45</v>
      </c>
      <c r="F694" t="s">
        <v>583</v>
      </c>
      <c r="G694">
        <v>1</v>
      </c>
      <c r="H694" t="s">
        <v>12</v>
      </c>
    </row>
    <row r="695" spans="1:8" hidden="1">
      <c r="A695" t="s">
        <v>7</v>
      </c>
      <c r="B695" t="s">
        <v>550</v>
      </c>
      <c r="C695" t="s">
        <v>551</v>
      </c>
      <c r="D695" t="s">
        <v>582</v>
      </c>
      <c r="E695">
        <v>45</v>
      </c>
      <c r="F695" t="s">
        <v>583</v>
      </c>
      <c r="G695">
        <v>1</v>
      </c>
      <c r="H695" t="s">
        <v>12</v>
      </c>
    </row>
    <row r="696" spans="1:8" hidden="1">
      <c r="A696" t="s">
        <v>7</v>
      </c>
      <c r="B696" t="s">
        <v>556</v>
      </c>
      <c r="C696" t="s">
        <v>557</v>
      </c>
      <c r="D696" t="s">
        <v>582</v>
      </c>
      <c r="E696">
        <v>48</v>
      </c>
      <c r="F696" t="s">
        <v>583</v>
      </c>
      <c r="G696">
        <v>1</v>
      </c>
      <c r="H696" t="s">
        <v>12</v>
      </c>
    </row>
    <row r="697" spans="1:8" hidden="1">
      <c r="A697" t="s">
        <v>84</v>
      </c>
      <c r="B697" t="s">
        <v>89</v>
      </c>
      <c r="C697" t="s">
        <v>90</v>
      </c>
      <c r="D697" t="s">
        <v>582</v>
      </c>
      <c r="E697">
        <v>52</v>
      </c>
      <c r="F697" t="s">
        <v>583</v>
      </c>
      <c r="G697">
        <v>1</v>
      </c>
      <c r="H697" t="s">
        <v>12</v>
      </c>
    </row>
    <row r="698" spans="1:8" hidden="1">
      <c r="A698" t="s">
        <v>84</v>
      </c>
      <c r="B698" t="s">
        <v>602</v>
      </c>
      <c r="C698" t="s">
        <v>603</v>
      </c>
      <c r="D698" t="s">
        <v>582</v>
      </c>
      <c r="E698">
        <v>46</v>
      </c>
      <c r="F698" t="s">
        <v>583</v>
      </c>
      <c r="G698">
        <v>1</v>
      </c>
      <c r="H698" t="s">
        <v>12</v>
      </c>
    </row>
    <row r="699" spans="1:8" hidden="1">
      <c r="A699" t="s">
        <v>84</v>
      </c>
      <c r="B699" t="s">
        <v>604</v>
      </c>
      <c r="C699" t="s">
        <v>605</v>
      </c>
      <c r="D699" t="s">
        <v>582</v>
      </c>
      <c r="E699">
        <v>42</v>
      </c>
      <c r="F699" t="s">
        <v>583</v>
      </c>
      <c r="G699">
        <v>1</v>
      </c>
      <c r="H699" t="s">
        <v>12</v>
      </c>
    </row>
    <row r="700" spans="1:8" hidden="1">
      <c r="A700" t="s">
        <v>84</v>
      </c>
      <c r="B700" t="s">
        <v>606</v>
      </c>
      <c r="C700" t="s">
        <v>607</v>
      </c>
      <c r="D700" t="s">
        <v>582</v>
      </c>
      <c r="E700">
        <v>43</v>
      </c>
      <c r="F700" t="s">
        <v>583</v>
      </c>
      <c r="G700">
        <v>1</v>
      </c>
      <c r="H700" t="s">
        <v>12</v>
      </c>
    </row>
    <row r="701" spans="1:8" hidden="1">
      <c r="A701" t="s">
        <v>84</v>
      </c>
      <c r="B701" t="s">
        <v>447</v>
      </c>
      <c r="C701" t="s">
        <v>448</v>
      </c>
      <c r="D701" t="s">
        <v>582</v>
      </c>
      <c r="E701">
        <v>48</v>
      </c>
      <c r="F701" t="s">
        <v>583</v>
      </c>
      <c r="G701">
        <v>1</v>
      </c>
      <c r="H701" t="s">
        <v>12</v>
      </c>
    </row>
    <row r="702" spans="1:8" hidden="1">
      <c r="A702" t="s">
        <v>84</v>
      </c>
      <c r="B702" t="s">
        <v>95</v>
      </c>
      <c r="C702" t="s">
        <v>96</v>
      </c>
      <c r="D702" t="s">
        <v>582</v>
      </c>
      <c r="E702">
        <v>46</v>
      </c>
      <c r="F702" t="s">
        <v>583</v>
      </c>
      <c r="G702">
        <v>1</v>
      </c>
      <c r="H702" t="s">
        <v>12</v>
      </c>
    </row>
    <row r="703" spans="1:8" hidden="1">
      <c r="A703" t="s">
        <v>25</v>
      </c>
      <c r="B703" t="s">
        <v>338</v>
      </c>
      <c r="C703" t="s">
        <v>339</v>
      </c>
      <c r="D703" t="s">
        <v>582</v>
      </c>
      <c r="E703">
        <v>43</v>
      </c>
      <c r="F703" t="s">
        <v>583</v>
      </c>
      <c r="G703">
        <v>1</v>
      </c>
      <c r="H703" t="s">
        <v>12</v>
      </c>
    </row>
    <row r="704" spans="1:8" hidden="1">
      <c r="A704" t="s">
        <v>25</v>
      </c>
      <c r="B704" t="s">
        <v>30</v>
      </c>
      <c r="C704" t="s">
        <v>31</v>
      </c>
      <c r="D704" t="s">
        <v>582</v>
      </c>
      <c r="E704">
        <v>49</v>
      </c>
      <c r="F704" t="s">
        <v>583</v>
      </c>
      <c r="G704">
        <v>1</v>
      </c>
      <c r="H704" t="s">
        <v>12</v>
      </c>
    </row>
    <row r="705" spans="1:8" hidden="1">
      <c r="A705" t="s">
        <v>25</v>
      </c>
      <c r="B705" t="s">
        <v>343</v>
      </c>
      <c r="C705" t="s">
        <v>344</v>
      </c>
      <c r="D705" t="s">
        <v>582</v>
      </c>
      <c r="E705">
        <v>53</v>
      </c>
      <c r="F705" t="s">
        <v>583</v>
      </c>
      <c r="G705">
        <v>1</v>
      </c>
      <c r="H705" t="s">
        <v>12</v>
      </c>
    </row>
    <row r="706" spans="1:8" hidden="1">
      <c r="A706" t="s">
        <v>25</v>
      </c>
      <c r="B706" t="s">
        <v>345</v>
      </c>
      <c r="C706" t="s">
        <v>346</v>
      </c>
      <c r="D706" t="s">
        <v>582</v>
      </c>
      <c r="E706">
        <v>54</v>
      </c>
      <c r="F706" t="s">
        <v>583</v>
      </c>
      <c r="G706">
        <v>1</v>
      </c>
      <c r="H706" t="s">
        <v>12</v>
      </c>
    </row>
    <row r="707" spans="1:8" hidden="1">
      <c r="A707" t="s">
        <v>25</v>
      </c>
      <c r="B707" t="s">
        <v>32</v>
      </c>
      <c r="C707" t="s">
        <v>33</v>
      </c>
      <c r="D707" t="s">
        <v>582</v>
      </c>
      <c r="E707">
        <v>48</v>
      </c>
      <c r="F707" t="s">
        <v>583</v>
      </c>
      <c r="G707">
        <v>1</v>
      </c>
      <c r="H707" t="s">
        <v>12</v>
      </c>
    </row>
    <row r="708" spans="1:8" hidden="1">
      <c r="A708" t="s">
        <v>25</v>
      </c>
      <c r="B708" t="s">
        <v>34</v>
      </c>
      <c r="C708" t="s">
        <v>35</v>
      </c>
      <c r="D708" t="s">
        <v>582</v>
      </c>
      <c r="E708">
        <v>47</v>
      </c>
      <c r="F708" t="s">
        <v>583</v>
      </c>
      <c r="G708">
        <v>1</v>
      </c>
      <c r="H708" t="s">
        <v>12</v>
      </c>
    </row>
    <row r="709" spans="1:8" hidden="1">
      <c r="A709" t="s">
        <v>25</v>
      </c>
      <c r="B709" t="s">
        <v>351</v>
      </c>
      <c r="C709" t="s">
        <v>352</v>
      </c>
      <c r="D709" t="s">
        <v>582</v>
      </c>
      <c r="E709">
        <v>49</v>
      </c>
      <c r="F709" t="s">
        <v>583</v>
      </c>
      <c r="G709">
        <v>1</v>
      </c>
      <c r="H709" t="s">
        <v>12</v>
      </c>
    </row>
    <row r="710" spans="1:8" hidden="1">
      <c r="A710" t="s">
        <v>246</v>
      </c>
      <c r="B710" t="s">
        <v>249</v>
      </c>
      <c r="C710" t="s">
        <v>250</v>
      </c>
      <c r="D710" t="s">
        <v>582</v>
      </c>
      <c r="E710">
        <v>53</v>
      </c>
      <c r="F710" t="s">
        <v>583</v>
      </c>
      <c r="G710">
        <v>1</v>
      </c>
      <c r="H710" t="s">
        <v>12</v>
      </c>
    </row>
    <row r="711" spans="1:8" hidden="1">
      <c r="A711" t="s">
        <v>246</v>
      </c>
      <c r="B711" t="s">
        <v>411</v>
      </c>
      <c r="C711" t="s">
        <v>412</v>
      </c>
      <c r="D711" t="s">
        <v>582</v>
      </c>
      <c r="E711">
        <v>56</v>
      </c>
      <c r="F711" t="s">
        <v>583</v>
      </c>
      <c r="G711">
        <v>1</v>
      </c>
      <c r="H711" t="s">
        <v>12</v>
      </c>
    </row>
    <row r="712" spans="1:8" hidden="1">
      <c r="A712" t="s">
        <v>246</v>
      </c>
      <c r="B712" t="s">
        <v>588</v>
      </c>
      <c r="C712" t="s">
        <v>589</v>
      </c>
      <c r="D712" t="s">
        <v>582</v>
      </c>
      <c r="E712">
        <v>56</v>
      </c>
      <c r="F712" t="s">
        <v>583</v>
      </c>
      <c r="G712">
        <v>1</v>
      </c>
      <c r="H712" t="s">
        <v>12</v>
      </c>
    </row>
    <row r="713" spans="1:8" hidden="1">
      <c r="A713" t="s">
        <v>246</v>
      </c>
      <c r="B713" t="s">
        <v>590</v>
      </c>
      <c r="C713" t="s">
        <v>591</v>
      </c>
      <c r="D713" t="s">
        <v>582</v>
      </c>
      <c r="E713">
        <v>40</v>
      </c>
      <c r="F713" t="s">
        <v>583</v>
      </c>
      <c r="G713">
        <v>1</v>
      </c>
      <c r="H713" t="s">
        <v>12</v>
      </c>
    </row>
    <row r="714" spans="1:8" hidden="1">
      <c r="A714" t="s">
        <v>246</v>
      </c>
      <c r="B714" t="s">
        <v>413</v>
      </c>
      <c r="C714" t="s">
        <v>414</v>
      </c>
      <c r="D714" t="s">
        <v>582</v>
      </c>
      <c r="E714">
        <v>56</v>
      </c>
      <c r="F714" t="s">
        <v>583</v>
      </c>
      <c r="G714">
        <v>1</v>
      </c>
      <c r="H714" t="s">
        <v>12</v>
      </c>
    </row>
    <row r="715" spans="1:8" hidden="1">
      <c r="A715" t="s">
        <v>246</v>
      </c>
      <c r="B715" t="s">
        <v>592</v>
      </c>
      <c r="C715" t="s">
        <v>593</v>
      </c>
      <c r="D715" t="s">
        <v>582</v>
      </c>
      <c r="E715">
        <v>56</v>
      </c>
      <c r="F715" t="s">
        <v>583</v>
      </c>
      <c r="G715">
        <v>1</v>
      </c>
      <c r="H715" t="s">
        <v>12</v>
      </c>
    </row>
    <row r="716" spans="1:8" hidden="1">
      <c r="A716" t="s">
        <v>246</v>
      </c>
      <c r="B716" t="s">
        <v>263</v>
      </c>
      <c r="C716" t="s">
        <v>264</v>
      </c>
      <c r="D716" t="s">
        <v>582</v>
      </c>
      <c r="E716">
        <v>56</v>
      </c>
      <c r="F716" t="s">
        <v>583</v>
      </c>
      <c r="G716">
        <v>1</v>
      </c>
      <c r="H716" t="s">
        <v>12</v>
      </c>
    </row>
    <row r="717" spans="1:8" hidden="1">
      <c r="A717" t="s">
        <v>246</v>
      </c>
      <c r="B717" t="s">
        <v>265</v>
      </c>
      <c r="C717" t="s">
        <v>266</v>
      </c>
      <c r="D717" t="s">
        <v>582</v>
      </c>
      <c r="E717">
        <v>50</v>
      </c>
      <c r="F717" t="s">
        <v>583</v>
      </c>
      <c r="G717">
        <v>1</v>
      </c>
      <c r="H717" t="s">
        <v>12</v>
      </c>
    </row>
    <row r="718" spans="1:8" hidden="1">
      <c r="A718" t="s">
        <v>246</v>
      </c>
      <c r="B718" t="s">
        <v>594</v>
      </c>
      <c r="C718" t="s">
        <v>595</v>
      </c>
      <c r="D718" t="s">
        <v>582</v>
      </c>
      <c r="E718">
        <v>53</v>
      </c>
      <c r="F718" t="s">
        <v>583</v>
      </c>
      <c r="G718">
        <v>1</v>
      </c>
      <c r="H718" t="s">
        <v>12</v>
      </c>
    </row>
    <row r="719" spans="1:8" hidden="1">
      <c r="A719" t="s">
        <v>246</v>
      </c>
      <c r="B719" t="s">
        <v>596</v>
      </c>
      <c r="C719" t="s">
        <v>597</v>
      </c>
      <c r="D719" t="s">
        <v>582</v>
      </c>
      <c r="E719">
        <v>43</v>
      </c>
      <c r="F719" t="s">
        <v>583</v>
      </c>
      <c r="G719">
        <v>1</v>
      </c>
      <c r="H719" t="s">
        <v>12</v>
      </c>
    </row>
    <row r="720" spans="1:8" hidden="1">
      <c r="A720" t="s">
        <v>246</v>
      </c>
      <c r="B720" t="s">
        <v>598</v>
      </c>
      <c r="C720" t="s">
        <v>599</v>
      </c>
      <c r="D720" t="s">
        <v>582</v>
      </c>
      <c r="E720">
        <v>53</v>
      </c>
      <c r="F720" t="s">
        <v>583</v>
      </c>
      <c r="G720">
        <v>1</v>
      </c>
      <c r="H720" t="s">
        <v>12</v>
      </c>
    </row>
    <row r="721" spans="1:8" hidden="1">
      <c r="A721" t="s">
        <v>246</v>
      </c>
      <c r="B721" t="s">
        <v>600</v>
      </c>
      <c r="C721" t="s">
        <v>601</v>
      </c>
      <c r="D721" t="s">
        <v>582</v>
      </c>
      <c r="E721">
        <v>53</v>
      </c>
      <c r="F721" t="s">
        <v>583</v>
      </c>
      <c r="G721">
        <v>1</v>
      </c>
      <c r="H721" t="s">
        <v>12</v>
      </c>
    </row>
    <row r="722" spans="1:8" hidden="1">
      <c r="A722" t="s">
        <v>279</v>
      </c>
      <c r="B722" t="s">
        <v>282</v>
      </c>
      <c r="C722" t="s">
        <v>283</v>
      </c>
      <c r="D722" t="s">
        <v>582</v>
      </c>
      <c r="E722">
        <v>44</v>
      </c>
      <c r="F722" t="s">
        <v>583</v>
      </c>
      <c r="G722">
        <v>1</v>
      </c>
      <c r="H722" t="s">
        <v>12</v>
      </c>
    </row>
    <row r="723" spans="1:8" hidden="1">
      <c r="A723" t="s">
        <v>279</v>
      </c>
      <c r="B723" t="s">
        <v>353</v>
      </c>
      <c r="C723" t="s">
        <v>354</v>
      </c>
      <c r="D723" t="s">
        <v>582</v>
      </c>
      <c r="E723">
        <v>44</v>
      </c>
      <c r="F723" t="s">
        <v>583</v>
      </c>
      <c r="G723">
        <v>1</v>
      </c>
      <c r="H723" t="s">
        <v>12</v>
      </c>
    </row>
    <row r="724" spans="1:8" hidden="1">
      <c r="A724" t="s">
        <v>279</v>
      </c>
      <c r="B724" t="s">
        <v>355</v>
      </c>
      <c r="C724" t="s">
        <v>356</v>
      </c>
      <c r="D724" t="s">
        <v>582</v>
      </c>
      <c r="E724">
        <v>46</v>
      </c>
      <c r="F724" t="s">
        <v>583</v>
      </c>
      <c r="G724">
        <v>1</v>
      </c>
      <c r="H724" t="s">
        <v>12</v>
      </c>
    </row>
    <row r="725" spans="1:8" hidden="1">
      <c r="A725" t="s">
        <v>279</v>
      </c>
      <c r="B725" t="s">
        <v>286</v>
      </c>
      <c r="C725" t="s">
        <v>287</v>
      </c>
      <c r="D725" t="s">
        <v>582</v>
      </c>
      <c r="E725">
        <v>48</v>
      </c>
      <c r="F725" t="s">
        <v>583</v>
      </c>
      <c r="G725">
        <v>1</v>
      </c>
      <c r="H725" t="s">
        <v>12</v>
      </c>
    </row>
    <row r="726" spans="1:8" hidden="1">
      <c r="A726" t="s">
        <v>279</v>
      </c>
      <c r="B726" t="s">
        <v>359</v>
      </c>
      <c r="C726" t="s">
        <v>360</v>
      </c>
      <c r="D726" t="s">
        <v>582</v>
      </c>
      <c r="E726">
        <v>47</v>
      </c>
      <c r="F726" t="s">
        <v>583</v>
      </c>
      <c r="G726">
        <v>1</v>
      </c>
      <c r="H726" t="s">
        <v>12</v>
      </c>
    </row>
    <row r="727" spans="1:8" hidden="1">
      <c r="A727" t="s">
        <v>279</v>
      </c>
      <c r="B727" t="s">
        <v>288</v>
      </c>
      <c r="C727" t="s">
        <v>289</v>
      </c>
      <c r="D727" t="s">
        <v>582</v>
      </c>
      <c r="E727">
        <v>50</v>
      </c>
      <c r="F727" t="s">
        <v>583</v>
      </c>
      <c r="G727">
        <v>1</v>
      </c>
      <c r="H727" t="s">
        <v>12</v>
      </c>
    </row>
    <row r="728" spans="1:8" hidden="1">
      <c r="A728" t="s">
        <v>279</v>
      </c>
      <c r="B728" t="s">
        <v>361</v>
      </c>
      <c r="C728" t="s">
        <v>362</v>
      </c>
      <c r="D728" t="s">
        <v>582</v>
      </c>
      <c r="E728">
        <v>45</v>
      </c>
      <c r="F728" t="s">
        <v>583</v>
      </c>
      <c r="G728">
        <v>1</v>
      </c>
      <c r="H728" t="s">
        <v>12</v>
      </c>
    </row>
    <row r="729" spans="1:8" hidden="1">
      <c r="A729" t="s">
        <v>279</v>
      </c>
      <c r="B729" t="s">
        <v>363</v>
      </c>
      <c r="C729" t="s">
        <v>364</v>
      </c>
      <c r="D729" t="s">
        <v>582</v>
      </c>
      <c r="E729">
        <v>46</v>
      </c>
      <c r="F729" t="s">
        <v>583</v>
      </c>
      <c r="G729">
        <v>1</v>
      </c>
      <c r="H729" t="s">
        <v>12</v>
      </c>
    </row>
    <row r="730" spans="1:8" hidden="1">
      <c r="A730" t="s">
        <v>279</v>
      </c>
      <c r="B730" t="s">
        <v>584</v>
      </c>
      <c r="C730" t="s">
        <v>585</v>
      </c>
      <c r="D730" t="s">
        <v>582</v>
      </c>
      <c r="E730">
        <v>50</v>
      </c>
      <c r="F730" t="s">
        <v>583</v>
      </c>
      <c r="G730">
        <v>1</v>
      </c>
      <c r="H730" t="s">
        <v>12</v>
      </c>
    </row>
    <row r="731" spans="1:8" hidden="1">
      <c r="A731" t="s">
        <v>279</v>
      </c>
      <c r="B731" t="s">
        <v>292</v>
      </c>
      <c r="C731" t="s">
        <v>293</v>
      </c>
      <c r="D731" t="s">
        <v>582</v>
      </c>
      <c r="E731">
        <v>49</v>
      </c>
      <c r="F731" t="s">
        <v>583</v>
      </c>
      <c r="G731">
        <v>1</v>
      </c>
      <c r="H731" t="s">
        <v>12</v>
      </c>
    </row>
    <row r="732" spans="1:8" hidden="1">
      <c r="A732" t="s">
        <v>174</v>
      </c>
      <c r="B732" t="s">
        <v>491</v>
      </c>
      <c r="C732" t="s">
        <v>492</v>
      </c>
      <c r="D732" t="s">
        <v>582</v>
      </c>
      <c r="E732">
        <v>43</v>
      </c>
      <c r="F732" t="s">
        <v>583</v>
      </c>
      <c r="G732">
        <v>1</v>
      </c>
      <c r="H732" t="s">
        <v>12</v>
      </c>
    </row>
    <row r="733" spans="1:8" hidden="1">
      <c r="A733" t="s">
        <v>174</v>
      </c>
      <c r="B733" t="s">
        <v>620</v>
      </c>
      <c r="C733" t="s">
        <v>621</v>
      </c>
      <c r="D733" t="s">
        <v>582</v>
      </c>
      <c r="E733">
        <v>52</v>
      </c>
      <c r="F733" t="s">
        <v>583</v>
      </c>
      <c r="G733">
        <v>1</v>
      </c>
      <c r="H733" t="s">
        <v>12</v>
      </c>
    </row>
    <row r="734" spans="1:8" hidden="1">
      <c r="A734" t="s">
        <v>174</v>
      </c>
      <c r="B734" t="s">
        <v>493</v>
      </c>
      <c r="C734" t="s">
        <v>494</v>
      </c>
      <c r="D734" t="s">
        <v>582</v>
      </c>
      <c r="E734">
        <v>44</v>
      </c>
      <c r="F734" t="s">
        <v>583</v>
      </c>
      <c r="G734">
        <v>1</v>
      </c>
      <c r="H734" t="s">
        <v>12</v>
      </c>
    </row>
    <row r="735" spans="1:8" hidden="1">
      <c r="A735" t="s">
        <v>174</v>
      </c>
      <c r="B735" t="s">
        <v>495</v>
      </c>
      <c r="C735" t="s">
        <v>496</v>
      </c>
      <c r="D735" t="s">
        <v>582</v>
      </c>
      <c r="E735">
        <v>48</v>
      </c>
      <c r="F735" t="s">
        <v>583</v>
      </c>
      <c r="G735">
        <v>1</v>
      </c>
      <c r="H735" t="s">
        <v>12</v>
      </c>
    </row>
    <row r="736" spans="1:8" hidden="1">
      <c r="A736" t="s">
        <v>174</v>
      </c>
      <c r="B736" t="s">
        <v>497</v>
      </c>
      <c r="C736" t="s">
        <v>498</v>
      </c>
      <c r="D736" t="s">
        <v>582</v>
      </c>
      <c r="E736">
        <v>49</v>
      </c>
      <c r="F736" t="s">
        <v>583</v>
      </c>
      <c r="G736">
        <v>1</v>
      </c>
      <c r="H736" t="s">
        <v>12</v>
      </c>
    </row>
    <row r="737" spans="1:8" hidden="1">
      <c r="A737" t="s">
        <v>174</v>
      </c>
      <c r="B737" t="s">
        <v>183</v>
      </c>
      <c r="C737" t="s">
        <v>184</v>
      </c>
      <c r="D737" t="s">
        <v>582</v>
      </c>
      <c r="E737">
        <v>47</v>
      </c>
      <c r="F737" t="s">
        <v>583</v>
      </c>
      <c r="G737">
        <v>1</v>
      </c>
      <c r="H737" t="s">
        <v>12</v>
      </c>
    </row>
    <row r="738" spans="1:8" hidden="1">
      <c r="A738" t="s">
        <v>174</v>
      </c>
      <c r="B738" t="s">
        <v>622</v>
      </c>
      <c r="C738" t="s">
        <v>623</v>
      </c>
      <c r="D738" t="s">
        <v>582</v>
      </c>
      <c r="E738">
        <v>41</v>
      </c>
      <c r="F738" t="s">
        <v>583</v>
      </c>
      <c r="G738">
        <v>1</v>
      </c>
      <c r="H738" t="s">
        <v>12</v>
      </c>
    </row>
    <row r="739" spans="1:8" hidden="1">
      <c r="A739" t="s">
        <v>174</v>
      </c>
      <c r="B739" t="s">
        <v>187</v>
      </c>
      <c r="C739" t="s">
        <v>188</v>
      </c>
      <c r="D739" t="s">
        <v>582</v>
      </c>
      <c r="E739">
        <v>52</v>
      </c>
      <c r="F739" t="s">
        <v>583</v>
      </c>
      <c r="G739">
        <v>1</v>
      </c>
      <c r="H739" t="s">
        <v>12</v>
      </c>
    </row>
    <row r="740" spans="1:8" hidden="1">
      <c r="A740" t="s">
        <v>174</v>
      </c>
      <c r="B740" t="s">
        <v>499</v>
      </c>
      <c r="C740" t="s">
        <v>500</v>
      </c>
      <c r="D740" t="s">
        <v>582</v>
      </c>
      <c r="E740">
        <v>47</v>
      </c>
      <c r="F740" t="s">
        <v>583</v>
      </c>
      <c r="G740">
        <v>1</v>
      </c>
      <c r="H740" t="s">
        <v>12</v>
      </c>
    </row>
    <row r="741" spans="1:8" hidden="1">
      <c r="A741" t="s">
        <v>174</v>
      </c>
      <c r="B741" t="s">
        <v>191</v>
      </c>
      <c r="C741" t="s">
        <v>151</v>
      </c>
      <c r="D741" t="s">
        <v>582</v>
      </c>
      <c r="E741">
        <v>41</v>
      </c>
      <c r="F741" t="s">
        <v>583</v>
      </c>
      <c r="G741">
        <v>1</v>
      </c>
      <c r="H741" t="s">
        <v>12</v>
      </c>
    </row>
    <row r="742" spans="1:8" hidden="1">
      <c r="A742" t="s">
        <v>174</v>
      </c>
      <c r="B742" t="s">
        <v>192</v>
      </c>
      <c r="C742" t="s">
        <v>193</v>
      </c>
      <c r="D742" t="s">
        <v>582</v>
      </c>
      <c r="E742">
        <v>41</v>
      </c>
      <c r="F742" t="s">
        <v>583</v>
      </c>
      <c r="G742">
        <v>1</v>
      </c>
      <c r="H742" t="s">
        <v>12</v>
      </c>
    </row>
    <row r="743" spans="1:8" hidden="1">
      <c r="A743" t="s">
        <v>174</v>
      </c>
      <c r="B743" t="s">
        <v>501</v>
      </c>
      <c r="C743" t="s">
        <v>502</v>
      </c>
      <c r="D743" t="s">
        <v>582</v>
      </c>
      <c r="E743">
        <v>40</v>
      </c>
      <c r="F743" t="s">
        <v>583</v>
      </c>
      <c r="G743">
        <v>1</v>
      </c>
      <c r="H743" t="s">
        <v>12</v>
      </c>
    </row>
    <row r="744" spans="1:8" hidden="1">
      <c r="A744" t="s">
        <v>174</v>
      </c>
      <c r="B744" t="s">
        <v>624</v>
      </c>
      <c r="C744" t="s">
        <v>625</v>
      </c>
      <c r="D744" t="s">
        <v>582</v>
      </c>
      <c r="E744">
        <v>52</v>
      </c>
      <c r="F744" t="s">
        <v>583</v>
      </c>
      <c r="G744">
        <v>1</v>
      </c>
      <c r="H744" t="s">
        <v>12</v>
      </c>
    </row>
    <row r="745" spans="1:8" hidden="1">
      <c r="A745" t="s">
        <v>174</v>
      </c>
      <c r="B745" t="s">
        <v>503</v>
      </c>
      <c r="C745" t="s">
        <v>504</v>
      </c>
      <c r="D745" t="s">
        <v>582</v>
      </c>
      <c r="E745">
        <v>53</v>
      </c>
      <c r="F745" t="s">
        <v>583</v>
      </c>
      <c r="G745">
        <v>1</v>
      </c>
      <c r="H745" t="s">
        <v>12</v>
      </c>
    </row>
    <row r="746" spans="1:8" hidden="1">
      <c r="A746" t="s">
        <v>174</v>
      </c>
      <c r="B746" t="s">
        <v>505</v>
      </c>
      <c r="C746" t="s">
        <v>506</v>
      </c>
      <c r="D746" t="s">
        <v>582</v>
      </c>
      <c r="E746">
        <v>48</v>
      </c>
      <c r="F746" t="s">
        <v>583</v>
      </c>
      <c r="G746">
        <v>1</v>
      </c>
      <c r="H746" t="s">
        <v>12</v>
      </c>
    </row>
    <row r="747" spans="1:8" hidden="1">
      <c r="A747" t="s">
        <v>44</v>
      </c>
      <c r="B747" t="s">
        <v>45</v>
      </c>
      <c r="C747" t="s">
        <v>46</v>
      </c>
      <c r="D747" t="s">
        <v>582</v>
      </c>
      <c r="E747">
        <v>54</v>
      </c>
      <c r="F747" t="s">
        <v>583</v>
      </c>
      <c r="G747">
        <v>2</v>
      </c>
      <c r="H747" t="s">
        <v>12</v>
      </c>
    </row>
    <row r="748" spans="1:8" hidden="1">
      <c r="A748" t="s">
        <v>44</v>
      </c>
      <c r="B748" t="s">
        <v>608</v>
      </c>
      <c r="C748" t="s">
        <v>609</v>
      </c>
      <c r="D748" t="s">
        <v>582</v>
      </c>
      <c r="E748">
        <v>48</v>
      </c>
      <c r="F748" t="s">
        <v>583</v>
      </c>
      <c r="G748">
        <v>2</v>
      </c>
      <c r="H748" t="s">
        <v>12</v>
      </c>
    </row>
    <row r="749" spans="1:8" hidden="1">
      <c r="A749" t="s">
        <v>44</v>
      </c>
      <c r="B749" t="s">
        <v>610</v>
      </c>
      <c r="C749" t="s">
        <v>611</v>
      </c>
      <c r="D749" t="s">
        <v>582</v>
      </c>
      <c r="E749">
        <v>56</v>
      </c>
      <c r="F749" t="s">
        <v>583</v>
      </c>
      <c r="G749">
        <v>2</v>
      </c>
      <c r="H749" t="s">
        <v>12</v>
      </c>
    </row>
    <row r="750" spans="1:8" hidden="1">
      <c r="A750" t="s">
        <v>44</v>
      </c>
      <c r="B750" t="s">
        <v>612</v>
      </c>
      <c r="C750" t="s">
        <v>613</v>
      </c>
      <c r="D750" t="s">
        <v>582</v>
      </c>
      <c r="E750">
        <v>40</v>
      </c>
      <c r="F750" t="s">
        <v>583</v>
      </c>
      <c r="G750">
        <v>2</v>
      </c>
      <c r="H750" t="s">
        <v>12</v>
      </c>
    </row>
    <row r="751" spans="1:8" hidden="1">
      <c r="A751" t="s">
        <v>44</v>
      </c>
      <c r="B751" t="s">
        <v>61</v>
      </c>
      <c r="C751" t="s">
        <v>62</v>
      </c>
      <c r="D751" t="s">
        <v>582</v>
      </c>
      <c r="E751">
        <v>56</v>
      </c>
      <c r="F751" t="s">
        <v>583</v>
      </c>
      <c r="G751">
        <v>2</v>
      </c>
      <c r="H751" t="s">
        <v>12</v>
      </c>
    </row>
    <row r="752" spans="1:8" hidden="1">
      <c r="A752" t="s">
        <v>44</v>
      </c>
      <c r="B752" t="s">
        <v>461</v>
      </c>
      <c r="C752" t="s">
        <v>462</v>
      </c>
      <c r="D752" t="s">
        <v>582</v>
      </c>
      <c r="E752">
        <v>54</v>
      </c>
      <c r="F752" t="s">
        <v>583</v>
      </c>
      <c r="G752">
        <v>2</v>
      </c>
      <c r="H752" t="s">
        <v>12</v>
      </c>
    </row>
    <row r="753" spans="1:8" hidden="1">
      <c r="A753" t="s">
        <v>158</v>
      </c>
      <c r="B753" t="s">
        <v>509</v>
      </c>
      <c r="C753" t="s">
        <v>510</v>
      </c>
      <c r="D753" t="s">
        <v>582</v>
      </c>
      <c r="E753">
        <v>56</v>
      </c>
      <c r="F753" t="s">
        <v>583</v>
      </c>
      <c r="G753">
        <v>2</v>
      </c>
      <c r="H753" t="s">
        <v>12</v>
      </c>
    </row>
    <row r="754" spans="1:8" hidden="1">
      <c r="A754" t="s">
        <v>158</v>
      </c>
      <c r="B754" t="s">
        <v>626</v>
      </c>
      <c r="C754" t="s">
        <v>627</v>
      </c>
      <c r="D754" t="s">
        <v>582</v>
      </c>
      <c r="E754">
        <v>47</v>
      </c>
      <c r="F754" t="s">
        <v>583</v>
      </c>
      <c r="G754">
        <v>2</v>
      </c>
      <c r="H754" t="s">
        <v>12</v>
      </c>
    </row>
    <row r="755" spans="1:8" hidden="1">
      <c r="A755" t="s">
        <v>158</v>
      </c>
      <c r="B755" t="s">
        <v>159</v>
      </c>
      <c r="C755" t="s">
        <v>160</v>
      </c>
      <c r="D755" t="s">
        <v>582</v>
      </c>
      <c r="E755">
        <v>52</v>
      </c>
      <c r="F755" t="s">
        <v>583</v>
      </c>
      <c r="G755">
        <v>2</v>
      </c>
      <c r="H755" t="s">
        <v>12</v>
      </c>
    </row>
    <row r="756" spans="1:8" hidden="1">
      <c r="A756" t="s">
        <v>158</v>
      </c>
      <c r="B756" t="s">
        <v>628</v>
      </c>
      <c r="C756" t="s">
        <v>629</v>
      </c>
      <c r="D756" t="s">
        <v>582</v>
      </c>
      <c r="E756">
        <v>40</v>
      </c>
      <c r="F756" t="s">
        <v>583</v>
      </c>
      <c r="G756">
        <v>2</v>
      </c>
      <c r="H756" t="s">
        <v>12</v>
      </c>
    </row>
    <row r="757" spans="1:8" hidden="1">
      <c r="A757" t="s">
        <v>158</v>
      </c>
      <c r="B757" t="s">
        <v>511</v>
      </c>
      <c r="C757" t="s">
        <v>512</v>
      </c>
      <c r="D757" t="s">
        <v>582</v>
      </c>
      <c r="E757">
        <v>45</v>
      </c>
      <c r="F757" t="s">
        <v>583</v>
      </c>
      <c r="G757">
        <v>2</v>
      </c>
      <c r="H757" t="s">
        <v>12</v>
      </c>
    </row>
    <row r="758" spans="1:8" hidden="1">
      <c r="A758" t="s">
        <v>158</v>
      </c>
      <c r="B758" t="s">
        <v>163</v>
      </c>
      <c r="C758" t="s">
        <v>164</v>
      </c>
      <c r="D758" t="s">
        <v>582</v>
      </c>
      <c r="E758">
        <v>40</v>
      </c>
      <c r="F758" t="s">
        <v>583</v>
      </c>
      <c r="G758">
        <v>2</v>
      </c>
      <c r="H758" t="s">
        <v>12</v>
      </c>
    </row>
    <row r="759" spans="1:8" hidden="1">
      <c r="A759" t="s">
        <v>158</v>
      </c>
      <c r="B759" t="s">
        <v>513</v>
      </c>
      <c r="C759" t="s">
        <v>514</v>
      </c>
      <c r="D759" t="s">
        <v>582</v>
      </c>
      <c r="E759">
        <v>49</v>
      </c>
      <c r="F759" t="s">
        <v>583</v>
      </c>
      <c r="G759">
        <v>2</v>
      </c>
      <c r="H759" t="s">
        <v>12</v>
      </c>
    </row>
    <row r="760" spans="1:8" hidden="1">
      <c r="A760" t="s">
        <v>97</v>
      </c>
      <c r="B760" t="s">
        <v>98</v>
      </c>
      <c r="C760" t="s">
        <v>99</v>
      </c>
      <c r="D760" t="s">
        <v>582</v>
      </c>
      <c r="E760">
        <v>48</v>
      </c>
      <c r="F760" t="s">
        <v>583</v>
      </c>
      <c r="G760">
        <v>2</v>
      </c>
      <c r="H760" t="s">
        <v>12</v>
      </c>
    </row>
    <row r="761" spans="1:8" hidden="1">
      <c r="A761" t="s">
        <v>97</v>
      </c>
      <c r="B761" t="s">
        <v>112</v>
      </c>
      <c r="C761" t="s">
        <v>113</v>
      </c>
      <c r="D761" t="s">
        <v>582</v>
      </c>
      <c r="E761">
        <v>47</v>
      </c>
      <c r="F761" t="s">
        <v>583</v>
      </c>
      <c r="G761">
        <v>2</v>
      </c>
      <c r="H761" t="s">
        <v>12</v>
      </c>
    </row>
    <row r="762" spans="1:8" hidden="1">
      <c r="A762" t="s">
        <v>97</v>
      </c>
      <c r="B762" t="s">
        <v>630</v>
      </c>
      <c r="C762" t="s">
        <v>631</v>
      </c>
      <c r="D762" t="s">
        <v>582</v>
      </c>
      <c r="E762">
        <v>54</v>
      </c>
      <c r="F762" t="s">
        <v>583</v>
      </c>
      <c r="G762">
        <v>2</v>
      </c>
      <c r="H762" t="s">
        <v>12</v>
      </c>
    </row>
    <row r="763" spans="1:8" hidden="1">
      <c r="A763" t="s">
        <v>97</v>
      </c>
      <c r="B763" t="s">
        <v>519</v>
      </c>
      <c r="C763" t="s">
        <v>520</v>
      </c>
      <c r="D763" t="s">
        <v>582</v>
      </c>
      <c r="E763">
        <v>48</v>
      </c>
      <c r="F763" t="s">
        <v>583</v>
      </c>
      <c r="G763">
        <v>2</v>
      </c>
      <c r="H763" t="s">
        <v>12</v>
      </c>
    </row>
    <row r="764" spans="1:8" hidden="1">
      <c r="A764" t="s">
        <v>97</v>
      </c>
      <c r="B764" t="s">
        <v>116</v>
      </c>
      <c r="C764" t="s">
        <v>117</v>
      </c>
      <c r="D764" t="s">
        <v>582</v>
      </c>
      <c r="E764">
        <v>54</v>
      </c>
      <c r="F764" t="s">
        <v>583</v>
      </c>
      <c r="G764">
        <v>2</v>
      </c>
      <c r="H764" t="s">
        <v>12</v>
      </c>
    </row>
    <row r="765" spans="1:8" hidden="1">
      <c r="A765" t="s">
        <v>97</v>
      </c>
      <c r="B765" t="s">
        <v>118</v>
      </c>
      <c r="C765" t="s">
        <v>119</v>
      </c>
      <c r="D765" t="s">
        <v>582</v>
      </c>
      <c r="E765">
        <v>53</v>
      </c>
      <c r="F765" t="s">
        <v>583</v>
      </c>
      <c r="G765">
        <v>2</v>
      </c>
      <c r="H765" t="s">
        <v>12</v>
      </c>
    </row>
    <row r="766" spans="1:8" hidden="1">
      <c r="A766" t="s">
        <v>97</v>
      </c>
      <c r="B766" t="s">
        <v>632</v>
      </c>
      <c r="C766" t="s">
        <v>633</v>
      </c>
      <c r="D766" t="s">
        <v>582</v>
      </c>
      <c r="E766">
        <v>58</v>
      </c>
      <c r="F766" t="s">
        <v>583</v>
      </c>
      <c r="G766">
        <v>2</v>
      </c>
      <c r="H766" t="s">
        <v>12</v>
      </c>
    </row>
    <row r="767" spans="1:8" hidden="1">
      <c r="A767" t="s">
        <v>65</v>
      </c>
      <c r="B767" t="s">
        <v>78</v>
      </c>
      <c r="C767" t="s">
        <v>79</v>
      </c>
      <c r="D767" t="s">
        <v>582</v>
      </c>
      <c r="E767">
        <v>50</v>
      </c>
      <c r="F767" t="s">
        <v>583</v>
      </c>
      <c r="G767">
        <v>2</v>
      </c>
      <c r="H767" t="s">
        <v>12</v>
      </c>
    </row>
    <row r="768" spans="1:8" hidden="1">
      <c r="A768" t="s">
        <v>301</v>
      </c>
      <c r="B768" t="s">
        <v>463</v>
      </c>
      <c r="C768" t="s">
        <v>464</v>
      </c>
      <c r="D768" t="s">
        <v>582</v>
      </c>
      <c r="E768">
        <v>40</v>
      </c>
      <c r="F768" t="s">
        <v>583</v>
      </c>
      <c r="G768">
        <v>1</v>
      </c>
      <c r="H768" t="s">
        <v>12</v>
      </c>
    </row>
    <row r="769" spans="1:8" hidden="1">
      <c r="A769" t="s">
        <v>301</v>
      </c>
      <c r="B769" t="s">
        <v>473</v>
      </c>
      <c r="C769" t="s">
        <v>474</v>
      </c>
      <c r="D769" t="s">
        <v>582</v>
      </c>
      <c r="E769">
        <v>55</v>
      </c>
      <c r="F769" t="s">
        <v>583</v>
      </c>
      <c r="G769">
        <v>1</v>
      </c>
      <c r="H769" t="s">
        <v>12</v>
      </c>
    </row>
    <row r="770" spans="1:8" hidden="1">
      <c r="A770" t="s">
        <v>194</v>
      </c>
      <c r="B770" t="s">
        <v>197</v>
      </c>
      <c r="C770" t="s">
        <v>198</v>
      </c>
      <c r="D770" t="s">
        <v>582</v>
      </c>
      <c r="E770">
        <v>48</v>
      </c>
      <c r="F770" t="s">
        <v>583</v>
      </c>
      <c r="G770">
        <v>1</v>
      </c>
      <c r="H770" t="s">
        <v>12</v>
      </c>
    </row>
    <row r="771" spans="1:8" hidden="1">
      <c r="A771" t="s">
        <v>194</v>
      </c>
      <c r="B771" t="s">
        <v>203</v>
      </c>
      <c r="C771" t="s">
        <v>204</v>
      </c>
      <c r="D771" t="s">
        <v>582</v>
      </c>
      <c r="E771">
        <v>42</v>
      </c>
      <c r="F771" t="s">
        <v>583</v>
      </c>
      <c r="G771">
        <v>1</v>
      </c>
      <c r="H771" t="s">
        <v>12</v>
      </c>
    </row>
    <row r="772" spans="1:8" hidden="1">
      <c r="A772" t="s">
        <v>194</v>
      </c>
      <c r="B772" t="s">
        <v>529</v>
      </c>
      <c r="C772" t="s">
        <v>530</v>
      </c>
      <c r="D772" t="s">
        <v>582</v>
      </c>
      <c r="E772">
        <v>42</v>
      </c>
      <c r="F772" t="s">
        <v>583</v>
      </c>
      <c r="G772">
        <v>1</v>
      </c>
      <c r="H772" t="s">
        <v>12</v>
      </c>
    </row>
    <row r="773" spans="1:8" hidden="1">
      <c r="A773" t="s">
        <v>194</v>
      </c>
      <c r="B773" t="s">
        <v>634</v>
      </c>
      <c r="C773" t="s">
        <v>635</v>
      </c>
      <c r="D773" t="s">
        <v>582</v>
      </c>
      <c r="E773">
        <v>52</v>
      </c>
      <c r="F773" t="s">
        <v>583</v>
      </c>
      <c r="G773">
        <v>1</v>
      </c>
      <c r="H773" t="s">
        <v>12</v>
      </c>
    </row>
    <row r="774" spans="1:8" hidden="1">
      <c r="A774" t="s">
        <v>194</v>
      </c>
      <c r="B774" t="s">
        <v>531</v>
      </c>
      <c r="C774" t="s">
        <v>532</v>
      </c>
      <c r="D774" t="s">
        <v>582</v>
      </c>
      <c r="E774">
        <v>45</v>
      </c>
      <c r="F774" t="s">
        <v>583</v>
      </c>
      <c r="G774">
        <v>1</v>
      </c>
      <c r="H774" t="s">
        <v>12</v>
      </c>
    </row>
    <row r="775" spans="1:8" hidden="1">
      <c r="A775" t="s">
        <v>194</v>
      </c>
      <c r="B775" t="s">
        <v>533</v>
      </c>
      <c r="C775" t="s">
        <v>534</v>
      </c>
      <c r="D775" t="s">
        <v>582</v>
      </c>
      <c r="E775">
        <v>49</v>
      </c>
      <c r="F775" t="s">
        <v>583</v>
      </c>
      <c r="G775">
        <v>1</v>
      </c>
      <c r="H775" t="s">
        <v>12</v>
      </c>
    </row>
    <row r="776" spans="1:8" hidden="1">
      <c r="A776" t="s">
        <v>194</v>
      </c>
      <c r="B776" t="s">
        <v>209</v>
      </c>
      <c r="C776" t="s">
        <v>210</v>
      </c>
      <c r="D776" t="s">
        <v>582</v>
      </c>
      <c r="E776">
        <v>50</v>
      </c>
      <c r="F776" t="s">
        <v>583</v>
      </c>
      <c r="G776">
        <v>1</v>
      </c>
      <c r="H776" t="s">
        <v>12</v>
      </c>
    </row>
    <row r="777" spans="1:8" hidden="1">
      <c r="A777" t="s">
        <v>194</v>
      </c>
      <c r="B777" t="s">
        <v>213</v>
      </c>
      <c r="C777" t="s">
        <v>214</v>
      </c>
      <c r="D777" t="s">
        <v>582</v>
      </c>
      <c r="E777">
        <v>55</v>
      </c>
      <c r="F777" t="s">
        <v>583</v>
      </c>
      <c r="G777">
        <v>1</v>
      </c>
      <c r="H777" t="s">
        <v>12</v>
      </c>
    </row>
    <row r="778" spans="1:8" hidden="1">
      <c r="A778" t="s">
        <v>194</v>
      </c>
      <c r="B778" t="s">
        <v>215</v>
      </c>
      <c r="C778" t="s">
        <v>216</v>
      </c>
      <c r="D778" t="s">
        <v>582</v>
      </c>
      <c r="E778">
        <v>43</v>
      </c>
      <c r="F778" t="s">
        <v>583</v>
      </c>
      <c r="G778">
        <v>1</v>
      </c>
      <c r="H778" t="s">
        <v>12</v>
      </c>
    </row>
    <row r="779" spans="1:8" hidden="1">
      <c r="A779" t="s">
        <v>194</v>
      </c>
      <c r="B779" t="s">
        <v>535</v>
      </c>
      <c r="C779" t="s">
        <v>536</v>
      </c>
      <c r="D779" t="s">
        <v>582</v>
      </c>
      <c r="E779">
        <v>52</v>
      </c>
      <c r="F779" t="s">
        <v>583</v>
      </c>
      <c r="G779">
        <v>1</v>
      </c>
      <c r="H779" t="s">
        <v>12</v>
      </c>
    </row>
    <row r="780" spans="1:8" hidden="1">
      <c r="A780" t="s">
        <v>322</v>
      </c>
      <c r="B780" t="s">
        <v>539</v>
      </c>
      <c r="C780" t="s">
        <v>540</v>
      </c>
      <c r="D780" t="s">
        <v>582</v>
      </c>
      <c r="E780">
        <v>42</v>
      </c>
      <c r="F780" t="s">
        <v>583</v>
      </c>
      <c r="G780">
        <v>1</v>
      </c>
      <c r="H780" t="s">
        <v>12</v>
      </c>
    </row>
    <row r="781" spans="1:8" hidden="1">
      <c r="A781" t="s">
        <v>322</v>
      </c>
      <c r="B781" t="s">
        <v>325</v>
      </c>
      <c r="C781" t="s">
        <v>326</v>
      </c>
      <c r="D781" t="s">
        <v>582</v>
      </c>
      <c r="E781">
        <v>44</v>
      </c>
      <c r="F781" t="s">
        <v>583</v>
      </c>
      <c r="G781">
        <v>1</v>
      </c>
      <c r="H781" t="s">
        <v>12</v>
      </c>
    </row>
    <row r="782" spans="1:8" hidden="1">
      <c r="A782" t="s">
        <v>322</v>
      </c>
      <c r="B782" t="s">
        <v>329</v>
      </c>
      <c r="C782" t="s">
        <v>330</v>
      </c>
      <c r="D782" t="s">
        <v>582</v>
      </c>
      <c r="E782">
        <v>44</v>
      </c>
      <c r="F782" t="s">
        <v>583</v>
      </c>
      <c r="G782">
        <v>1</v>
      </c>
      <c r="H782" t="s">
        <v>12</v>
      </c>
    </row>
    <row r="783" spans="1:8" hidden="1">
      <c r="A783" t="s">
        <v>217</v>
      </c>
      <c r="B783" t="s">
        <v>367</v>
      </c>
      <c r="C783" t="s">
        <v>368</v>
      </c>
      <c r="D783" t="s">
        <v>582</v>
      </c>
      <c r="E783">
        <v>49</v>
      </c>
      <c r="F783" t="s">
        <v>583</v>
      </c>
      <c r="G783">
        <v>1</v>
      </c>
      <c r="H783" t="s">
        <v>12</v>
      </c>
    </row>
    <row r="784" spans="1:8" hidden="1">
      <c r="A784" t="s">
        <v>217</v>
      </c>
      <c r="B784" t="s">
        <v>224</v>
      </c>
      <c r="C784" t="s">
        <v>225</v>
      </c>
      <c r="D784" t="s">
        <v>582</v>
      </c>
      <c r="E784">
        <v>53</v>
      </c>
      <c r="F784" t="s">
        <v>583</v>
      </c>
      <c r="G784">
        <v>1</v>
      </c>
      <c r="H784" t="s">
        <v>12</v>
      </c>
    </row>
    <row r="785" spans="1:8" hidden="1">
      <c r="A785" t="s">
        <v>217</v>
      </c>
      <c r="B785" t="s">
        <v>381</v>
      </c>
      <c r="C785" t="s">
        <v>382</v>
      </c>
      <c r="D785" t="s">
        <v>582</v>
      </c>
      <c r="E785">
        <v>52</v>
      </c>
      <c r="F785" t="s">
        <v>583</v>
      </c>
      <c r="G785">
        <v>1</v>
      </c>
      <c r="H785" t="s">
        <v>12</v>
      </c>
    </row>
    <row r="786" spans="1:8" hidden="1">
      <c r="A786" t="s">
        <v>217</v>
      </c>
      <c r="B786" t="s">
        <v>383</v>
      </c>
      <c r="C786" t="s">
        <v>384</v>
      </c>
      <c r="D786" t="s">
        <v>582</v>
      </c>
      <c r="E786">
        <v>46</v>
      </c>
      <c r="F786" t="s">
        <v>583</v>
      </c>
      <c r="G786">
        <v>1</v>
      </c>
      <c r="H786" t="s">
        <v>12</v>
      </c>
    </row>
    <row r="787" spans="1:8" hidden="1">
      <c r="A787" t="s">
        <v>217</v>
      </c>
      <c r="B787" t="s">
        <v>586</v>
      </c>
      <c r="C787" t="s">
        <v>587</v>
      </c>
      <c r="D787" t="s">
        <v>582</v>
      </c>
      <c r="E787">
        <v>44</v>
      </c>
      <c r="F787" t="s">
        <v>583</v>
      </c>
      <c r="G787">
        <v>1</v>
      </c>
      <c r="H787" t="s">
        <v>12</v>
      </c>
    </row>
    <row r="788" spans="1:8" hidden="1">
      <c r="A788" t="s">
        <v>217</v>
      </c>
      <c r="B788" t="s">
        <v>385</v>
      </c>
      <c r="C788" t="s">
        <v>386</v>
      </c>
      <c r="D788" t="s">
        <v>582</v>
      </c>
      <c r="E788">
        <v>49</v>
      </c>
      <c r="F788" t="s">
        <v>583</v>
      </c>
      <c r="G788">
        <v>1</v>
      </c>
      <c r="H788" t="s">
        <v>12</v>
      </c>
    </row>
    <row r="789" spans="1:8" hidden="1">
      <c r="A789" t="s">
        <v>217</v>
      </c>
      <c r="B789" t="s">
        <v>230</v>
      </c>
      <c r="C789" t="s">
        <v>231</v>
      </c>
      <c r="D789" t="s">
        <v>582</v>
      </c>
      <c r="E789">
        <v>42</v>
      </c>
      <c r="F789" t="s">
        <v>583</v>
      </c>
      <c r="G789">
        <v>1</v>
      </c>
      <c r="H789" t="s">
        <v>12</v>
      </c>
    </row>
    <row r="790" spans="1:8" hidden="1">
      <c r="A790" t="s">
        <v>122</v>
      </c>
      <c r="B790" t="s">
        <v>127</v>
      </c>
      <c r="C790" t="s">
        <v>128</v>
      </c>
      <c r="D790" t="s">
        <v>582</v>
      </c>
      <c r="E790">
        <v>49</v>
      </c>
      <c r="F790" t="s">
        <v>583</v>
      </c>
      <c r="G790">
        <v>1</v>
      </c>
      <c r="H790" t="s">
        <v>12</v>
      </c>
    </row>
    <row r="791" spans="1:8" hidden="1">
      <c r="A791" t="s">
        <v>122</v>
      </c>
      <c r="B791" t="s">
        <v>435</v>
      </c>
      <c r="C791" t="s">
        <v>436</v>
      </c>
      <c r="D791" t="s">
        <v>582</v>
      </c>
      <c r="E791">
        <v>47</v>
      </c>
      <c r="F791" t="s">
        <v>583</v>
      </c>
      <c r="G791">
        <v>1</v>
      </c>
      <c r="H791" t="s">
        <v>12</v>
      </c>
    </row>
    <row r="792" spans="1:8" hidden="1">
      <c r="A792" t="s">
        <v>122</v>
      </c>
      <c r="B792" t="s">
        <v>137</v>
      </c>
      <c r="C792" t="s">
        <v>138</v>
      </c>
      <c r="D792" t="s">
        <v>582</v>
      </c>
      <c r="E792">
        <v>54</v>
      </c>
      <c r="F792" t="s">
        <v>583</v>
      </c>
      <c r="G792">
        <v>1</v>
      </c>
      <c r="H792" t="s">
        <v>12</v>
      </c>
    </row>
    <row r="793" spans="1:8" hidden="1">
      <c r="A793" t="s">
        <v>122</v>
      </c>
      <c r="B793" t="s">
        <v>139</v>
      </c>
      <c r="C793" t="s">
        <v>140</v>
      </c>
      <c r="D793" t="s">
        <v>582</v>
      </c>
      <c r="E793">
        <v>54</v>
      </c>
      <c r="F793" t="s">
        <v>583</v>
      </c>
      <c r="G793">
        <v>1</v>
      </c>
      <c r="H793" t="s">
        <v>12</v>
      </c>
    </row>
    <row r="794" spans="1:8" hidden="1">
      <c r="A794" t="s">
        <v>234</v>
      </c>
      <c r="B794" t="s">
        <v>614</v>
      </c>
      <c r="C794" t="s">
        <v>615</v>
      </c>
      <c r="D794" t="s">
        <v>582</v>
      </c>
      <c r="E794">
        <v>55</v>
      </c>
      <c r="F794" t="s">
        <v>583</v>
      </c>
      <c r="G794">
        <v>1</v>
      </c>
      <c r="H794" t="s">
        <v>12</v>
      </c>
    </row>
    <row r="795" spans="1:8" hidden="1">
      <c r="A795" t="s">
        <v>234</v>
      </c>
      <c r="B795" t="s">
        <v>616</v>
      </c>
      <c r="C795" t="s">
        <v>617</v>
      </c>
      <c r="D795" t="s">
        <v>582</v>
      </c>
      <c r="E795">
        <v>43</v>
      </c>
      <c r="F795" t="s">
        <v>583</v>
      </c>
      <c r="G795">
        <v>1</v>
      </c>
      <c r="H795" t="s">
        <v>12</v>
      </c>
    </row>
    <row r="796" spans="1:8" hidden="1">
      <c r="A796" t="s">
        <v>234</v>
      </c>
      <c r="B796" t="s">
        <v>618</v>
      </c>
      <c r="C796" t="s">
        <v>619</v>
      </c>
      <c r="D796" t="s">
        <v>582</v>
      </c>
      <c r="E796">
        <v>53</v>
      </c>
      <c r="F796" t="s">
        <v>583</v>
      </c>
      <c r="G796">
        <v>1</v>
      </c>
      <c r="H796" t="s">
        <v>12</v>
      </c>
    </row>
    <row r="797" spans="1:8" hidden="1">
      <c r="A797" t="s">
        <v>335</v>
      </c>
      <c r="B797" t="s">
        <v>387</v>
      </c>
      <c r="C797" t="s">
        <v>388</v>
      </c>
      <c r="D797" t="s">
        <v>582</v>
      </c>
      <c r="E797">
        <v>45</v>
      </c>
      <c r="F797" t="s">
        <v>583</v>
      </c>
      <c r="G797">
        <v>1</v>
      </c>
      <c r="H797" t="s">
        <v>12</v>
      </c>
    </row>
    <row r="798" spans="1:8" hidden="1">
      <c r="A798" t="s">
        <v>335</v>
      </c>
      <c r="B798" t="s">
        <v>391</v>
      </c>
      <c r="C798" t="s">
        <v>392</v>
      </c>
      <c r="D798" t="s">
        <v>582</v>
      </c>
      <c r="E798">
        <v>46</v>
      </c>
      <c r="F798" t="s">
        <v>583</v>
      </c>
      <c r="G798">
        <v>1</v>
      </c>
      <c r="H798" t="s">
        <v>12</v>
      </c>
    </row>
    <row r="799" spans="1:8" hidden="1">
      <c r="A799" t="s">
        <v>335</v>
      </c>
      <c r="B799" t="s">
        <v>395</v>
      </c>
      <c r="C799" t="s">
        <v>396</v>
      </c>
      <c r="D799" t="s">
        <v>582</v>
      </c>
      <c r="E799">
        <v>55</v>
      </c>
      <c r="F799" t="s">
        <v>583</v>
      </c>
      <c r="G799">
        <v>1</v>
      </c>
      <c r="H799" t="s">
        <v>12</v>
      </c>
    </row>
    <row r="800" spans="1:8" hidden="1">
      <c r="A800" t="s">
        <v>335</v>
      </c>
      <c r="B800" t="s">
        <v>401</v>
      </c>
      <c r="C800" t="s">
        <v>402</v>
      </c>
      <c r="D800" t="s">
        <v>582</v>
      </c>
      <c r="E800">
        <v>42</v>
      </c>
      <c r="F800" t="s">
        <v>583</v>
      </c>
      <c r="G800">
        <v>1</v>
      </c>
      <c r="H800" t="s">
        <v>12</v>
      </c>
    </row>
    <row r="801" spans="1:8" hidden="1">
      <c r="A801" t="s">
        <v>335</v>
      </c>
      <c r="B801" t="s">
        <v>403</v>
      </c>
      <c r="C801" t="s">
        <v>404</v>
      </c>
      <c r="D801" t="s">
        <v>582</v>
      </c>
      <c r="E801">
        <v>48</v>
      </c>
      <c r="F801" t="s">
        <v>583</v>
      </c>
      <c r="G801">
        <v>1</v>
      </c>
      <c r="H801" t="s">
        <v>12</v>
      </c>
    </row>
    <row r="802" spans="1:8" hidden="1">
      <c r="A802" t="s">
        <v>335</v>
      </c>
      <c r="B802" t="s">
        <v>405</v>
      </c>
      <c r="C802" t="s">
        <v>406</v>
      </c>
      <c r="D802" t="s">
        <v>582</v>
      </c>
      <c r="E802">
        <v>41</v>
      </c>
      <c r="F802" t="s">
        <v>583</v>
      </c>
      <c r="G802">
        <v>1</v>
      </c>
      <c r="H802" t="s">
        <v>12</v>
      </c>
    </row>
    <row r="803" spans="1:8" hidden="1">
      <c r="A803" t="s">
        <v>335</v>
      </c>
      <c r="B803" t="s">
        <v>409</v>
      </c>
      <c r="C803" t="s">
        <v>410</v>
      </c>
      <c r="D803" t="s">
        <v>582</v>
      </c>
      <c r="E803">
        <v>47</v>
      </c>
      <c r="F803" t="s">
        <v>583</v>
      </c>
      <c r="G803">
        <v>1</v>
      </c>
      <c r="H803" t="s">
        <v>12</v>
      </c>
    </row>
    <row r="804" spans="1:8" hidden="1">
      <c r="A804" t="s">
        <v>335</v>
      </c>
      <c r="B804" t="s">
        <v>336</v>
      </c>
      <c r="C804" t="s">
        <v>337</v>
      </c>
      <c r="D804" t="s">
        <v>582</v>
      </c>
      <c r="E804">
        <v>47</v>
      </c>
      <c r="F804" t="s">
        <v>583</v>
      </c>
      <c r="G804">
        <v>1</v>
      </c>
      <c r="H804" t="s">
        <v>12</v>
      </c>
    </row>
    <row r="805" spans="1:8" hidden="1">
      <c r="A805" t="s">
        <v>7</v>
      </c>
      <c r="B805" t="s">
        <v>745</v>
      </c>
      <c r="C805" t="s">
        <v>746</v>
      </c>
      <c r="D805" t="s">
        <v>712</v>
      </c>
      <c r="E805">
        <v>50</v>
      </c>
      <c r="F805" t="s">
        <v>11</v>
      </c>
      <c r="G805">
        <v>2</v>
      </c>
      <c r="H805" t="s">
        <v>12</v>
      </c>
    </row>
    <row r="806" spans="1:8" hidden="1">
      <c r="A806" t="s">
        <v>7</v>
      </c>
      <c r="B806" t="s">
        <v>13</v>
      </c>
      <c r="C806" t="s">
        <v>14</v>
      </c>
      <c r="D806" t="s">
        <v>712</v>
      </c>
      <c r="E806">
        <v>51</v>
      </c>
      <c r="F806" t="s">
        <v>11</v>
      </c>
      <c r="G806">
        <v>2</v>
      </c>
      <c r="H806" t="s">
        <v>12</v>
      </c>
    </row>
    <row r="807" spans="1:8" hidden="1">
      <c r="A807" t="s">
        <v>7</v>
      </c>
      <c r="B807" t="s">
        <v>747</v>
      </c>
      <c r="C807" t="s">
        <v>748</v>
      </c>
      <c r="D807" t="s">
        <v>712</v>
      </c>
      <c r="E807">
        <v>42</v>
      </c>
      <c r="F807" t="s">
        <v>11</v>
      </c>
      <c r="G807">
        <v>2</v>
      </c>
      <c r="H807" t="s">
        <v>12</v>
      </c>
    </row>
    <row r="808" spans="1:8" hidden="1">
      <c r="A808" t="s">
        <v>7</v>
      </c>
      <c r="B808" t="s">
        <v>15</v>
      </c>
      <c r="C808" t="s">
        <v>16</v>
      </c>
      <c r="D808" t="s">
        <v>712</v>
      </c>
      <c r="E808">
        <v>40</v>
      </c>
      <c r="F808" t="s">
        <v>11</v>
      </c>
      <c r="G808">
        <v>2</v>
      </c>
      <c r="H808" t="s">
        <v>12</v>
      </c>
    </row>
    <row r="809" spans="1:8" hidden="1">
      <c r="A809" t="s">
        <v>7</v>
      </c>
      <c r="B809" t="s">
        <v>749</v>
      </c>
      <c r="C809" t="s">
        <v>750</v>
      </c>
      <c r="D809" t="s">
        <v>712</v>
      </c>
      <c r="E809">
        <v>53</v>
      </c>
      <c r="F809" t="s">
        <v>11</v>
      </c>
      <c r="G809">
        <v>2</v>
      </c>
      <c r="H809" t="s">
        <v>12</v>
      </c>
    </row>
    <row r="810" spans="1:8" hidden="1">
      <c r="A810" t="s">
        <v>7</v>
      </c>
      <c r="B810" t="s">
        <v>17</v>
      </c>
      <c r="C810" t="s">
        <v>18</v>
      </c>
      <c r="D810" t="s">
        <v>712</v>
      </c>
      <c r="E810">
        <v>45</v>
      </c>
      <c r="F810" t="s">
        <v>11</v>
      </c>
      <c r="G810">
        <v>2</v>
      </c>
      <c r="H810" t="s">
        <v>12</v>
      </c>
    </row>
    <row r="811" spans="1:8" hidden="1">
      <c r="A811" t="s">
        <v>7</v>
      </c>
      <c r="B811" t="s">
        <v>19</v>
      </c>
      <c r="C811" t="s">
        <v>20</v>
      </c>
      <c r="D811" t="s">
        <v>712</v>
      </c>
      <c r="E811">
        <v>54</v>
      </c>
      <c r="F811" t="s">
        <v>11</v>
      </c>
      <c r="G811">
        <v>2</v>
      </c>
      <c r="H811" t="s">
        <v>12</v>
      </c>
    </row>
    <row r="812" spans="1:8" hidden="1">
      <c r="A812" t="s">
        <v>7</v>
      </c>
      <c r="B812" t="s">
        <v>23</v>
      </c>
      <c r="C812" t="s">
        <v>24</v>
      </c>
      <c r="D812" t="s">
        <v>712</v>
      </c>
      <c r="E812">
        <v>44</v>
      </c>
      <c r="F812" t="s">
        <v>11</v>
      </c>
      <c r="G812">
        <v>2</v>
      </c>
      <c r="H812" t="s">
        <v>12</v>
      </c>
    </row>
    <row r="813" spans="1:8" hidden="1">
      <c r="A813" t="s">
        <v>7</v>
      </c>
      <c r="B813" t="s">
        <v>667</v>
      </c>
      <c r="C813" t="s">
        <v>668</v>
      </c>
      <c r="D813" t="s">
        <v>712</v>
      </c>
      <c r="E813">
        <v>46</v>
      </c>
      <c r="F813" t="s">
        <v>11</v>
      </c>
      <c r="G813">
        <v>2</v>
      </c>
      <c r="H813" t="s">
        <v>12</v>
      </c>
    </row>
    <row r="814" spans="1:8" hidden="1">
      <c r="A814" t="s">
        <v>7</v>
      </c>
      <c r="B814" t="s">
        <v>548</v>
      </c>
      <c r="C814" t="s">
        <v>549</v>
      </c>
      <c r="D814" t="s">
        <v>712</v>
      </c>
      <c r="E814">
        <v>45</v>
      </c>
      <c r="F814" t="s">
        <v>11</v>
      </c>
      <c r="G814">
        <v>2</v>
      </c>
      <c r="H814" t="s">
        <v>12</v>
      </c>
    </row>
    <row r="815" spans="1:8" hidden="1">
      <c r="A815" t="s">
        <v>7</v>
      </c>
      <c r="B815" t="s">
        <v>550</v>
      </c>
      <c r="C815" t="s">
        <v>551</v>
      </c>
      <c r="D815" t="s">
        <v>712</v>
      </c>
      <c r="E815">
        <v>46</v>
      </c>
      <c r="F815" t="s">
        <v>11</v>
      </c>
      <c r="G815">
        <v>2</v>
      </c>
      <c r="H815" t="s">
        <v>12</v>
      </c>
    </row>
    <row r="816" spans="1:8" hidden="1">
      <c r="A816" t="s">
        <v>84</v>
      </c>
      <c r="B816" t="s">
        <v>89</v>
      </c>
      <c r="C816" t="s">
        <v>90</v>
      </c>
      <c r="D816" t="s">
        <v>712</v>
      </c>
      <c r="E816">
        <v>54</v>
      </c>
      <c r="F816" t="s">
        <v>11</v>
      </c>
      <c r="G816">
        <v>2</v>
      </c>
      <c r="H816" t="s">
        <v>12</v>
      </c>
    </row>
    <row r="817" spans="1:8" hidden="1">
      <c r="A817" t="s">
        <v>84</v>
      </c>
      <c r="B817" t="s">
        <v>751</v>
      </c>
      <c r="C817" t="s">
        <v>752</v>
      </c>
      <c r="D817" t="s">
        <v>712</v>
      </c>
      <c r="E817">
        <v>42</v>
      </c>
      <c r="F817" t="s">
        <v>11</v>
      </c>
      <c r="G817">
        <v>2</v>
      </c>
      <c r="H817" t="s">
        <v>12</v>
      </c>
    </row>
    <row r="818" spans="1:8" hidden="1">
      <c r="A818" t="s">
        <v>84</v>
      </c>
      <c r="B818" t="s">
        <v>604</v>
      </c>
      <c r="C818" t="s">
        <v>605</v>
      </c>
      <c r="D818" t="s">
        <v>712</v>
      </c>
      <c r="E818">
        <v>45</v>
      </c>
      <c r="F818" t="s">
        <v>11</v>
      </c>
      <c r="G818">
        <v>2</v>
      </c>
      <c r="H818" t="s">
        <v>12</v>
      </c>
    </row>
    <row r="819" spans="1:8" hidden="1">
      <c r="A819" t="s">
        <v>84</v>
      </c>
      <c r="B819" t="s">
        <v>753</v>
      </c>
      <c r="C819" t="s">
        <v>754</v>
      </c>
      <c r="D819" t="s">
        <v>712</v>
      </c>
      <c r="E819">
        <v>46</v>
      </c>
      <c r="F819" t="s">
        <v>11</v>
      </c>
      <c r="G819">
        <v>2</v>
      </c>
      <c r="H819" t="s">
        <v>12</v>
      </c>
    </row>
    <row r="820" spans="1:8" hidden="1">
      <c r="A820" t="s">
        <v>84</v>
      </c>
      <c r="B820" t="s">
        <v>755</v>
      </c>
      <c r="C820" t="s">
        <v>756</v>
      </c>
      <c r="D820" t="s">
        <v>712</v>
      </c>
      <c r="E820">
        <v>54</v>
      </c>
      <c r="F820" t="s">
        <v>11</v>
      </c>
      <c r="G820">
        <v>2</v>
      </c>
      <c r="H820" t="s">
        <v>12</v>
      </c>
    </row>
    <row r="821" spans="1:8" hidden="1">
      <c r="A821" t="s">
        <v>25</v>
      </c>
      <c r="B821" t="s">
        <v>710</v>
      </c>
      <c r="C821" t="s">
        <v>711</v>
      </c>
      <c r="D821" t="s">
        <v>712</v>
      </c>
      <c r="E821">
        <v>31</v>
      </c>
      <c r="F821" t="s">
        <v>11</v>
      </c>
      <c r="G821">
        <v>2</v>
      </c>
      <c r="H821" t="s">
        <v>12</v>
      </c>
    </row>
    <row r="822" spans="1:8" hidden="1">
      <c r="A822" t="s">
        <v>25</v>
      </c>
      <c r="B822" t="s">
        <v>30</v>
      </c>
      <c r="C822" t="s">
        <v>31</v>
      </c>
      <c r="D822" t="s">
        <v>712</v>
      </c>
      <c r="E822">
        <v>51</v>
      </c>
      <c r="F822" t="s">
        <v>11</v>
      </c>
      <c r="G822">
        <v>2</v>
      </c>
      <c r="H822" t="s">
        <v>12</v>
      </c>
    </row>
    <row r="823" spans="1:8" hidden="1">
      <c r="A823" t="s">
        <v>25</v>
      </c>
      <c r="B823" t="s">
        <v>713</v>
      </c>
      <c r="C823" t="s">
        <v>714</v>
      </c>
      <c r="D823" t="s">
        <v>712</v>
      </c>
      <c r="E823">
        <v>40</v>
      </c>
      <c r="F823" t="s">
        <v>11</v>
      </c>
      <c r="G823">
        <v>2</v>
      </c>
      <c r="H823" t="s">
        <v>12</v>
      </c>
    </row>
    <row r="824" spans="1:8" hidden="1">
      <c r="A824" t="s">
        <v>25</v>
      </c>
      <c r="B824" t="s">
        <v>347</v>
      </c>
      <c r="C824" t="s">
        <v>348</v>
      </c>
      <c r="D824" t="s">
        <v>712</v>
      </c>
      <c r="E824">
        <v>49</v>
      </c>
      <c r="F824" t="s">
        <v>11</v>
      </c>
      <c r="G824">
        <v>2</v>
      </c>
      <c r="H824" t="s">
        <v>12</v>
      </c>
    </row>
    <row r="825" spans="1:8" hidden="1">
      <c r="A825" t="s">
        <v>25</v>
      </c>
      <c r="B825" t="s">
        <v>671</v>
      </c>
      <c r="C825" t="s">
        <v>672</v>
      </c>
      <c r="D825" t="s">
        <v>712</v>
      </c>
      <c r="E825">
        <v>45</v>
      </c>
      <c r="F825" t="s">
        <v>11</v>
      </c>
      <c r="G825">
        <v>2</v>
      </c>
      <c r="H825" t="s">
        <v>12</v>
      </c>
    </row>
    <row r="826" spans="1:8" hidden="1">
      <c r="A826" t="s">
        <v>25</v>
      </c>
      <c r="B826" t="s">
        <v>38</v>
      </c>
      <c r="C826" t="s">
        <v>39</v>
      </c>
      <c r="D826" t="s">
        <v>712</v>
      </c>
      <c r="E826">
        <v>40</v>
      </c>
      <c r="F826" t="s">
        <v>11</v>
      </c>
      <c r="G826">
        <v>2</v>
      </c>
      <c r="H826" t="s">
        <v>12</v>
      </c>
    </row>
    <row r="827" spans="1:8" hidden="1">
      <c r="A827" t="s">
        <v>25</v>
      </c>
      <c r="B827" t="s">
        <v>703</v>
      </c>
      <c r="C827" t="s">
        <v>704</v>
      </c>
      <c r="D827" t="s">
        <v>712</v>
      </c>
      <c r="E827">
        <v>50</v>
      </c>
      <c r="F827" t="s">
        <v>11</v>
      </c>
      <c r="G827">
        <v>2</v>
      </c>
      <c r="H827" t="s">
        <v>12</v>
      </c>
    </row>
    <row r="828" spans="1:8" hidden="1">
      <c r="A828" t="s">
        <v>25</v>
      </c>
      <c r="B828" t="s">
        <v>40</v>
      </c>
      <c r="C828" t="s">
        <v>41</v>
      </c>
      <c r="D828" t="s">
        <v>712</v>
      </c>
      <c r="E828">
        <v>46</v>
      </c>
      <c r="F828" t="s">
        <v>11</v>
      </c>
      <c r="G828">
        <v>2</v>
      </c>
      <c r="H828" t="s">
        <v>12</v>
      </c>
    </row>
    <row r="829" spans="1:8" hidden="1">
      <c r="A829" t="s">
        <v>25</v>
      </c>
      <c r="B829" t="s">
        <v>42</v>
      </c>
      <c r="C829" t="s">
        <v>43</v>
      </c>
      <c r="D829" t="s">
        <v>712</v>
      </c>
      <c r="E829">
        <v>51</v>
      </c>
      <c r="F829" t="s">
        <v>11</v>
      </c>
      <c r="G829">
        <v>2</v>
      </c>
      <c r="H829" t="s">
        <v>12</v>
      </c>
    </row>
    <row r="830" spans="1:8" hidden="1">
      <c r="A830" t="s">
        <v>25</v>
      </c>
      <c r="B830" t="s">
        <v>349</v>
      </c>
      <c r="C830" t="s">
        <v>350</v>
      </c>
      <c r="D830" t="s">
        <v>712</v>
      </c>
      <c r="E830">
        <v>47</v>
      </c>
      <c r="F830" t="s">
        <v>11</v>
      </c>
      <c r="G830">
        <v>2</v>
      </c>
      <c r="H830" t="s">
        <v>12</v>
      </c>
    </row>
    <row r="831" spans="1:8" hidden="1">
      <c r="A831" t="s">
        <v>246</v>
      </c>
      <c r="B831" t="s">
        <v>249</v>
      </c>
      <c r="C831" t="s">
        <v>250</v>
      </c>
      <c r="D831" t="s">
        <v>712</v>
      </c>
      <c r="E831">
        <v>40</v>
      </c>
      <c r="F831" t="s">
        <v>11</v>
      </c>
      <c r="G831">
        <v>2</v>
      </c>
      <c r="H831" t="s">
        <v>12</v>
      </c>
    </row>
    <row r="832" spans="1:8" hidden="1">
      <c r="A832" t="s">
        <v>246</v>
      </c>
      <c r="B832" t="s">
        <v>251</v>
      </c>
      <c r="C832" t="s">
        <v>252</v>
      </c>
      <c r="D832" t="s">
        <v>712</v>
      </c>
      <c r="E832">
        <v>40</v>
      </c>
      <c r="F832" t="s">
        <v>11</v>
      </c>
      <c r="G832">
        <v>2</v>
      </c>
      <c r="H832" t="s">
        <v>12</v>
      </c>
    </row>
    <row r="833" spans="1:8" hidden="1">
      <c r="A833" t="s">
        <v>246</v>
      </c>
      <c r="B833" t="s">
        <v>253</v>
      </c>
      <c r="C833" t="s">
        <v>254</v>
      </c>
      <c r="D833" t="s">
        <v>712</v>
      </c>
      <c r="E833">
        <v>40</v>
      </c>
      <c r="F833" t="s">
        <v>11</v>
      </c>
      <c r="G833">
        <v>2</v>
      </c>
      <c r="H833" t="s">
        <v>12</v>
      </c>
    </row>
    <row r="834" spans="1:8" hidden="1">
      <c r="A834" t="s">
        <v>246</v>
      </c>
      <c r="B834" t="s">
        <v>255</v>
      </c>
      <c r="C834" t="s">
        <v>256</v>
      </c>
      <c r="D834" t="s">
        <v>712</v>
      </c>
      <c r="E834">
        <v>48</v>
      </c>
      <c r="F834" t="s">
        <v>11</v>
      </c>
      <c r="G834">
        <v>2</v>
      </c>
      <c r="H834" t="s">
        <v>12</v>
      </c>
    </row>
    <row r="835" spans="1:8" hidden="1">
      <c r="A835" t="s">
        <v>246</v>
      </c>
      <c r="B835" t="s">
        <v>259</v>
      </c>
      <c r="C835" t="s">
        <v>260</v>
      </c>
      <c r="D835" t="s">
        <v>712</v>
      </c>
      <c r="E835">
        <v>40</v>
      </c>
      <c r="F835" t="s">
        <v>11</v>
      </c>
      <c r="G835">
        <v>2</v>
      </c>
      <c r="H835" t="s">
        <v>12</v>
      </c>
    </row>
    <row r="836" spans="1:8" hidden="1">
      <c r="A836" t="s">
        <v>246</v>
      </c>
      <c r="B836" t="s">
        <v>413</v>
      </c>
      <c r="C836" t="s">
        <v>414</v>
      </c>
      <c r="D836" t="s">
        <v>712</v>
      </c>
      <c r="E836">
        <v>44</v>
      </c>
      <c r="F836" t="s">
        <v>11</v>
      </c>
      <c r="G836">
        <v>2</v>
      </c>
      <c r="H836" t="s">
        <v>12</v>
      </c>
    </row>
    <row r="837" spans="1:8" hidden="1">
      <c r="A837" t="s">
        <v>246</v>
      </c>
      <c r="B837" t="s">
        <v>267</v>
      </c>
      <c r="C837" t="s">
        <v>268</v>
      </c>
      <c r="D837" t="s">
        <v>712</v>
      </c>
      <c r="E837">
        <v>40</v>
      </c>
      <c r="F837" t="s">
        <v>11</v>
      </c>
      <c r="G837">
        <v>2</v>
      </c>
      <c r="H837" t="s">
        <v>12</v>
      </c>
    </row>
    <row r="838" spans="1:8" hidden="1">
      <c r="A838" t="s">
        <v>246</v>
      </c>
      <c r="B838" t="s">
        <v>269</v>
      </c>
      <c r="C838" t="s">
        <v>270</v>
      </c>
      <c r="D838" t="s">
        <v>712</v>
      </c>
      <c r="E838">
        <v>50</v>
      </c>
      <c r="F838" t="s">
        <v>11</v>
      </c>
      <c r="G838">
        <v>2</v>
      </c>
      <c r="H838" t="s">
        <v>12</v>
      </c>
    </row>
    <row r="839" spans="1:8" hidden="1">
      <c r="A839" t="s">
        <v>246</v>
      </c>
      <c r="B839" t="s">
        <v>271</v>
      </c>
      <c r="C839" t="s">
        <v>272</v>
      </c>
      <c r="D839" t="s">
        <v>712</v>
      </c>
      <c r="E839">
        <v>44</v>
      </c>
      <c r="F839" t="s">
        <v>11</v>
      </c>
      <c r="G839">
        <v>2</v>
      </c>
      <c r="H839" t="s">
        <v>12</v>
      </c>
    </row>
    <row r="840" spans="1:8" hidden="1">
      <c r="A840" t="s">
        <v>246</v>
      </c>
      <c r="B840" t="s">
        <v>598</v>
      </c>
      <c r="C840" t="s">
        <v>599</v>
      </c>
      <c r="D840" t="s">
        <v>712</v>
      </c>
      <c r="E840">
        <v>50</v>
      </c>
      <c r="F840" t="s">
        <v>11</v>
      </c>
      <c r="G840">
        <v>2</v>
      </c>
      <c r="H840" t="s">
        <v>12</v>
      </c>
    </row>
    <row r="841" spans="1:8" hidden="1">
      <c r="A841" t="s">
        <v>279</v>
      </c>
      <c r="B841" t="s">
        <v>715</v>
      </c>
      <c r="C841" t="s">
        <v>716</v>
      </c>
      <c r="D841" t="s">
        <v>712</v>
      </c>
      <c r="E841">
        <v>47</v>
      </c>
      <c r="F841" t="s">
        <v>11</v>
      </c>
      <c r="G841">
        <v>2</v>
      </c>
      <c r="H841" t="s">
        <v>12</v>
      </c>
    </row>
    <row r="842" spans="1:8" hidden="1">
      <c r="A842" t="s">
        <v>279</v>
      </c>
      <c r="B842" t="s">
        <v>353</v>
      </c>
      <c r="C842" t="s">
        <v>354</v>
      </c>
      <c r="D842" t="s">
        <v>712</v>
      </c>
      <c r="E842">
        <v>50</v>
      </c>
      <c r="F842" t="s">
        <v>11</v>
      </c>
      <c r="G842">
        <v>2</v>
      </c>
      <c r="H842" t="s">
        <v>12</v>
      </c>
    </row>
    <row r="843" spans="1:8" hidden="1">
      <c r="A843" t="s">
        <v>279</v>
      </c>
      <c r="B843" t="s">
        <v>355</v>
      </c>
      <c r="C843" t="s">
        <v>356</v>
      </c>
      <c r="D843" t="s">
        <v>712</v>
      </c>
      <c r="E843">
        <v>51</v>
      </c>
      <c r="F843" t="s">
        <v>11</v>
      </c>
      <c r="G843">
        <v>2</v>
      </c>
      <c r="H843" t="s">
        <v>12</v>
      </c>
    </row>
    <row r="844" spans="1:8" hidden="1">
      <c r="A844" t="s">
        <v>279</v>
      </c>
      <c r="B844" t="s">
        <v>359</v>
      </c>
      <c r="C844" t="s">
        <v>360</v>
      </c>
      <c r="D844" t="s">
        <v>712</v>
      </c>
      <c r="E844">
        <v>40</v>
      </c>
      <c r="F844" t="s">
        <v>11</v>
      </c>
      <c r="G844">
        <v>2</v>
      </c>
      <c r="H844" t="s">
        <v>12</v>
      </c>
    </row>
    <row r="845" spans="1:8" hidden="1">
      <c r="A845" t="s">
        <v>279</v>
      </c>
      <c r="B845" t="s">
        <v>361</v>
      </c>
      <c r="C845" t="s">
        <v>362</v>
      </c>
      <c r="D845" t="s">
        <v>712</v>
      </c>
      <c r="E845">
        <v>48</v>
      </c>
      <c r="F845" t="s">
        <v>11</v>
      </c>
      <c r="G845">
        <v>2</v>
      </c>
      <c r="H845" t="s">
        <v>12</v>
      </c>
    </row>
    <row r="846" spans="1:8" hidden="1">
      <c r="A846" t="s">
        <v>174</v>
      </c>
      <c r="B846" t="s">
        <v>175</v>
      </c>
      <c r="C846" t="s">
        <v>176</v>
      </c>
      <c r="D846" t="s">
        <v>712</v>
      </c>
      <c r="E846">
        <v>44</v>
      </c>
      <c r="F846" t="s">
        <v>11</v>
      </c>
      <c r="G846">
        <v>2</v>
      </c>
      <c r="H846" t="s">
        <v>12</v>
      </c>
    </row>
    <row r="847" spans="1:8" hidden="1">
      <c r="A847" t="s">
        <v>174</v>
      </c>
      <c r="B847" t="s">
        <v>620</v>
      </c>
      <c r="C847" t="s">
        <v>621</v>
      </c>
      <c r="D847" t="s">
        <v>712</v>
      </c>
      <c r="E847">
        <v>54</v>
      </c>
      <c r="F847" t="s">
        <v>11</v>
      </c>
      <c r="G847">
        <v>2</v>
      </c>
      <c r="H847" t="s">
        <v>12</v>
      </c>
    </row>
    <row r="848" spans="1:8" hidden="1">
      <c r="A848" t="s">
        <v>174</v>
      </c>
      <c r="B848" t="s">
        <v>181</v>
      </c>
      <c r="C848" t="s">
        <v>182</v>
      </c>
      <c r="D848" t="s">
        <v>712</v>
      </c>
      <c r="E848">
        <v>50</v>
      </c>
      <c r="F848" t="s">
        <v>11</v>
      </c>
      <c r="G848">
        <v>2</v>
      </c>
      <c r="H848" t="s">
        <v>12</v>
      </c>
    </row>
    <row r="849" spans="1:8" hidden="1">
      <c r="A849" t="s">
        <v>174</v>
      </c>
      <c r="B849" t="s">
        <v>183</v>
      </c>
      <c r="C849" t="s">
        <v>184</v>
      </c>
      <c r="D849" t="s">
        <v>712</v>
      </c>
      <c r="E849">
        <v>50</v>
      </c>
      <c r="F849" t="s">
        <v>11</v>
      </c>
      <c r="G849">
        <v>2</v>
      </c>
      <c r="H849" t="s">
        <v>12</v>
      </c>
    </row>
    <row r="850" spans="1:8" hidden="1">
      <c r="A850" t="s">
        <v>174</v>
      </c>
      <c r="B850" t="s">
        <v>717</v>
      </c>
      <c r="C850" t="s">
        <v>718</v>
      </c>
      <c r="D850" t="s">
        <v>712</v>
      </c>
      <c r="E850">
        <v>54</v>
      </c>
      <c r="F850" t="s">
        <v>11</v>
      </c>
      <c r="G850">
        <v>2</v>
      </c>
      <c r="H850" t="s">
        <v>12</v>
      </c>
    </row>
    <row r="851" spans="1:8" hidden="1">
      <c r="A851" t="s">
        <v>174</v>
      </c>
      <c r="B851" t="s">
        <v>185</v>
      </c>
      <c r="C851" t="s">
        <v>186</v>
      </c>
      <c r="D851" t="s">
        <v>712</v>
      </c>
      <c r="E851">
        <v>48</v>
      </c>
      <c r="F851" t="s">
        <v>11</v>
      </c>
      <c r="G851">
        <v>2</v>
      </c>
      <c r="H851" t="s">
        <v>12</v>
      </c>
    </row>
    <row r="852" spans="1:8" hidden="1">
      <c r="A852" t="s">
        <v>174</v>
      </c>
      <c r="B852" t="s">
        <v>187</v>
      </c>
      <c r="C852" t="s">
        <v>188</v>
      </c>
      <c r="D852" t="s">
        <v>712</v>
      </c>
      <c r="E852">
        <v>50</v>
      </c>
      <c r="F852" t="s">
        <v>11</v>
      </c>
      <c r="G852">
        <v>2</v>
      </c>
      <c r="H852" t="s">
        <v>12</v>
      </c>
    </row>
    <row r="853" spans="1:8" hidden="1">
      <c r="A853" t="s">
        <v>174</v>
      </c>
      <c r="B853" t="s">
        <v>191</v>
      </c>
      <c r="C853" t="s">
        <v>151</v>
      </c>
      <c r="D853" t="s">
        <v>712</v>
      </c>
      <c r="E853">
        <v>41</v>
      </c>
      <c r="F853" t="s">
        <v>11</v>
      </c>
      <c r="G853">
        <v>2</v>
      </c>
      <c r="H853" t="s">
        <v>12</v>
      </c>
    </row>
    <row r="854" spans="1:8" hidden="1">
      <c r="A854" t="s">
        <v>174</v>
      </c>
      <c r="B854" t="s">
        <v>501</v>
      </c>
      <c r="C854" t="s">
        <v>502</v>
      </c>
      <c r="D854" t="s">
        <v>712</v>
      </c>
      <c r="E854">
        <v>42</v>
      </c>
      <c r="F854" t="s">
        <v>11</v>
      </c>
      <c r="G854">
        <v>2</v>
      </c>
      <c r="H854" t="s">
        <v>12</v>
      </c>
    </row>
    <row r="855" spans="1:8" hidden="1">
      <c r="A855" t="s">
        <v>65</v>
      </c>
      <c r="B855" t="s">
        <v>68</v>
      </c>
      <c r="C855" t="s">
        <v>69</v>
      </c>
      <c r="D855" t="s">
        <v>712</v>
      </c>
      <c r="E855">
        <v>50</v>
      </c>
      <c r="F855" t="s">
        <v>11</v>
      </c>
      <c r="G855">
        <v>2</v>
      </c>
      <c r="H855" t="s">
        <v>12</v>
      </c>
    </row>
    <row r="856" spans="1:8" hidden="1">
      <c r="A856" t="s">
        <v>65</v>
      </c>
      <c r="B856" t="s">
        <v>689</v>
      </c>
      <c r="C856" t="s">
        <v>690</v>
      </c>
      <c r="D856" t="s">
        <v>712</v>
      </c>
      <c r="E856">
        <v>54</v>
      </c>
      <c r="F856" t="s">
        <v>11</v>
      </c>
      <c r="G856">
        <v>2</v>
      </c>
      <c r="H856" t="s">
        <v>12</v>
      </c>
    </row>
    <row r="857" spans="1:8" hidden="1">
      <c r="A857" t="s">
        <v>65</v>
      </c>
      <c r="B857" t="s">
        <v>719</v>
      </c>
      <c r="C857" t="s">
        <v>720</v>
      </c>
      <c r="D857" t="s">
        <v>712</v>
      </c>
      <c r="E857">
        <v>54</v>
      </c>
      <c r="F857" t="s">
        <v>11</v>
      </c>
      <c r="G857">
        <v>2</v>
      </c>
      <c r="H857" t="s">
        <v>12</v>
      </c>
    </row>
    <row r="858" spans="1:8" hidden="1">
      <c r="A858" t="s">
        <v>65</v>
      </c>
      <c r="B858" t="s">
        <v>76</v>
      </c>
      <c r="C858" t="s">
        <v>77</v>
      </c>
      <c r="D858" t="s">
        <v>712</v>
      </c>
      <c r="E858">
        <v>53</v>
      </c>
      <c r="F858" t="s">
        <v>11</v>
      </c>
      <c r="G858">
        <v>2</v>
      </c>
      <c r="H858" t="s">
        <v>12</v>
      </c>
    </row>
    <row r="859" spans="1:8" hidden="1">
      <c r="A859" t="s">
        <v>65</v>
      </c>
      <c r="B859" t="s">
        <v>721</v>
      </c>
      <c r="C859" t="s">
        <v>722</v>
      </c>
      <c r="D859" t="s">
        <v>712</v>
      </c>
      <c r="E859">
        <v>53</v>
      </c>
      <c r="F859" t="s">
        <v>11</v>
      </c>
      <c r="G859">
        <v>2</v>
      </c>
      <c r="H859" t="s">
        <v>12</v>
      </c>
    </row>
    <row r="860" spans="1:8" hidden="1">
      <c r="A860" t="s">
        <v>65</v>
      </c>
      <c r="B860" t="s">
        <v>723</v>
      </c>
      <c r="C860" t="s">
        <v>724</v>
      </c>
      <c r="D860" t="s">
        <v>712</v>
      </c>
      <c r="E860">
        <v>50</v>
      </c>
      <c r="F860" t="s">
        <v>11</v>
      </c>
      <c r="G860">
        <v>2</v>
      </c>
      <c r="H860" t="s">
        <v>12</v>
      </c>
    </row>
    <row r="861" spans="1:8" hidden="1">
      <c r="A861" t="s">
        <v>65</v>
      </c>
      <c r="B861" t="s">
        <v>78</v>
      </c>
      <c r="C861" t="s">
        <v>79</v>
      </c>
      <c r="D861" t="s">
        <v>712</v>
      </c>
      <c r="E861">
        <v>40</v>
      </c>
      <c r="F861" t="s">
        <v>11</v>
      </c>
      <c r="G861">
        <v>2</v>
      </c>
      <c r="H861" t="s">
        <v>12</v>
      </c>
    </row>
    <row r="862" spans="1:8" hidden="1">
      <c r="A862" t="s">
        <v>65</v>
      </c>
      <c r="B862" t="s">
        <v>725</v>
      </c>
      <c r="C862" t="s">
        <v>726</v>
      </c>
      <c r="D862" t="s">
        <v>712</v>
      </c>
      <c r="E862">
        <v>54</v>
      </c>
      <c r="F862" t="s">
        <v>11</v>
      </c>
      <c r="G862">
        <v>2</v>
      </c>
      <c r="H862" t="s">
        <v>12</v>
      </c>
    </row>
    <row r="863" spans="1:8" hidden="1">
      <c r="A863" t="s">
        <v>65</v>
      </c>
      <c r="B863" t="s">
        <v>727</v>
      </c>
      <c r="C863" t="s">
        <v>728</v>
      </c>
      <c r="D863" t="s">
        <v>712</v>
      </c>
      <c r="E863">
        <v>46</v>
      </c>
      <c r="F863" t="s">
        <v>11</v>
      </c>
      <c r="G863">
        <v>2</v>
      </c>
      <c r="H863" t="s">
        <v>12</v>
      </c>
    </row>
    <row r="864" spans="1:8" hidden="1">
      <c r="A864" t="s">
        <v>65</v>
      </c>
      <c r="B864" t="s">
        <v>82</v>
      </c>
      <c r="C864" t="s">
        <v>83</v>
      </c>
      <c r="D864" t="s">
        <v>712</v>
      </c>
      <c r="E864">
        <v>36</v>
      </c>
      <c r="F864" t="s">
        <v>11</v>
      </c>
      <c r="G864">
        <v>2</v>
      </c>
      <c r="H864" t="s">
        <v>12</v>
      </c>
    </row>
    <row r="865" spans="1:8" hidden="1">
      <c r="A865" t="s">
        <v>294</v>
      </c>
      <c r="B865" t="s">
        <v>729</v>
      </c>
      <c r="C865" t="s">
        <v>730</v>
      </c>
      <c r="D865" t="s">
        <v>712</v>
      </c>
      <c r="E865">
        <v>41</v>
      </c>
      <c r="F865" t="s">
        <v>11</v>
      </c>
      <c r="G865">
        <v>2</v>
      </c>
      <c r="H865" t="s">
        <v>12</v>
      </c>
    </row>
    <row r="866" spans="1:8" hidden="1">
      <c r="A866" t="s">
        <v>294</v>
      </c>
      <c r="B866" t="s">
        <v>421</v>
      </c>
      <c r="C866" t="s">
        <v>422</v>
      </c>
      <c r="D866" t="s">
        <v>712</v>
      </c>
      <c r="E866">
        <v>53</v>
      </c>
      <c r="F866" t="s">
        <v>11</v>
      </c>
      <c r="G866">
        <v>2</v>
      </c>
      <c r="H866" t="s">
        <v>12</v>
      </c>
    </row>
    <row r="867" spans="1:8" hidden="1">
      <c r="A867" t="s">
        <v>294</v>
      </c>
      <c r="B867" t="s">
        <v>429</v>
      </c>
      <c r="C867" t="s">
        <v>430</v>
      </c>
      <c r="D867" t="s">
        <v>712</v>
      </c>
      <c r="E867">
        <v>40</v>
      </c>
      <c r="F867" t="s">
        <v>11</v>
      </c>
      <c r="G867">
        <v>2</v>
      </c>
      <c r="H867" t="s">
        <v>12</v>
      </c>
    </row>
    <row r="868" spans="1:8" hidden="1">
      <c r="A868" t="s">
        <v>301</v>
      </c>
      <c r="B868" t="s">
        <v>306</v>
      </c>
      <c r="C868" t="s">
        <v>307</v>
      </c>
      <c r="D868" t="s">
        <v>712</v>
      </c>
      <c r="E868">
        <v>48</v>
      </c>
      <c r="F868" t="s">
        <v>11</v>
      </c>
      <c r="G868">
        <v>2</v>
      </c>
      <c r="H868" t="s">
        <v>12</v>
      </c>
    </row>
    <row r="869" spans="1:8" hidden="1">
      <c r="A869" t="s">
        <v>301</v>
      </c>
      <c r="B869" t="s">
        <v>308</v>
      </c>
      <c r="C869" t="s">
        <v>309</v>
      </c>
      <c r="D869" t="s">
        <v>712</v>
      </c>
      <c r="E869">
        <v>50</v>
      </c>
      <c r="F869" t="s">
        <v>11</v>
      </c>
      <c r="G869">
        <v>2</v>
      </c>
      <c r="H869" t="s">
        <v>12</v>
      </c>
    </row>
    <row r="870" spans="1:8" hidden="1">
      <c r="A870" t="s">
        <v>301</v>
      </c>
      <c r="B870" t="s">
        <v>310</v>
      </c>
      <c r="C870" t="s">
        <v>311</v>
      </c>
      <c r="D870" t="s">
        <v>712</v>
      </c>
      <c r="E870">
        <v>47</v>
      </c>
      <c r="F870" t="s">
        <v>11</v>
      </c>
      <c r="G870">
        <v>2</v>
      </c>
      <c r="H870" t="s">
        <v>12</v>
      </c>
    </row>
    <row r="871" spans="1:8" hidden="1">
      <c r="A871" t="s">
        <v>301</v>
      </c>
      <c r="B871" t="s">
        <v>731</v>
      </c>
      <c r="C871" t="s">
        <v>732</v>
      </c>
      <c r="D871" t="s">
        <v>712</v>
      </c>
      <c r="E871">
        <v>48</v>
      </c>
      <c r="F871" t="s">
        <v>11</v>
      </c>
      <c r="G871">
        <v>2</v>
      </c>
      <c r="H871" t="s">
        <v>12</v>
      </c>
    </row>
    <row r="872" spans="1:8" hidden="1">
      <c r="A872" t="s">
        <v>301</v>
      </c>
      <c r="B872" t="s">
        <v>467</v>
      </c>
      <c r="C872" t="s">
        <v>468</v>
      </c>
      <c r="D872" t="s">
        <v>712</v>
      </c>
      <c r="E872">
        <v>51</v>
      </c>
      <c r="F872" t="s">
        <v>11</v>
      </c>
      <c r="G872">
        <v>2</v>
      </c>
      <c r="H872" t="s">
        <v>12</v>
      </c>
    </row>
    <row r="873" spans="1:8" hidden="1">
      <c r="A873" t="s">
        <v>301</v>
      </c>
      <c r="B873" t="s">
        <v>318</v>
      </c>
      <c r="C873" t="s">
        <v>319</v>
      </c>
      <c r="D873" t="s">
        <v>712</v>
      </c>
      <c r="E873">
        <v>47</v>
      </c>
      <c r="F873" t="s">
        <v>11</v>
      </c>
      <c r="G873">
        <v>2</v>
      </c>
      <c r="H873" t="s">
        <v>12</v>
      </c>
    </row>
    <row r="874" spans="1:8" hidden="1">
      <c r="A874" t="s">
        <v>301</v>
      </c>
      <c r="B874" t="s">
        <v>677</v>
      </c>
      <c r="C874" t="s">
        <v>678</v>
      </c>
      <c r="D874" t="s">
        <v>712</v>
      </c>
      <c r="E874">
        <v>47</v>
      </c>
      <c r="F874" t="s">
        <v>11</v>
      </c>
      <c r="G874">
        <v>2</v>
      </c>
      <c r="H874" t="s">
        <v>12</v>
      </c>
    </row>
    <row r="875" spans="1:8" hidden="1">
      <c r="A875" t="s">
        <v>301</v>
      </c>
      <c r="B875" t="s">
        <v>473</v>
      </c>
      <c r="C875" t="s">
        <v>474</v>
      </c>
      <c r="D875" t="s">
        <v>712</v>
      </c>
      <c r="E875">
        <v>40</v>
      </c>
      <c r="F875" t="s">
        <v>11</v>
      </c>
      <c r="G875">
        <v>2</v>
      </c>
      <c r="H875" t="s">
        <v>12</v>
      </c>
    </row>
    <row r="876" spans="1:8" hidden="1">
      <c r="A876" t="s">
        <v>194</v>
      </c>
      <c r="B876" t="s">
        <v>195</v>
      </c>
      <c r="C876" t="s">
        <v>196</v>
      </c>
      <c r="D876" t="s">
        <v>712</v>
      </c>
      <c r="E876">
        <v>43</v>
      </c>
      <c r="F876" t="s">
        <v>11</v>
      </c>
      <c r="G876">
        <v>2</v>
      </c>
      <c r="H876" t="s">
        <v>12</v>
      </c>
    </row>
    <row r="877" spans="1:8" hidden="1">
      <c r="A877" t="s">
        <v>194</v>
      </c>
      <c r="B877" t="s">
        <v>199</v>
      </c>
      <c r="C877" t="s">
        <v>200</v>
      </c>
      <c r="D877" t="s">
        <v>712</v>
      </c>
      <c r="E877">
        <v>40</v>
      </c>
      <c r="F877" t="s">
        <v>11</v>
      </c>
      <c r="G877">
        <v>2</v>
      </c>
      <c r="H877" t="s">
        <v>12</v>
      </c>
    </row>
    <row r="878" spans="1:8" hidden="1">
      <c r="A878" t="s">
        <v>194</v>
      </c>
      <c r="B878" t="s">
        <v>757</v>
      </c>
      <c r="C878" t="s">
        <v>758</v>
      </c>
      <c r="D878" t="s">
        <v>712</v>
      </c>
      <c r="E878">
        <v>45</v>
      </c>
      <c r="F878" t="s">
        <v>11</v>
      </c>
      <c r="G878">
        <v>2</v>
      </c>
      <c r="H878" t="s">
        <v>12</v>
      </c>
    </row>
    <row r="879" spans="1:8" hidden="1">
      <c r="A879" t="s">
        <v>194</v>
      </c>
      <c r="B879" t="s">
        <v>203</v>
      </c>
      <c r="C879" t="s">
        <v>204</v>
      </c>
      <c r="D879" t="s">
        <v>712</v>
      </c>
      <c r="E879">
        <v>50</v>
      </c>
      <c r="F879" t="s">
        <v>11</v>
      </c>
      <c r="G879">
        <v>2</v>
      </c>
      <c r="H879" t="s">
        <v>12</v>
      </c>
    </row>
    <row r="880" spans="1:8" hidden="1">
      <c r="A880" t="s">
        <v>194</v>
      </c>
      <c r="B880" t="s">
        <v>759</v>
      </c>
      <c r="C880" t="s">
        <v>760</v>
      </c>
      <c r="D880" t="s">
        <v>712</v>
      </c>
      <c r="E880">
        <v>52</v>
      </c>
      <c r="F880" t="s">
        <v>11</v>
      </c>
      <c r="G880">
        <v>2</v>
      </c>
      <c r="H880" t="s">
        <v>12</v>
      </c>
    </row>
    <row r="881" spans="1:8" hidden="1">
      <c r="A881" t="s">
        <v>194</v>
      </c>
      <c r="B881" t="s">
        <v>205</v>
      </c>
      <c r="C881" t="s">
        <v>206</v>
      </c>
      <c r="D881" t="s">
        <v>712</v>
      </c>
      <c r="E881">
        <v>44</v>
      </c>
      <c r="F881" t="s">
        <v>11</v>
      </c>
      <c r="G881">
        <v>2</v>
      </c>
      <c r="H881" t="s">
        <v>12</v>
      </c>
    </row>
    <row r="882" spans="1:8" hidden="1">
      <c r="A882" t="s">
        <v>194</v>
      </c>
      <c r="B882" t="s">
        <v>207</v>
      </c>
      <c r="C882" t="s">
        <v>208</v>
      </c>
      <c r="D882" t="s">
        <v>712</v>
      </c>
      <c r="E882">
        <v>40</v>
      </c>
      <c r="F882" t="s">
        <v>11</v>
      </c>
      <c r="G882">
        <v>2</v>
      </c>
      <c r="H882" t="s">
        <v>12</v>
      </c>
    </row>
    <row r="883" spans="1:8" hidden="1">
      <c r="A883" t="s">
        <v>194</v>
      </c>
      <c r="B883" t="s">
        <v>527</v>
      </c>
      <c r="C883" t="s">
        <v>528</v>
      </c>
      <c r="D883" t="s">
        <v>712</v>
      </c>
      <c r="E883">
        <v>44</v>
      </c>
      <c r="F883" t="s">
        <v>11</v>
      </c>
      <c r="G883">
        <v>2</v>
      </c>
      <c r="H883" t="s">
        <v>12</v>
      </c>
    </row>
    <row r="884" spans="1:8" hidden="1">
      <c r="A884" t="s">
        <v>194</v>
      </c>
      <c r="B884" t="s">
        <v>761</v>
      </c>
      <c r="C884" t="s">
        <v>762</v>
      </c>
      <c r="D884" t="s">
        <v>712</v>
      </c>
      <c r="E884">
        <v>40</v>
      </c>
      <c r="F884" t="s">
        <v>11</v>
      </c>
      <c r="G884">
        <v>2</v>
      </c>
      <c r="H884" t="s">
        <v>12</v>
      </c>
    </row>
    <row r="885" spans="1:8" hidden="1">
      <c r="A885" t="s">
        <v>194</v>
      </c>
      <c r="B885" t="s">
        <v>529</v>
      </c>
      <c r="C885" t="s">
        <v>530</v>
      </c>
      <c r="D885" t="s">
        <v>712</v>
      </c>
      <c r="E885">
        <v>41</v>
      </c>
      <c r="F885" t="s">
        <v>11</v>
      </c>
      <c r="G885">
        <v>2</v>
      </c>
      <c r="H885" t="s">
        <v>12</v>
      </c>
    </row>
    <row r="886" spans="1:8" hidden="1">
      <c r="A886" t="s">
        <v>194</v>
      </c>
      <c r="B886" t="s">
        <v>634</v>
      </c>
      <c r="C886" t="s">
        <v>635</v>
      </c>
      <c r="D886" t="s">
        <v>712</v>
      </c>
      <c r="E886">
        <v>50</v>
      </c>
      <c r="F886" t="s">
        <v>11</v>
      </c>
      <c r="G886">
        <v>2</v>
      </c>
      <c r="H886" t="s">
        <v>12</v>
      </c>
    </row>
    <row r="887" spans="1:8" hidden="1">
      <c r="A887" t="s">
        <v>194</v>
      </c>
      <c r="B887" t="s">
        <v>211</v>
      </c>
      <c r="C887" t="s">
        <v>212</v>
      </c>
      <c r="D887" t="s">
        <v>712</v>
      </c>
      <c r="E887">
        <v>43</v>
      </c>
      <c r="F887" t="s">
        <v>11</v>
      </c>
      <c r="G887">
        <v>2</v>
      </c>
      <c r="H887" t="s">
        <v>12</v>
      </c>
    </row>
    <row r="888" spans="1:8" hidden="1">
      <c r="A888" t="s">
        <v>194</v>
      </c>
      <c r="B888" t="s">
        <v>213</v>
      </c>
      <c r="C888" t="s">
        <v>214</v>
      </c>
      <c r="D888" t="s">
        <v>712</v>
      </c>
      <c r="E888">
        <v>50</v>
      </c>
      <c r="F888" t="s">
        <v>11</v>
      </c>
      <c r="G888">
        <v>2</v>
      </c>
      <c r="H888" t="s">
        <v>12</v>
      </c>
    </row>
    <row r="889" spans="1:8" hidden="1">
      <c r="A889" t="s">
        <v>194</v>
      </c>
      <c r="B889" t="s">
        <v>215</v>
      </c>
      <c r="C889" t="s">
        <v>216</v>
      </c>
      <c r="D889" t="s">
        <v>712</v>
      </c>
      <c r="E889">
        <v>40</v>
      </c>
      <c r="F889" t="s">
        <v>11</v>
      </c>
      <c r="G889">
        <v>2</v>
      </c>
      <c r="H889" t="s">
        <v>12</v>
      </c>
    </row>
    <row r="890" spans="1:8" hidden="1">
      <c r="A890" t="s">
        <v>194</v>
      </c>
      <c r="B890" t="s">
        <v>535</v>
      </c>
      <c r="C890" t="s">
        <v>536</v>
      </c>
      <c r="D890" t="s">
        <v>712</v>
      </c>
      <c r="E890">
        <v>50</v>
      </c>
      <c r="F890" t="s">
        <v>11</v>
      </c>
      <c r="G890">
        <v>2</v>
      </c>
      <c r="H890" t="s">
        <v>12</v>
      </c>
    </row>
    <row r="891" spans="1:8" hidden="1">
      <c r="A891" t="s">
        <v>322</v>
      </c>
      <c r="B891" t="s">
        <v>763</v>
      </c>
      <c r="C891" t="s">
        <v>764</v>
      </c>
      <c r="D891" t="s">
        <v>712</v>
      </c>
      <c r="E891">
        <v>53</v>
      </c>
      <c r="F891" t="s">
        <v>11</v>
      </c>
      <c r="G891">
        <v>2</v>
      </c>
      <c r="H891" t="s">
        <v>12</v>
      </c>
    </row>
    <row r="892" spans="1:8" hidden="1">
      <c r="A892" t="s">
        <v>322</v>
      </c>
      <c r="B892" t="s">
        <v>765</v>
      </c>
      <c r="C892" t="s">
        <v>766</v>
      </c>
      <c r="D892" t="s">
        <v>712</v>
      </c>
      <c r="E892">
        <v>58</v>
      </c>
      <c r="F892" t="s">
        <v>11</v>
      </c>
      <c r="G892">
        <v>2</v>
      </c>
      <c r="H892" t="s">
        <v>12</v>
      </c>
    </row>
    <row r="893" spans="1:8" hidden="1">
      <c r="A893" t="s">
        <v>322</v>
      </c>
      <c r="B893" t="s">
        <v>767</v>
      </c>
      <c r="C893" t="s">
        <v>768</v>
      </c>
      <c r="D893" t="s">
        <v>712</v>
      </c>
      <c r="E893">
        <v>58</v>
      </c>
      <c r="F893" t="s">
        <v>11</v>
      </c>
      <c r="G893">
        <v>2</v>
      </c>
      <c r="H893" t="s">
        <v>12</v>
      </c>
    </row>
    <row r="894" spans="1:8" hidden="1">
      <c r="A894" t="s">
        <v>322</v>
      </c>
      <c r="B894" t="s">
        <v>769</v>
      </c>
      <c r="C894" t="s">
        <v>770</v>
      </c>
      <c r="D894" t="s">
        <v>712</v>
      </c>
      <c r="E894">
        <v>58</v>
      </c>
      <c r="F894" t="s">
        <v>11</v>
      </c>
      <c r="G894">
        <v>2</v>
      </c>
      <c r="H894" t="s">
        <v>12</v>
      </c>
    </row>
    <row r="895" spans="1:8" hidden="1">
      <c r="A895" t="s">
        <v>322</v>
      </c>
      <c r="B895" t="s">
        <v>771</v>
      </c>
      <c r="C895" t="s">
        <v>772</v>
      </c>
      <c r="D895" t="s">
        <v>712</v>
      </c>
      <c r="E895">
        <v>51</v>
      </c>
      <c r="F895" t="s">
        <v>11</v>
      </c>
      <c r="G895">
        <v>2</v>
      </c>
      <c r="H895" t="s">
        <v>12</v>
      </c>
    </row>
    <row r="896" spans="1:8" hidden="1">
      <c r="A896" t="s">
        <v>322</v>
      </c>
      <c r="B896" t="s">
        <v>773</v>
      </c>
      <c r="C896" t="s">
        <v>774</v>
      </c>
      <c r="D896" t="s">
        <v>712</v>
      </c>
      <c r="E896">
        <v>56</v>
      </c>
      <c r="F896" t="s">
        <v>11</v>
      </c>
      <c r="G896">
        <v>2</v>
      </c>
      <c r="H896" t="s">
        <v>12</v>
      </c>
    </row>
    <row r="897" spans="1:8" hidden="1">
      <c r="A897" t="s">
        <v>322</v>
      </c>
      <c r="B897" t="s">
        <v>325</v>
      </c>
      <c r="C897" t="s">
        <v>326</v>
      </c>
      <c r="D897" t="s">
        <v>712</v>
      </c>
      <c r="E897">
        <v>42</v>
      </c>
      <c r="F897" t="s">
        <v>11</v>
      </c>
      <c r="G897">
        <v>2</v>
      </c>
      <c r="H897" t="s">
        <v>12</v>
      </c>
    </row>
    <row r="898" spans="1:8" hidden="1">
      <c r="A898" t="s">
        <v>217</v>
      </c>
      <c r="B898" t="s">
        <v>775</v>
      </c>
      <c r="C898" t="s">
        <v>776</v>
      </c>
      <c r="D898" t="s">
        <v>712</v>
      </c>
      <c r="E898">
        <v>53</v>
      </c>
      <c r="F898" t="s">
        <v>11</v>
      </c>
      <c r="G898">
        <v>2</v>
      </c>
      <c r="H898" t="s">
        <v>12</v>
      </c>
    </row>
    <row r="899" spans="1:8" hidden="1">
      <c r="A899" t="s">
        <v>217</v>
      </c>
      <c r="B899" t="s">
        <v>373</v>
      </c>
      <c r="C899" t="s">
        <v>374</v>
      </c>
      <c r="D899" t="s">
        <v>712</v>
      </c>
      <c r="E899">
        <v>57</v>
      </c>
      <c r="F899" t="s">
        <v>11</v>
      </c>
      <c r="G899">
        <v>2</v>
      </c>
      <c r="H899" t="s">
        <v>12</v>
      </c>
    </row>
    <row r="900" spans="1:8" hidden="1">
      <c r="A900" t="s">
        <v>217</v>
      </c>
      <c r="B900" t="s">
        <v>383</v>
      </c>
      <c r="C900" t="s">
        <v>384</v>
      </c>
      <c r="D900" t="s">
        <v>712</v>
      </c>
      <c r="E900">
        <v>58</v>
      </c>
      <c r="F900" t="s">
        <v>11</v>
      </c>
      <c r="G900">
        <v>2</v>
      </c>
      <c r="H900" t="s">
        <v>12</v>
      </c>
    </row>
    <row r="901" spans="1:8" hidden="1">
      <c r="A901" t="s">
        <v>217</v>
      </c>
      <c r="B901" t="s">
        <v>385</v>
      </c>
      <c r="C901" t="s">
        <v>386</v>
      </c>
      <c r="D901" t="s">
        <v>712</v>
      </c>
      <c r="E901">
        <v>58</v>
      </c>
      <c r="F901" t="s">
        <v>11</v>
      </c>
      <c r="G901">
        <v>2</v>
      </c>
      <c r="H901" t="s">
        <v>12</v>
      </c>
    </row>
    <row r="902" spans="1:8" hidden="1">
      <c r="A902" t="s">
        <v>122</v>
      </c>
      <c r="B902" t="s">
        <v>123</v>
      </c>
      <c r="C902" t="s">
        <v>124</v>
      </c>
      <c r="D902" t="s">
        <v>712</v>
      </c>
      <c r="E902">
        <v>54</v>
      </c>
      <c r="F902" t="s">
        <v>11</v>
      </c>
      <c r="G902">
        <v>2</v>
      </c>
      <c r="H902" t="s">
        <v>12</v>
      </c>
    </row>
    <row r="903" spans="1:8" hidden="1">
      <c r="A903" t="s">
        <v>122</v>
      </c>
      <c r="B903" t="s">
        <v>431</v>
      </c>
      <c r="C903" t="s">
        <v>432</v>
      </c>
      <c r="D903" t="s">
        <v>712</v>
      </c>
      <c r="E903">
        <v>54</v>
      </c>
      <c r="F903" t="s">
        <v>11</v>
      </c>
      <c r="G903">
        <v>2</v>
      </c>
      <c r="H903" t="s">
        <v>12</v>
      </c>
    </row>
    <row r="904" spans="1:8" hidden="1">
      <c r="A904" t="s">
        <v>122</v>
      </c>
      <c r="B904" t="s">
        <v>777</v>
      </c>
      <c r="C904" t="s">
        <v>778</v>
      </c>
      <c r="D904" t="s">
        <v>712</v>
      </c>
      <c r="E904">
        <v>56</v>
      </c>
      <c r="F904" t="s">
        <v>11</v>
      </c>
      <c r="G904">
        <v>2</v>
      </c>
      <c r="H904" t="s">
        <v>12</v>
      </c>
    </row>
    <row r="905" spans="1:8" hidden="1">
      <c r="A905" t="s">
        <v>122</v>
      </c>
      <c r="B905" t="s">
        <v>779</v>
      </c>
      <c r="C905" t="s">
        <v>780</v>
      </c>
      <c r="D905" t="s">
        <v>712</v>
      </c>
      <c r="E905">
        <v>57</v>
      </c>
      <c r="F905" t="s">
        <v>11</v>
      </c>
      <c r="G905">
        <v>2</v>
      </c>
      <c r="H905" t="s">
        <v>12</v>
      </c>
    </row>
    <row r="906" spans="1:8" hidden="1">
      <c r="A906" t="s">
        <v>122</v>
      </c>
      <c r="B906" t="s">
        <v>125</v>
      </c>
      <c r="C906" t="s">
        <v>126</v>
      </c>
      <c r="D906" t="s">
        <v>712</v>
      </c>
      <c r="E906">
        <v>55</v>
      </c>
      <c r="F906" t="s">
        <v>11</v>
      </c>
      <c r="G906">
        <v>2</v>
      </c>
      <c r="H906" t="s">
        <v>12</v>
      </c>
    </row>
    <row r="907" spans="1:8" hidden="1">
      <c r="A907" t="s">
        <v>122</v>
      </c>
      <c r="B907" t="s">
        <v>781</v>
      </c>
      <c r="C907" t="s">
        <v>782</v>
      </c>
      <c r="D907" t="s">
        <v>712</v>
      </c>
      <c r="E907">
        <v>57</v>
      </c>
      <c r="F907" t="s">
        <v>11</v>
      </c>
      <c r="G907">
        <v>2</v>
      </c>
      <c r="H907" t="s">
        <v>12</v>
      </c>
    </row>
    <row r="908" spans="1:8" hidden="1">
      <c r="A908" t="s">
        <v>122</v>
      </c>
      <c r="B908" t="s">
        <v>783</v>
      </c>
      <c r="C908" t="s">
        <v>784</v>
      </c>
      <c r="D908" t="s">
        <v>712</v>
      </c>
      <c r="E908">
        <v>58</v>
      </c>
      <c r="F908" t="s">
        <v>11</v>
      </c>
      <c r="G908">
        <v>2</v>
      </c>
      <c r="H908" t="s">
        <v>12</v>
      </c>
    </row>
    <row r="909" spans="1:8" hidden="1">
      <c r="A909" t="s">
        <v>122</v>
      </c>
      <c r="B909" t="s">
        <v>785</v>
      </c>
      <c r="C909" t="s">
        <v>786</v>
      </c>
      <c r="D909" t="s">
        <v>712</v>
      </c>
      <c r="E909">
        <v>58</v>
      </c>
      <c r="F909" t="s">
        <v>11</v>
      </c>
      <c r="G909">
        <v>2</v>
      </c>
      <c r="H909" t="s">
        <v>12</v>
      </c>
    </row>
    <row r="910" spans="1:8" hidden="1">
      <c r="A910" t="s">
        <v>122</v>
      </c>
      <c r="B910" t="s">
        <v>433</v>
      </c>
      <c r="C910" t="s">
        <v>434</v>
      </c>
      <c r="D910" t="s">
        <v>712</v>
      </c>
      <c r="E910">
        <v>57</v>
      </c>
      <c r="F910" t="s">
        <v>11</v>
      </c>
      <c r="G910">
        <v>2</v>
      </c>
      <c r="H910" t="s">
        <v>12</v>
      </c>
    </row>
    <row r="911" spans="1:8" hidden="1">
      <c r="A911" t="s">
        <v>122</v>
      </c>
      <c r="B911" t="s">
        <v>787</v>
      </c>
      <c r="C911" t="s">
        <v>788</v>
      </c>
      <c r="D911" t="s">
        <v>712</v>
      </c>
      <c r="E911">
        <v>58</v>
      </c>
      <c r="F911" t="s">
        <v>11</v>
      </c>
      <c r="G911">
        <v>2</v>
      </c>
      <c r="H911" t="s">
        <v>12</v>
      </c>
    </row>
    <row r="912" spans="1:8" hidden="1">
      <c r="A912" t="s">
        <v>122</v>
      </c>
      <c r="B912" t="s">
        <v>127</v>
      </c>
      <c r="C912" t="s">
        <v>128</v>
      </c>
      <c r="D912" t="s">
        <v>712</v>
      </c>
      <c r="E912">
        <v>55</v>
      </c>
      <c r="F912" t="s">
        <v>11</v>
      </c>
      <c r="G912">
        <v>2</v>
      </c>
      <c r="H912" t="s">
        <v>12</v>
      </c>
    </row>
    <row r="913" spans="1:8" hidden="1">
      <c r="A913" t="s">
        <v>122</v>
      </c>
      <c r="B913" t="s">
        <v>129</v>
      </c>
      <c r="C913" t="s">
        <v>130</v>
      </c>
      <c r="D913" t="s">
        <v>712</v>
      </c>
      <c r="E913">
        <v>58</v>
      </c>
      <c r="F913" t="s">
        <v>11</v>
      </c>
      <c r="G913">
        <v>2</v>
      </c>
      <c r="H913" t="s">
        <v>12</v>
      </c>
    </row>
    <row r="914" spans="1:8" hidden="1">
      <c r="A914" t="s">
        <v>122</v>
      </c>
      <c r="B914" t="s">
        <v>789</v>
      </c>
      <c r="C914" t="s">
        <v>790</v>
      </c>
      <c r="D914" t="s">
        <v>712</v>
      </c>
      <c r="E914">
        <v>58</v>
      </c>
      <c r="F914" t="s">
        <v>11</v>
      </c>
      <c r="G914">
        <v>2</v>
      </c>
      <c r="H914" t="s">
        <v>12</v>
      </c>
    </row>
    <row r="915" spans="1:8" hidden="1">
      <c r="A915" t="s">
        <v>122</v>
      </c>
      <c r="B915" t="s">
        <v>131</v>
      </c>
      <c r="C915" t="s">
        <v>132</v>
      </c>
      <c r="D915" t="s">
        <v>712</v>
      </c>
      <c r="E915">
        <v>49</v>
      </c>
      <c r="F915" t="s">
        <v>11</v>
      </c>
      <c r="G915">
        <v>2</v>
      </c>
      <c r="H915" t="s">
        <v>12</v>
      </c>
    </row>
    <row r="916" spans="1:8" hidden="1">
      <c r="A916" t="s">
        <v>122</v>
      </c>
      <c r="B916" t="s">
        <v>791</v>
      </c>
      <c r="C916" t="s">
        <v>792</v>
      </c>
      <c r="D916" t="s">
        <v>712</v>
      </c>
      <c r="E916">
        <v>58</v>
      </c>
      <c r="F916" t="s">
        <v>11</v>
      </c>
      <c r="G916">
        <v>2</v>
      </c>
      <c r="H916" t="s">
        <v>12</v>
      </c>
    </row>
    <row r="917" spans="1:8" hidden="1">
      <c r="A917" t="s">
        <v>122</v>
      </c>
      <c r="B917" t="s">
        <v>139</v>
      </c>
      <c r="C917" t="s">
        <v>140</v>
      </c>
      <c r="D917" t="s">
        <v>712</v>
      </c>
      <c r="E917">
        <v>56</v>
      </c>
      <c r="F917" t="s">
        <v>11</v>
      </c>
      <c r="G917">
        <v>2</v>
      </c>
      <c r="H917" t="s">
        <v>12</v>
      </c>
    </row>
    <row r="918" spans="1:8" hidden="1">
      <c r="A918" t="s">
        <v>239</v>
      </c>
      <c r="B918" t="s">
        <v>562</v>
      </c>
      <c r="C918" t="s">
        <v>563</v>
      </c>
      <c r="D918" t="s">
        <v>712</v>
      </c>
      <c r="E918">
        <v>50</v>
      </c>
      <c r="F918" t="s">
        <v>11</v>
      </c>
      <c r="G918">
        <v>1</v>
      </c>
      <c r="H918" t="s">
        <v>12</v>
      </c>
    </row>
    <row r="919" spans="1:8" hidden="1">
      <c r="A919" t="s">
        <v>239</v>
      </c>
      <c r="B919" t="s">
        <v>240</v>
      </c>
      <c r="C919" t="s">
        <v>241</v>
      </c>
      <c r="D919" t="s">
        <v>712</v>
      </c>
      <c r="E919">
        <v>46</v>
      </c>
      <c r="F919" t="s">
        <v>11</v>
      </c>
      <c r="G919">
        <v>1</v>
      </c>
      <c r="H919" t="s">
        <v>12</v>
      </c>
    </row>
    <row r="920" spans="1:8" hidden="1">
      <c r="A920" t="s">
        <v>239</v>
      </c>
      <c r="B920" t="s">
        <v>733</v>
      </c>
      <c r="C920" t="s">
        <v>734</v>
      </c>
      <c r="D920" t="s">
        <v>712</v>
      </c>
      <c r="E920">
        <v>48</v>
      </c>
      <c r="F920" t="s">
        <v>11</v>
      </c>
      <c r="G920">
        <v>1</v>
      </c>
      <c r="H920" t="s">
        <v>12</v>
      </c>
    </row>
    <row r="921" spans="1:8" hidden="1">
      <c r="A921" t="s">
        <v>239</v>
      </c>
      <c r="B921" t="s">
        <v>735</v>
      </c>
      <c r="C921" t="s">
        <v>736</v>
      </c>
      <c r="D921" t="s">
        <v>712</v>
      </c>
      <c r="E921">
        <v>44</v>
      </c>
      <c r="F921" t="s">
        <v>11</v>
      </c>
      <c r="G921">
        <v>1</v>
      </c>
      <c r="H921" t="s">
        <v>12</v>
      </c>
    </row>
    <row r="922" spans="1:8" hidden="1">
      <c r="A922" t="s">
        <v>239</v>
      </c>
      <c r="B922" t="s">
        <v>737</v>
      </c>
      <c r="C922" t="s">
        <v>738</v>
      </c>
      <c r="D922" t="s">
        <v>712</v>
      </c>
      <c r="E922">
        <v>54</v>
      </c>
      <c r="F922" t="s">
        <v>11</v>
      </c>
      <c r="G922">
        <v>1</v>
      </c>
      <c r="H922" t="s">
        <v>12</v>
      </c>
    </row>
    <row r="923" spans="1:8" hidden="1">
      <c r="A923" t="s">
        <v>239</v>
      </c>
      <c r="B923" t="s">
        <v>739</v>
      </c>
      <c r="C923" t="s">
        <v>740</v>
      </c>
      <c r="D923" t="s">
        <v>712</v>
      </c>
      <c r="E923">
        <v>50</v>
      </c>
      <c r="F923" t="s">
        <v>11</v>
      </c>
      <c r="G923">
        <v>1</v>
      </c>
      <c r="H923" t="s">
        <v>12</v>
      </c>
    </row>
    <row r="924" spans="1:8" hidden="1">
      <c r="A924" t="s">
        <v>239</v>
      </c>
      <c r="B924" t="s">
        <v>566</v>
      </c>
      <c r="C924" t="s">
        <v>567</v>
      </c>
      <c r="D924" t="s">
        <v>712</v>
      </c>
      <c r="E924">
        <v>48</v>
      </c>
      <c r="F924" t="s">
        <v>11</v>
      </c>
      <c r="G924">
        <v>1</v>
      </c>
      <c r="H924" t="s">
        <v>12</v>
      </c>
    </row>
    <row r="925" spans="1:8" hidden="1">
      <c r="A925" t="s">
        <v>141</v>
      </c>
      <c r="B925" t="s">
        <v>741</v>
      </c>
      <c r="C925" t="s">
        <v>742</v>
      </c>
      <c r="D925" t="s">
        <v>712</v>
      </c>
      <c r="E925">
        <v>52</v>
      </c>
      <c r="F925" t="s">
        <v>11</v>
      </c>
      <c r="G925">
        <v>1</v>
      </c>
      <c r="H925" t="s">
        <v>12</v>
      </c>
    </row>
    <row r="926" spans="1:8" hidden="1">
      <c r="A926" t="s">
        <v>141</v>
      </c>
      <c r="B926" t="s">
        <v>572</v>
      </c>
      <c r="C926" t="s">
        <v>573</v>
      </c>
      <c r="D926" t="s">
        <v>712</v>
      </c>
      <c r="E926">
        <v>46</v>
      </c>
      <c r="F926" t="s">
        <v>11</v>
      </c>
      <c r="G926">
        <v>1</v>
      </c>
      <c r="H926" t="s">
        <v>12</v>
      </c>
    </row>
    <row r="927" spans="1:8" hidden="1">
      <c r="A927" t="s">
        <v>141</v>
      </c>
      <c r="B927" t="s">
        <v>144</v>
      </c>
      <c r="C927" t="s">
        <v>145</v>
      </c>
      <c r="D927" t="s">
        <v>712</v>
      </c>
      <c r="E927">
        <v>48</v>
      </c>
      <c r="F927" t="s">
        <v>11</v>
      </c>
      <c r="G927">
        <v>1</v>
      </c>
      <c r="H927" t="s">
        <v>12</v>
      </c>
    </row>
    <row r="928" spans="1:8" hidden="1">
      <c r="A928" t="s">
        <v>141</v>
      </c>
      <c r="B928" t="s">
        <v>146</v>
      </c>
      <c r="C928" t="s">
        <v>147</v>
      </c>
      <c r="D928" t="s">
        <v>712</v>
      </c>
      <c r="E928">
        <v>50</v>
      </c>
      <c r="F928" t="s">
        <v>11</v>
      </c>
      <c r="G928">
        <v>1</v>
      </c>
      <c r="H928" t="s">
        <v>12</v>
      </c>
    </row>
    <row r="929" spans="1:8" hidden="1">
      <c r="A929" t="s">
        <v>141</v>
      </c>
      <c r="B929" t="s">
        <v>576</v>
      </c>
      <c r="C929" t="s">
        <v>577</v>
      </c>
      <c r="D929" t="s">
        <v>712</v>
      </c>
      <c r="E929">
        <v>50</v>
      </c>
      <c r="F929" t="s">
        <v>11</v>
      </c>
      <c r="G929">
        <v>1</v>
      </c>
      <c r="H929" t="s">
        <v>12</v>
      </c>
    </row>
    <row r="930" spans="1:8" hidden="1">
      <c r="A930" t="s">
        <v>141</v>
      </c>
      <c r="B930" t="s">
        <v>743</v>
      </c>
      <c r="C930" t="s">
        <v>744</v>
      </c>
      <c r="D930" t="s">
        <v>712</v>
      </c>
      <c r="E930">
        <v>46</v>
      </c>
      <c r="F930" t="s">
        <v>11</v>
      </c>
      <c r="G930">
        <v>1</v>
      </c>
      <c r="H930" t="s">
        <v>12</v>
      </c>
    </row>
    <row r="931" spans="1:8" hidden="1">
      <c r="A931" t="s">
        <v>141</v>
      </c>
      <c r="B931" t="s">
        <v>152</v>
      </c>
      <c r="C931" t="s">
        <v>153</v>
      </c>
      <c r="D931" t="s">
        <v>712</v>
      </c>
      <c r="E931">
        <v>40</v>
      </c>
      <c r="F931" t="s">
        <v>11</v>
      </c>
      <c r="G931">
        <v>1</v>
      </c>
      <c r="H931" t="s">
        <v>12</v>
      </c>
    </row>
    <row r="932" spans="1:8" hidden="1">
      <c r="A932" t="s">
        <v>141</v>
      </c>
      <c r="B932" t="s">
        <v>154</v>
      </c>
      <c r="C932" t="s">
        <v>155</v>
      </c>
      <c r="D932" t="s">
        <v>712</v>
      </c>
      <c r="E932">
        <v>40</v>
      </c>
      <c r="F932" t="s">
        <v>11</v>
      </c>
      <c r="G932">
        <v>1</v>
      </c>
      <c r="H932" t="s">
        <v>12</v>
      </c>
    </row>
    <row r="933" spans="1:8" hidden="1">
      <c r="A933" t="s">
        <v>141</v>
      </c>
      <c r="B933" t="s">
        <v>156</v>
      </c>
      <c r="C933" t="s">
        <v>157</v>
      </c>
      <c r="D933" t="s">
        <v>712</v>
      </c>
      <c r="E933">
        <v>40</v>
      </c>
      <c r="F933" t="s">
        <v>11</v>
      </c>
      <c r="G933">
        <v>1</v>
      </c>
      <c r="H933" t="s">
        <v>12</v>
      </c>
    </row>
    <row r="934" spans="1:8" hidden="1">
      <c r="A934" t="s">
        <v>693</v>
      </c>
      <c r="B934" t="s">
        <v>694</v>
      </c>
      <c r="C934" t="s">
        <v>695</v>
      </c>
      <c r="D934" t="s">
        <v>965</v>
      </c>
      <c r="E934">
        <v>47</v>
      </c>
      <c r="F934" t="s">
        <v>11</v>
      </c>
      <c r="G934">
        <v>2</v>
      </c>
      <c r="H934" t="s">
        <v>12</v>
      </c>
    </row>
    <row r="935" spans="1:8" hidden="1">
      <c r="A935" t="s">
        <v>693</v>
      </c>
      <c r="B935" t="s">
        <v>963</v>
      </c>
      <c r="C935" t="s">
        <v>964</v>
      </c>
      <c r="D935" t="s">
        <v>965</v>
      </c>
      <c r="E935">
        <v>52</v>
      </c>
      <c r="F935" t="s">
        <v>11</v>
      </c>
      <c r="G935">
        <v>2</v>
      </c>
      <c r="H935" t="s">
        <v>12</v>
      </c>
    </row>
    <row r="936" spans="1:8" hidden="1">
      <c r="A936" t="s">
        <v>696</v>
      </c>
      <c r="B936" t="s">
        <v>959</v>
      </c>
      <c r="C936" t="s">
        <v>960</v>
      </c>
      <c r="D936" t="s">
        <v>965</v>
      </c>
      <c r="E936">
        <v>55</v>
      </c>
      <c r="F936" t="s">
        <v>11</v>
      </c>
      <c r="G936">
        <v>2</v>
      </c>
      <c r="H936" t="s">
        <v>12</v>
      </c>
    </row>
    <row r="937" spans="1:8">
      <c r="A937" t="s">
        <v>279</v>
      </c>
      <c r="B937" t="s">
        <v>715</v>
      </c>
      <c r="C937" t="s">
        <v>716</v>
      </c>
      <c r="D937" t="s">
        <v>898</v>
      </c>
      <c r="E937">
        <v>58</v>
      </c>
      <c r="F937" t="s">
        <v>11</v>
      </c>
      <c r="G937">
        <v>3</v>
      </c>
      <c r="H937" t="s">
        <v>12</v>
      </c>
    </row>
    <row r="938" spans="1:8">
      <c r="A938" t="s">
        <v>279</v>
      </c>
      <c r="B938" t="s">
        <v>353</v>
      </c>
      <c r="C938" t="s">
        <v>354</v>
      </c>
      <c r="D938" t="s">
        <v>898</v>
      </c>
      <c r="E938">
        <v>48</v>
      </c>
      <c r="F938" t="s">
        <v>11</v>
      </c>
      <c r="G938">
        <v>3</v>
      </c>
      <c r="H938" t="s">
        <v>12</v>
      </c>
    </row>
    <row r="939" spans="1:8">
      <c r="A939" t="s">
        <v>279</v>
      </c>
      <c r="B939" t="s">
        <v>355</v>
      </c>
      <c r="C939" t="s">
        <v>356</v>
      </c>
      <c r="D939" t="s">
        <v>898</v>
      </c>
      <c r="E939">
        <v>45</v>
      </c>
      <c r="F939" t="s">
        <v>11</v>
      </c>
      <c r="G939">
        <v>3</v>
      </c>
      <c r="H939" t="s">
        <v>12</v>
      </c>
    </row>
    <row r="940" spans="1:8">
      <c r="A940" t="s">
        <v>279</v>
      </c>
      <c r="B940" t="s">
        <v>286</v>
      </c>
      <c r="C940" t="s">
        <v>287</v>
      </c>
      <c r="D940" t="s">
        <v>898</v>
      </c>
      <c r="E940">
        <v>54</v>
      </c>
      <c r="F940" t="s">
        <v>11</v>
      </c>
      <c r="G940">
        <v>3</v>
      </c>
      <c r="H940" t="s">
        <v>12</v>
      </c>
    </row>
    <row r="941" spans="1:8">
      <c r="A941" t="s">
        <v>279</v>
      </c>
      <c r="B941" t="s">
        <v>357</v>
      </c>
      <c r="C941" t="s">
        <v>358</v>
      </c>
      <c r="D941" t="s">
        <v>898</v>
      </c>
      <c r="E941">
        <v>51</v>
      </c>
      <c r="F941" t="s">
        <v>11</v>
      </c>
      <c r="G941">
        <v>3</v>
      </c>
      <c r="H941" t="s">
        <v>12</v>
      </c>
    </row>
    <row r="942" spans="1:8">
      <c r="A942" t="s">
        <v>279</v>
      </c>
      <c r="B942" t="s">
        <v>359</v>
      </c>
      <c r="C942" t="s">
        <v>360</v>
      </c>
      <c r="D942" t="s">
        <v>898</v>
      </c>
      <c r="E942">
        <v>58</v>
      </c>
      <c r="F942" t="s">
        <v>11</v>
      </c>
      <c r="G942">
        <v>3</v>
      </c>
      <c r="H942" t="s">
        <v>12</v>
      </c>
    </row>
    <row r="943" spans="1:8">
      <c r="A943" t="s">
        <v>279</v>
      </c>
      <c r="B943" t="s">
        <v>288</v>
      </c>
      <c r="C943" t="s">
        <v>289</v>
      </c>
      <c r="D943" t="s">
        <v>898</v>
      </c>
      <c r="E943">
        <v>56</v>
      </c>
      <c r="F943" t="s">
        <v>11</v>
      </c>
      <c r="G943">
        <v>3</v>
      </c>
      <c r="H943" t="s">
        <v>12</v>
      </c>
    </row>
    <row r="944" spans="1:8">
      <c r="A944" t="s">
        <v>279</v>
      </c>
      <c r="B944" t="s">
        <v>361</v>
      </c>
      <c r="C944" t="s">
        <v>362</v>
      </c>
      <c r="D944" t="s">
        <v>898</v>
      </c>
      <c r="E944">
        <v>58</v>
      </c>
      <c r="F944" t="s">
        <v>11</v>
      </c>
      <c r="G944">
        <v>3</v>
      </c>
      <c r="H944" t="s">
        <v>12</v>
      </c>
    </row>
    <row r="945" spans="1:8">
      <c r="A945" t="s">
        <v>279</v>
      </c>
      <c r="B945" t="s">
        <v>899</v>
      </c>
      <c r="C945" t="s">
        <v>900</v>
      </c>
      <c r="D945" t="s">
        <v>898</v>
      </c>
      <c r="E945">
        <v>58</v>
      </c>
      <c r="F945" t="s">
        <v>11</v>
      </c>
      <c r="G945">
        <v>3</v>
      </c>
      <c r="H945" t="s">
        <v>12</v>
      </c>
    </row>
    <row r="946" spans="1:8">
      <c r="A946" t="s">
        <v>174</v>
      </c>
      <c r="B946" t="s">
        <v>831</v>
      </c>
      <c r="C946" t="s">
        <v>832</v>
      </c>
      <c r="D946" t="s">
        <v>898</v>
      </c>
      <c r="E946">
        <v>52</v>
      </c>
      <c r="F946" t="s">
        <v>11</v>
      </c>
      <c r="G946">
        <v>3</v>
      </c>
      <c r="H946" t="s">
        <v>12</v>
      </c>
    </row>
    <row r="947" spans="1:8" hidden="1">
      <c r="A947" t="s">
        <v>696</v>
      </c>
      <c r="B947" t="s">
        <v>707</v>
      </c>
      <c r="C947" t="s">
        <v>708</v>
      </c>
      <c r="D947" t="s">
        <v>709</v>
      </c>
      <c r="E947">
        <v>55</v>
      </c>
      <c r="F947" t="s">
        <v>11</v>
      </c>
      <c r="G947">
        <v>2</v>
      </c>
      <c r="H947" t="s">
        <v>12</v>
      </c>
    </row>
    <row r="948" spans="1:8" hidden="1">
      <c r="A948" t="s">
        <v>693</v>
      </c>
      <c r="B948" t="s">
        <v>694</v>
      </c>
      <c r="C948" t="s">
        <v>695</v>
      </c>
      <c r="D948" t="s">
        <v>962</v>
      </c>
      <c r="E948">
        <v>44</v>
      </c>
      <c r="F948" t="s">
        <v>11</v>
      </c>
      <c r="G948">
        <v>2</v>
      </c>
      <c r="H948" t="s">
        <v>12</v>
      </c>
    </row>
    <row r="949" spans="1:8" hidden="1">
      <c r="A949" t="s">
        <v>693</v>
      </c>
      <c r="B949" t="s">
        <v>963</v>
      </c>
      <c r="C949" t="s">
        <v>964</v>
      </c>
      <c r="D949" t="s">
        <v>962</v>
      </c>
      <c r="E949">
        <v>58</v>
      </c>
      <c r="F949" t="s">
        <v>11</v>
      </c>
      <c r="G949">
        <v>2</v>
      </c>
      <c r="H949" t="s">
        <v>12</v>
      </c>
    </row>
    <row r="950" spans="1:8" hidden="1">
      <c r="A950" t="s">
        <v>234</v>
      </c>
      <c r="B950" t="s">
        <v>616</v>
      </c>
      <c r="C950" t="s">
        <v>617</v>
      </c>
      <c r="D950" t="s">
        <v>793</v>
      </c>
      <c r="E950">
        <v>50</v>
      </c>
      <c r="F950" t="s">
        <v>11</v>
      </c>
      <c r="G950">
        <v>1</v>
      </c>
      <c r="H950" t="s">
        <v>12</v>
      </c>
    </row>
    <row r="951" spans="1:8" hidden="1">
      <c r="A951" t="s">
        <v>335</v>
      </c>
      <c r="B951" t="s">
        <v>663</v>
      </c>
      <c r="C951" t="s">
        <v>664</v>
      </c>
      <c r="D951" t="s">
        <v>793</v>
      </c>
      <c r="E951">
        <v>52</v>
      </c>
      <c r="F951" t="s">
        <v>11</v>
      </c>
      <c r="G951">
        <v>1</v>
      </c>
      <c r="H951" t="s">
        <v>12</v>
      </c>
    </row>
    <row r="952" spans="1:8" hidden="1">
      <c r="A952" t="s">
        <v>25</v>
      </c>
      <c r="B952" t="s">
        <v>38</v>
      </c>
      <c r="C952" t="s">
        <v>39</v>
      </c>
      <c r="D952" t="s">
        <v>702</v>
      </c>
      <c r="E952">
        <v>58</v>
      </c>
      <c r="F952" t="s">
        <v>11</v>
      </c>
      <c r="G952">
        <v>2</v>
      </c>
      <c r="H952" t="s">
        <v>12</v>
      </c>
    </row>
    <row r="953" spans="1:8" hidden="1">
      <c r="A953" t="s">
        <v>25</v>
      </c>
      <c r="B953" t="s">
        <v>703</v>
      </c>
      <c r="C953" t="s">
        <v>704</v>
      </c>
      <c r="D953" t="s">
        <v>702</v>
      </c>
      <c r="E953">
        <v>56</v>
      </c>
      <c r="F953" t="s">
        <v>11</v>
      </c>
      <c r="G953">
        <v>2</v>
      </c>
      <c r="H953" t="s">
        <v>12</v>
      </c>
    </row>
    <row r="954" spans="1:8" hidden="1">
      <c r="A954" t="s">
        <v>301</v>
      </c>
      <c r="B954" t="s">
        <v>304</v>
      </c>
      <c r="C954" t="s">
        <v>305</v>
      </c>
      <c r="D954" t="s">
        <v>702</v>
      </c>
      <c r="E954">
        <v>56</v>
      </c>
      <c r="F954" t="s">
        <v>11</v>
      </c>
      <c r="G954">
        <v>2</v>
      </c>
      <c r="H954" t="s">
        <v>12</v>
      </c>
    </row>
    <row r="955" spans="1:8" hidden="1">
      <c r="A955" t="s">
        <v>301</v>
      </c>
      <c r="B955" t="s">
        <v>705</v>
      </c>
      <c r="C955" t="s">
        <v>706</v>
      </c>
      <c r="D955" t="s">
        <v>702</v>
      </c>
      <c r="E955">
        <v>43</v>
      </c>
      <c r="F955" t="s">
        <v>11</v>
      </c>
      <c r="G955">
        <v>2</v>
      </c>
      <c r="H955" t="s">
        <v>12</v>
      </c>
    </row>
    <row r="956" spans="1:8" hidden="1">
      <c r="A956" t="s">
        <v>301</v>
      </c>
      <c r="B956" t="s">
        <v>318</v>
      </c>
      <c r="C956" t="s">
        <v>319</v>
      </c>
      <c r="D956" t="s">
        <v>702</v>
      </c>
      <c r="E956">
        <v>48</v>
      </c>
      <c r="F956" t="s">
        <v>11</v>
      </c>
      <c r="G956">
        <v>2</v>
      </c>
      <c r="H956" t="s">
        <v>12</v>
      </c>
    </row>
    <row r="957" spans="1:8" hidden="1">
      <c r="A957" t="s">
        <v>322</v>
      </c>
      <c r="B957" t="s">
        <v>323</v>
      </c>
      <c r="C957" t="s">
        <v>324</v>
      </c>
      <c r="D957" t="s">
        <v>702</v>
      </c>
      <c r="E957">
        <v>59</v>
      </c>
      <c r="F957" t="s">
        <v>11</v>
      </c>
      <c r="G957">
        <v>2</v>
      </c>
      <c r="H957" t="s">
        <v>12</v>
      </c>
    </row>
    <row r="958" spans="1:8" hidden="1">
      <c r="A958" t="s">
        <v>335</v>
      </c>
      <c r="B958" t="s">
        <v>659</v>
      </c>
      <c r="C958" t="s">
        <v>660</v>
      </c>
      <c r="D958" t="s">
        <v>702</v>
      </c>
      <c r="E958">
        <v>58</v>
      </c>
      <c r="F958" t="s">
        <v>11</v>
      </c>
      <c r="G958">
        <v>2</v>
      </c>
      <c r="H958" t="s">
        <v>12</v>
      </c>
    </row>
    <row r="959" spans="1:8" hidden="1">
      <c r="A959" t="s">
        <v>335</v>
      </c>
      <c r="B959" t="s">
        <v>399</v>
      </c>
      <c r="C959" t="s">
        <v>400</v>
      </c>
      <c r="D959" t="s">
        <v>702</v>
      </c>
      <c r="E959">
        <v>57</v>
      </c>
      <c r="F959" t="s">
        <v>11</v>
      </c>
      <c r="G959">
        <v>2</v>
      </c>
      <c r="H959" t="s">
        <v>12</v>
      </c>
    </row>
    <row r="960" spans="1:8" hidden="1">
      <c r="A960" t="s">
        <v>141</v>
      </c>
      <c r="B960" t="s">
        <v>148</v>
      </c>
      <c r="C960" t="s">
        <v>149</v>
      </c>
      <c r="D960" t="s">
        <v>702</v>
      </c>
      <c r="E960">
        <v>52</v>
      </c>
      <c r="F960" t="s">
        <v>11</v>
      </c>
      <c r="G960">
        <v>2</v>
      </c>
      <c r="H960" t="s">
        <v>12</v>
      </c>
    </row>
    <row r="961" spans="1:8" hidden="1">
      <c r="A961" t="s">
        <v>301</v>
      </c>
      <c r="B961" t="s">
        <v>463</v>
      </c>
      <c r="C961" t="s">
        <v>464</v>
      </c>
      <c r="D961" t="s">
        <v>866</v>
      </c>
      <c r="E961">
        <v>55</v>
      </c>
      <c r="F961" t="s">
        <v>583</v>
      </c>
      <c r="G961">
        <v>1</v>
      </c>
      <c r="H961" t="s">
        <v>12</v>
      </c>
    </row>
    <row r="962" spans="1:8" hidden="1">
      <c r="A962" t="s">
        <v>301</v>
      </c>
      <c r="B962" t="s">
        <v>304</v>
      </c>
      <c r="C962" t="s">
        <v>305</v>
      </c>
      <c r="D962" t="s">
        <v>866</v>
      </c>
      <c r="E962">
        <v>51</v>
      </c>
      <c r="F962" t="s">
        <v>583</v>
      </c>
      <c r="G962">
        <v>1</v>
      </c>
      <c r="H962" t="s">
        <v>12</v>
      </c>
    </row>
    <row r="963" spans="1:8" hidden="1">
      <c r="A963" t="s">
        <v>301</v>
      </c>
      <c r="B963" t="s">
        <v>306</v>
      </c>
      <c r="C963" t="s">
        <v>307</v>
      </c>
      <c r="D963" t="s">
        <v>866</v>
      </c>
      <c r="E963">
        <v>55</v>
      </c>
      <c r="F963" t="s">
        <v>583</v>
      </c>
      <c r="G963">
        <v>1</v>
      </c>
      <c r="H963" t="s">
        <v>12</v>
      </c>
    </row>
    <row r="964" spans="1:8" hidden="1">
      <c r="A964" t="s">
        <v>301</v>
      </c>
      <c r="B964" t="s">
        <v>308</v>
      </c>
      <c r="C964" t="s">
        <v>309</v>
      </c>
      <c r="D964" t="s">
        <v>866</v>
      </c>
      <c r="E964">
        <v>54</v>
      </c>
      <c r="F964" t="s">
        <v>583</v>
      </c>
      <c r="G964">
        <v>1</v>
      </c>
      <c r="H964" t="s">
        <v>12</v>
      </c>
    </row>
    <row r="965" spans="1:8" hidden="1">
      <c r="A965" t="s">
        <v>301</v>
      </c>
      <c r="B965" t="s">
        <v>314</v>
      </c>
      <c r="C965" t="s">
        <v>315</v>
      </c>
      <c r="D965" t="s">
        <v>866</v>
      </c>
      <c r="E965">
        <v>51</v>
      </c>
      <c r="F965" t="s">
        <v>583</v>
      </c>
      <c r="G965">
        <v>1</v>
      </c>
      <c r="H965" t="s">
        <v>12</v>
      </c>
    </row>
    <row r="966" spans="1:8" hidden="1">
      <c r="A966" t="s">
        <v>301</v>
      </c>
      <c r="B966" t="s">
        <v>705</v>
      </c>
      <c r="C966" t="s">
        <v>706</v>
      </c>
      <c r="D966" t="s">
        <v>866</v>
      </c>
      <c r="E966">
        <v>56</v>
      </c>
      <c r="F966" t="s">
        <v>583</v>
      </c>
      <c r="G966">
        <v>1</v>
      </c>
      <c r="H966" t="s">
        <v>12</v>
      </c>
    </row>
    <row r="967" spans="1:8" hidden="1">
      <c r="A967" t="s">
        <v>301</v>
      </c>
      <c r="B967" t="s">
        <v>867</v>
      </c>
      <c r="C967" t="s">
        <v>868</v>
      </c>
      <c r="D967" t="s">
        <v>866</v>
      </c>
      <c r="E967">
        <v>49</v>
      </c>
      <c r="F967" t="s">
        <v>583</v>
      </c>
      <c r="G967">
        <v>1</v>
      </c>
      <c r="H967" t="s">
        <v>12</v>
      </c>
    </row>
    <row r="968" spans="1:8" hidden="1">
      <c r="A968" t="s">
        <v>301</v>
      </c>
      <c r="B968" t="s">
        <v>316</v>
      </c>
      <c r="C968" t="s">
        <v>317</v>
      </c>
      <c r="D968" t="s">
        <v>866</v>
      </c>
      <c r="E968">
        <v>51</v>
      </c>
      <c r="F968" t="s">
        <v>583</v>
      </c>
      <c r="G968">
        <v>1</v>
      </c>
      <c r="H968" t="s">
        <v>12</v>
      </c>
    </row>
    <row r="969" spans="1:8" hidden="1">
      <c r="A969" t="s">
        <v>301</v>
      </c>
      <c r="B969" t="s">
        <v>467</v>
      </c>
      <c r="C969" t="s">
        <v>468</v>
      </c>
      <c r="D969" t="s">
        <v>866</v>
      </c>
      <c r="E969">
        <v>58</v>
      </c>
      <c r="F969" t="s">
        <v>583</v>
      </c>
      <c r="G969">
        <v>1</v>
      </c>
      <c r="H969" t="s">
        <v>12</v>
      </c>
    </row>
    <row r="970" spans="1:8" hidden="1">
      <c r="A970" t="s">
        <v>301</v>
      </c>
      <c r="B970" t="s">
        <v>318</v>
      </c>
      <c r="C970" t="s">
        <v>319</v>
      </c>
      <c r="D970" t="s">
        <v>866</v>
      </c>
      <c r="E970">
        <v>46</v>
      </c>
      <c r="F970" t="s">
        <v>583</v>
      </c>
      <c r="G970">
        <v>1</v>
      </c>
      <c r="H970" t="s">
        <v>12</v>
      </c>
    </row>
    <row r="971" spans="1:8" hidden="1">
      <c r="A971" t="s">
        <v>301</v>
      </c>
      <c r="B971" t="s">
        <v>869</v>
      </c>
      <c r="C971" t="s">
        <v>870</v>
      </c>
      <c r="D971" t="s">
        <v>866</v>
      </c>
      <c r="E971">
        <v>43</v>
      </c>
      <c r="F971" t="s">
        <v>583</v>
      </c>
      <c r="G971">
        <v>1</v>
      </c>
      <c r="H971" t="s">
        <v>12</v>
      </c>
    </row>
    <row r="972" spans="1:8" hidden="1">
      <c r="A972" t="s">
        <v>301</v>
      </c>
      <c r="B972" t="s">
        <v>471</v>
      </c>
      <c r="C972" t="s">
        <v>472</v>
      </c>
      <c r="D972" t="s">
        <v>866</v>
      </c>
      <c r="E972">
        <v>53</v>
      </c>
      <c r="F972" t="s">
        <v>583</v>
      </c>
      <c r="G972">
        <v>1</v>
      </c>
      <c r="H972" t="s">
        <v>12</v>
      </c>
    </row>
    <row r="973" spans="1:8" hidden="1">
      <c r="A973" t="s">
        <v>301</v>
      </c>
      <c r="B973" t="s">
        <v>320</v>
      </c>
      <c r="C973" t="s">
        <v>321</v>
      </c>
      <c r="D973" t="s">
        <v>866</v>
      </c>
      <c r="E973">
        <v>51</v>
      </c>
      <c r="F973" t="s">
        <v>583</v>
      </c>
      <c r="G973">
        <v>1</v>
      </c>
      <c r="H973" t="s">
        <v>12</v>
      </c>
    </row>
    <row r="974" spans="1:8" hidden="1">
      <c r="A974" t="s">
        <v>301</v>
      </c>
      <c r="B974" t="s">
        <v>677</v>
      </c>
      <c r="C974" t="s">
        <v>678</v>
      </c>
      <c r="D974" t="s">
        <v>866</v>
      </c>
      <c r="E974">
        <v>57</v>
      </c>
      <c r="F974" t="s">
        <v>583</v>
      </c>
      <c r="G974">
        <v>1</v>
      </c>
      <c r="H974" t="s">
        <v>12</v>
      </c>
    </row>
    <row r="975" spans="1:8" hidden="1">
      <c r="A975" t="s">
        <v>301</v>
      </c>
      <c r="B975" t="s">
        <v>473</v>
      </c>
      <c r="C975" t="s">
        <v>474</v>
      </c>
      <c r="D975" t="s">
        <v>866</v>
      </c>
      <c r="E975">
        <v>44</v>
      </c>
      <c r="F975" t="s">
        <v>583</v>
      </c>
      <c r="G975">
        <v>1</v>
      </c>
      <c r="H975" t="s">
        <v>12</v>
      </c>
    </row>
    <row r="976" spans="1:8" hidden="1">
      <c r="A976" t="s">
        <v>693</v>
      </c>
      <c r="B976" t="s">
        <v>694</v>
      </c>
      <c r="C976" t="s">
        <v>695</v>
      </c>
      <c r="D976" t="s">
        <v>966</v>
      </c>
      <c r="E976">
        <v>45</v>
      </c>
      <c r="F976" t="s">
        <v>583</v>
      </c>
      <c r="G976">
        <v>2</v>
      </c>
      <c r="H976" t="s">
        <v>12</v>
      </c>
    </row>
    <row r="977" spans="1:8" hidden="1">
      <c r="A977" t="s">
        <v>174</v>
      </c>
      <c r="B977" t="s">
        <v>831</v>
      </c>
      <c r="C977" t="s">
        <v>832</v>
      </c>
      <c r="D977" t="s">
        <v>903</v>
      </c>
      <c r="E977">
        <v>55</v>
      </c>
      <c r="F977" t="s">
        <v>11</v>
      </c>
      <c r="G977">
        <v>3</v>
      </c>
      <c r="H977" t="s">
        <v>851</v>
      </c>
    </row>
    <row r="978" spans="1:8" hidden="1">
      <c r="A978" t="s">
        <v>7</v>
      </c>
      <c r="B978" t="s">
        <v>745</v>
      </c>
      <c r="C978" t="s">
        <v>746</v>
      </c>
      <c r="D978" t="s">
        <v>850</v>
      </c>
      <c r="E978">
        <v>40</v>
      </c>
      <c r="F978" t="s">
        <v>11</v>
      </c>
      <c r="G978">
        <v>3</v>
      </c>
      <c r="H978" t="s">
        <v>851</v>
      </c>
    </row>
    <row r="979" spans="1:8" hidden="1">
      <c r="A979" t="s">
        <v>7</v>
      </c>
      <c r="B979" t="s">
        <v>15</v>
      </c>
      <c r="C979" t="s">
        <v>16</v>
      </c>
      <c r="D979" t="s">
        <v>850</v>
      </c>
      <c r="E979">
        <v>40</v>
      </c>
      <c r="F979" t="s">
        <v>11</v>
      </c>
      <c r="G979">
        <v>3</v>
      </c>
      <c r="H979" t="s">
        <v>851</v>
      </c>
    </row>
    <row r="980" spans="1:8" hidden="1">
      <c r="A980" t="s">
        <v>7</v>
      </c>
      <c r="B980" t="s">
        <v>17</v>
      </c>
      <c r="C980" t="s">
        <v>18</v>
      </c>
      <c r="D980" t="s">
        <v>850</v>
      </c>
      <c r="E980">
        <v>46</v>
      </c>
      <c r="F980" t="s">
        <v>11</v>
      </c>
      <c r="G980">
        <v>3</v>
      </c>
      <c r="H980" t="s">
        <v>851</v>
      </c>
    </row>
    <row r="981" spans="1:8" hidden="1">
      <c r="A981" t="s">
        <v>7</v>
      </c>
      <c r="B981" t="s">
        <v>667</v>
      </c>
      <c r="C981" t="s">
        <v>668</v>
      </c>
      <c r="D981" t="s">
        <v>850</v>
      </c>
      <c r="E981">
        <v>54</v>
      </c>
      <c r="F981" t="s">
        <v>11</v>
      </c>
      <c r="G981">
        <v>3</v>
      </c>
      <c r="H981" t="s">
        <v>851</v>
      </c>
    </row>
    <row r="982" spans="1:8" hidden="1">
      <c r="A982" t="s">
        <v>84</v>
      </c>
      <c r="B982" t="s">
        <v>441</v>
      </c>
      <c r="C982" t="s">
        <v>442</v>
      </c>
      <c r="D982" t="s">
        <v>850</v>
      </c>
      <c r="E982">
        <v>59</v>
      </c>
      <c r="F982" t="s">
        <v>11</v>
      </c>
      <c r="G982">
        <v>3</v>
      </c>
      <c r="H982" t="s">
        <v>851</v>
      </c>
    </row>
    <row r="983" spans="1:8" hidden="1">
      <c r="A983" t="s">
        <v>84</v>
      </c>
      <c r="B983" t="s">
        <v>755</v>
      </c>
      <c r="C983" t="s">
        <v>756</v>
      </c>
      <c r="D983" t="s">
        <v>850</v>
      </c>
      <c r="E983">
        <v>50</v>
      </c>
      <c r="F983" t="s">
        <v>11</v>
      </c>
      <c r="G983">
        <v>3</v>
      </c>
      <c r="H983" t="s">
        <v>851</v>
      </c>
    </row>
    <row r="984" spans="1:8" hidden="1">
      <c r="A984" t="s">
        <v>84</v>
      </c>
      <c r="B984" t="s">
        <v>95</v>
      </c>
      <c r="C984" t="s">
        <v>96</v>
      </c>
      <c r="D984" t="s">
        <v>850</v>
      </c>
      <c r="E984">
        <v>49</v>
      </c>
      <c r="F984" t="s">
        <v>11</v>
      </c>
      <c r="G984">
        <v>3</v>
      </c>
      <c r="H984" t="s">
        <v>851</v>
      </c>
    </row>
    <row r="985" spans="1:8" hidden="1">
      <c r="A985" t="s">
        <v>25</v>
      </c>
      <c r="B985" t="s">
        <v>28</v>
      </c>
      <c r="C985" t="s">
        <v>29</v>
      </c>
      <c r="D985" t="s">
        <v>850</v>
      </c>
      <c r="E985">
        <v>41</v>
      </c>
      <c r="F985" t="s">
        <v>11</v>
      </c>
      <c r="G985">
        <v>3</v>
      </c>
      <c r="H985" t="s">
        <v>851</v>
      </c>
    </row>
    <row r="986" spans="1:8" hidden="1">
      <c r="A986" t="s">
        <v>25</v>
      </c>
      <c r="B986" t="s">
        <v>338</v>
      </c>
      <c r="C986" t="s">
        <v>339</v>
      </c>
      <c r="D986" t="s">
        <v>850</v>
      </c>
      <c r="E986">
        <v>41</v>
      </c>
      <c r="F986" t="s">
        <v>11</v>
      </c>
      <c r="G986">
        <v>3</v>
      </c>
      <c r="H986" t="s">
        <v>851</v>
      </c>
    </row>
    <row r="987" spans="1:8" hidden="1">
      <c r="A987" t="s">
        <v>25</v>
      </c>
      <c r="B987" t="s">
        <v>349</v>
      </c>
      <c r="C987" t="s">
        <v>350</v>
      </c>
      <c r="D987" t="s">
        <v>850</v>
      </c>
      <c r="E987">
        <v>55</v>
      </c>
      <c r="F987" t="s">
        <v>11</v>
      </c>
      <c r="G987">
        <v>3</v>
      </c>
      <c r="H987" t="s">
        <v>851</v>
      </c>
    </row>
    <row r="988" spans="1:8" hidden="1">
      <c r="A988" t="s">
        <v>25</v>
      </c>
      <c r="B988" t="s">
        <v>351</v>
      </c>
      <c r="C988" t="s">
        <v>352</v>
      </c>
      <c r="D988" t="s">
        <v>850</v>
      </c>
      <c r="E988">
        <v>52</v>
      </c>
      <c r="F988" t="s">
        <v>11</v>
      </c>
      <c r="G988">
        <v>3</v>
      </c>
      <c r="H988" t="s">
        <v>851</v>
      </c>
    </row>
    <row r="989" spans="1:8" hidden="1">
      <c r="A989" t="s">
        <v>246</v>
      </c>
      <c r="B989" t="s">
        <v>590</v>
      </c>
      <c r="C989" t="s">
        <v>591</v>
      </c>
      <c r="D989" t="s">
        <v>850</v>
      </c>
      <c r="E989">
        <v>40</v>
      </c>
      <c r="F989" t="s">
        <v>11</v>
      </c>
      <c r="G989">
        <v>3</v>
      </c>
      <c r="H989" t="s">
        <v>851</v>
      </c>
    </row>
    <row r="990" spans="1:8" hidden="1">
      <c r="A990" t="s">
        <v>246</v>
      </c>
      <c r="B990" t="s">
        <v>596</v>
      </c>
      <c r="C990" t="s">
        <v>597</v>
      </c>
      <c r="D990" t="s">
        <v>850</v>
      </c>
      <c r="E990">
        <v>40</v>
      </c>
      <c r="F990" t="s">
        <v>11</v>
      </c>
      <c r="G990">
        <v>3</v>
      </c>
      <c r="H990" t="s">
        <v>851</v>
      </c>
    </row>
    <row r="991" spans="1:8" hidden="1">
      <c r="A991" t="s">
        <v>322</v>
      </c>
      <c r="B991" t="s">
        <v>323</v>
      </c>
      <c r="C991" t="s">
        <v>324</v>
      </c>
      <c r="D991" t="s">
        <v>850</v>
      </c>
      <c r="E991">
        <v>52</v>
      </c>
      <c r="F991" t="s">
        <v>11</v>
      </c>
      <c r="G991">
        <v>3</v>
      </c>
      <c r="H991" t="s">
        <v>851</v>
      </c>
    </row>
    <row r="992" spans="1:8" hidden="1">
      <c r="A992" t="s">
        <v>322</v>
      </c>
      <c r="B992" t="s">
        <v>325</v>
      </c>
      <c r="C992" t="s">
        <v>326</v>
      </c>
      <c r="D992" t="s">
        <v>850</v>
      </c>
      <c r="E992">
        <v>56</v>
      </c>
      <c r="F992" t="s">
        <v>11</v>
      </c>
      <c r="G992">
        <v>3</v>
      </c>
      <c r="H992" t="s">
        <v>851</v>
      </c>
    </row>
    <row r="993" spans="1:8" hidden="1">
      <c r="A993" t="s">
        <v>322</v>
      </c>
      <c r="B993" t="s">
        <v>329</v>
      </c>
      <c r="C993" t="s">
        <v>330</v>
      </c>
      <c r="D993" t="s">
        <v>850</v>
      </c>
      <c r="E993">
        <v>52</v>
      </c>
      <c r="F993" t="s">
        <v>11</v>
      </c>
      <c r="G993">
        <v>3</v>
      </c>
      <c r="H993" t="s">
        <v>851</v>
      </c>
    </row>
    <row r="994" spans="1:8" hidden="1">
      <c r="A994" t="s">
        <v>322</v>
      </c>
      <c r="B994" t="s">
        <v>333</v>
      </c>
      <c r="C994" t="s">
        <v>334</v>
      </c>
      <c r="D994" t="s">
        <v>850</v>
      </c>
      <c r="E994">
        <v>46</v>
      </c>
      <c r="F994" t="s">
        <v>11</v>
      </c>
      <c r="G994">
        <v>3</v>
      </c>
      <c r="H994" t="s">
        <v>851</v>
      </c>
    </row>
    <row r="995" spans="1:8" hidden="1">
      <c r="A995" t="s">
        <v>322</v>
      </c>
      <c r="B995" t="s">
        <v>854</v>
      </c>
      <c r="C995" t="s">
        <v>855</v>
      </c>
      <c r="D995" t="s">
        <v>850</v>
      </c>
      <c r="E995">
        <v>55</v>
      </c>
      <c r="F995" t="s">
        <v>11</v>
      </c>
      <c r="G995">
        <v>3</v>
      </c>
      <c r="H995" t="s">
        <v>851</v>
      </c>
    </row>
    <row r="996" spans="1:8" hidden="1">
      <c r="A996" t="s">
        <v>217</v>
      </c>
      <c r="B996" t="s">
        <v>852</v>
      </c>
      <c r="C996" t="s">
        <v>853</v>
      </c>
      <c r="D996" t="s">
        <v>850</v>
      </c>
      <c r="E996">
        <v>57</v>
      </c>
      <c r="F996" t="s">
        <v>11</v>
      </c>
      <c r="G996">
        <v>3</v>
      </c>
      <c r="H996" t="s">
        <v>851</v>
      </c>
    </row>
    <row r="997" spans="1:8" hidden="1">
      <c r="A997" t="s">
        <v>217</v>
      </c>
      <c r="B997" t="s">
        <v>220</v>
      </c>
      <c r="C997" t="s">
        <v>221</v>
      </c>
      <c r="D997" t="s">
        <v>850</v>
      </c>
      <c r="E997">
        <v>45</v>
      </c>
      <c r="F997" t="s">
        <v>11</v>
      </c>
      <c r="G997">
        <v>3</v>
      </c>
      <c r="H997" t="s">
        <v>851</v>
      </c>
    </row>
    <row r="998" spans="1:8" hidden="1">
      <c r="A998" t="s">
        <v>217</v>
      </c>
      <c r="B998" t="s">
        <v>848</v>
      </c>
      <c r="C998" t="s">
        <v>849</v>
      </c>
      <c r="D998" t="s">
        <v>850</v>
      </c>
      <c r="E998">
        <v>47</v>
      </c>
      <c r="F998" t="s">
        <v>11</v>
      </c>
      <c r="G998">
        <v>3</v>
      </c>
      <c r="H998" t="s">
        <v>851</v>
      </c>
    </row>
    <row r="999" spans="1:8" hidden="1">
      <c r="A999" t="s">
        <v>217</v>
      </c>
      <c r="B999" t="s">
        <v>222</v>
      </c>
      <c r="C999" t="s">
        <v>223</v>
      </c>
      <c r="D999" t="s">
        <v>850</v>
      </c>
      <c r="E999">
        <v>57</v>
      </c>
      <c r="F999" t="s">
        <v>11</v>
      </c>
      <c r="G999">
        <v>3</v>
      </c>
      <c r="H999" t="s">
        <v>851</v>
      </c>
    </row>
    <row r="1000" spans="1:8" hidden="1">
      <c r="A1000" t="s">
        <v>217</v>
      </c>
      <c r="B1000" t="s">
        <v>224</v>
      </c>
      <c r="C1000" t="s">
        <v>225</v>
      </c>
      <c r="D1000" t="s">
        <v>850</v>
      </c>
      <c r="E1000">
        <v>42</v>
      </c>
      <c r="F1000" t="s">
        <v>11</v>
      </c>
      <c r="G1000">
        <v>3</v>
      </c>
      <c r="H1000" t="s">
        <v>851</v>
      </c>
    </row>
    <row r="1001" spans="1:8" hidden="1">
      <c r="A1001" t="s">
        <v>217</v>
      </c>
      <c r="B1001" t="s">
        <v>383</v>
      </c>
      <c r="C1001" t="s">
        <v>384</v>
      </c>
      <c r="D1001" t="s">
        <v>850</v>
      </c>
      <c r="E1001">
        <v>53</v>
      </c>
      <c r="F1001" t="s">
        <v>11</v>
      </c>
      <c r="G1001">
        <v>3</v>
      </c>
      <c r="H1001" t="s">
        <v>851</v>
      </c>
    </row>
    <row r="1002" spans="1:8" hidden="1">
      <c r="A1002" t="s">
        <v>217</v>
      </c>
      <c r="B1002" t="s">
        <v>228</v>
      </c>
      <c r="C1002" t="s">
        <v>229</v>
      </c>
      <c r="D1002" t="s">
        <v>850</v>
      </c>
      <c r="E1002">
        <v>45</v>
      </c>
      <c r="F1002" t="s">
        <v>11</v>
      </c>
      <c r="G1002">
        <v>3</v>
      </c>
      <c r="H1002" t="s">
        <v>851</v>
      </c>
    </row>
    <row r="1003" spans="1:8" hidden="1">
      <c r="A1003" t="s">
        <v>122</v>
      </c>
      <c r="B1003" t="s">
        <v>822</v>
      </c>
      <c r="C1003" t="s">
        <v>823</v>
      </c>
      <c r="D1003" t="s">
        <v>850</v>
      </c>
      <c r="E1003">
        <v>52</v>
      </c>
      <c r="F1003" t="s">
        <v>11</v>
      </c>
      <c r="G1003">
        <v>3</v>
      </c>
      <c r="H1003" t="s">
        <v>851</v>
      </c>
    </row>
    <row r="1004" spans="1:8" hidden="1">
      <c r="A1004" t="s">
        <v>122</v>
      </c>
      <c r="B1004" t="s">
        <v>127</v>
      </c>
      <c r="C1004" t="s">
        <v>128</v>
      </c>
      <c r="D1004" t="s">
        <v>850</v>
      </c>
      <c r="E1004">
        <v>53</v>
      </c>
      <c r="F1004" t="s">
        <v>11</v>
      </c>
      <c r="G1004">
        <v>3</v>
      </c>
      <c r="H1004" t="s">
        <v>851</v>
      </c>
    </row>
    <row r="1005" spans="1:8" hidden="1">
      <c r="A1005" t="s">
        <v>122</v>
      </c>
      <c r="B1005" t="s">
        <v>856</v>
      </c>
      <c r="C1005" t="s">
        <v>857</v>
      </c>
      <c r="D1005" t="s">
        <v>850</v>
      </c>
      <c r="E1005">
        <v>55</v>
      </c>
      <c r="F1005" t="s">
        <v>11</v>
      </c>
      <c r="G1005">
        <v>3</v>
      </c>
      <c r="H1005" t="s">
        <v>851</v>
      </c>
    </row>
    <row r="1006" spans="1:8" hidden="1">
      <c r="A1006" t="s">
        <v>122</v>
      </c>
      <c r="B1006" t="s">
        <v>133</v>
      </c>
      <c r="C1006" t="s">
        <v>134</v>
      </c>
      <c r="D1006" t="s">
        <v>850</v>
      </c>
      <c r="E1006">
        <v>54</v>
      </c>
      <c r="F1006" t="s">
        <v>11</v>
      </c>
      <c r="G1006">
        <v>3</v>
      </c>
      <c r="H1006" t="s">
        <v>851</v>
      </c>
    </row>
    <row r="1007" spans="1:8" hidden="1">
      <c r="A1007" t="s">
        <v>7</v>
      </c>
      <c r="B1007" t="s">
        <v>747</v>
      </c>
      <c r="C1007" t="s">
        <v>748</v>
      </c>
      <c r="D1007" t="s">
        <v>861</v>
      </c>
      <c r="E1007">
        <v>58</v>
      </c>
      <c r="F1007" t="s">
        <v>11</v>
      </c>
      <c r="G1007">
        <v>4</v>
      </c>
      <c r="H1007" t="s">
        <v>851</v>
      </c>
    </row>
    <row r="1008" spans="1:8" hidden="1">
      <c r="A1008" t="s">
        <v>7</v>
      </c>
      <c r="B1008" t="s">
        <v>749</v>
      </c>
      <c r="C1008" t="s">
        <v>750</v>
      </c>
      <c r="D1008" t="s">
        <v>861</v>
      </c>
      <c r="E1008">
        <v>56</v>
      </c>
      <c r="F1008" t="s">
        <v>11</v>
      </c>
      <c r="G1008">
        <v>4</v>
      </c>
      <c r="H1008" t="s">
        <v>851</v>
      </c>
    </row>
    <row r="1009" spans="1:8" hidden="1">
      <c r="A1009" t="s">
        <v>7</v>
      </c>
      <c r="B1009" t="s">
        <v>17</v>
      </c>
      <c r="C1009" t="s">
        <v>18</v>
      </c>
      <c r="D1009" t="s">
        <v>861</v>
      </c>
      <c r="E1009">
        <v>50</v>
      </c>
      <c r="F1009" t="s">
        <v>11</v>
      </c>
      <c r="G1009">
        <v>4</v>
      </c>
      <c r="H1009" t="s">
        <v>851</v>
      </c>
    </row>
    <row r="1010" spans="1:8" hidden="1">
      <c r="A1010" t="s">
        <v>7</v>
      </c>
      <c r="B1010" t="s">
        <v>548</v>
      </c>
      <c r="C1010" t="s">
        <v>549</v>
      </c>
      <c r="D1010" t="s">
        <v>861</v>
      </c>
      <c r="E1010">
        <v>56</v>
      </c>
      <c r="F1010" t="s">
        <v>11</v>
      </c>
      <c r="G1010">
        <v>4</v>
      </c>
      <c r="H1010" t="s">
        <v>851</v>
      </c>
    </row>
    <row r="1011" spans="1:8" hidden="1">
      <c r="A1011" t="s">
        <v>7</v>
      </c>
      <c r="B1011" t="s">
        <v>550</v>
      </c>
      <c r="C1011" t="s">
        <v>551</v>
      </c>
      <c r="D1011" t="s">
        <v>861</v>
      </c>
      <c r="E1011">
        <v>49</v>
      </c>
      <c r="F1011" t="s">
        <v>11</v>
      </c>
      <c r="G1011">
        <v>4</v>
      </c>
      <c r="H1011" t="s">
        <v>851</v>
      </c>
    </row>
    <row r="1012" spans="1:8" hidden="1">
      <c r="A1012" t="s">
        <v>7</v>
      </c>
      <c r="B1012" t="s">
        <v>862</v>
      </c>
      <c r="C1012" t="s">
        <v>863</v>
      </c>
      <c r="D1012" t="s">
        <v>861</v>
      </c>
      <c r="E1012">
        <v>41</v>
      </c>
      <c r="F1012" t="s">
        <v>11</v>
      </c>
      <c r="G1012">
        <v>4</v>
      </c>
      <c r="H1012" t="s">
        <v>851</v>
      </c>
    </row>
    <row r="1013" spans="1:8" hidden="1">
      <c r="A1013" t="s">
        <v>84</v>
      </c>
      <c r="B1013" t="s">
        <v>89</v>
      </c>
      <c r="C1013" t="s">
        <v>90</v>
      </c>
      <c r="D1013" t="s">
        <v>861</v>
      </c>
      <c r="E1013">
        <v>55</v>
      </c>
      <c r="F1013" t="s">
        <v>11</v>
      </c>
      <c r="G1013">
        <v>4</v>
      </c>
      <c r="H1013" t="s">
        <v>851</v>
      </c>
    </row>
    <row r="1014" spans="1:8" hidden="1">
      <c r="A1014" t="s">
        <v>84</v>
      </c>
      <c r="B1014" t="s">
        <v>751</v>
      </c>
      <c r="C1014" t="s">
        <v>752</v>
      </c>
      <c r="D1014" t="s">
        <v>861</v>
      </c>
      <c r="E1014">
        <v>47</v>
      </c>
      <c r="F1014" t="s">
        <v>11</v>
      </c>
      <c r="G1014">
        <v>4</v>
      </c>
      <c r="H1014" t="s">
        <v>851</v>
      </c>
    </row>
    <row r="1015" spans="1:8" hidden="1">
      <c r="A1015" t="s">
        <v>84</v>
      </c>
      <c r="B1015" t="s">
        <v>604</v>
      </c>
      <c r="C1015" t="s">
        <v>605</v>
      </c>
      <c r="D1015" t="s">
        <v>861</v>
      </c>
      <c r="E1015">
        <v>51</v>
      </c>
      <c r="F1015" t="s">
        <v>11</v>
      </c>
      <c r="G1015">
        <v>4</v>
      </c>
      <c r="H1015" t="s">
        <v>851</v>
      </c>
    </row>
    <row r="1016" spans="1:8" hidden="1">
      <c r="A1016" t="s">
        <v>84</v>
      </c>
      <c r="B1016" t="s">
        <v>753</v>
      </c>
      <c r="C1016" t="s">
        <v>754</v>
      </c>
      <c r="D1016" t="s">
        <v>861</v>
      </c>
      <c r="E1016">
        <v>56</v>
      </c>
      <c r="F1016" t="s">
        <v>11</v>
      </c>
      <c r="G1016">
        <v>4</v>
      </c>
      <c r="H1016" t="s">
        <v>851</v>
      </c>
    </row>
    <row r="1017" spans="1:8" hidden="1">
      <c r="A1017" t="s">
        <v>84</v>
      </c>
      <c r="B1017" t="s">
        <v>840</v>
      </c>
      <c r="C1017" t="s">
        <v>841</v>
      </c>
      <c r="D1017" t="s">
        <v>861</v>
      </c>
      <c r="E1017">
        <v>48</v>
      </c>
      <c r="F1017" t="s">
        <v>11</v>
      </c>
      <c r="G1017">
        <v>4</v>
      </c>
      <c r="H1017" t="s">
        <v>851</v>
      </c>
    </row>
    <row r="1018" spans="1:8" hidden="1">
      <c r="A1018" t="s">
        <v>84</v>
      </c>
      <c r="B1018" t="s">
        <v>95</v>
      </c>
      <c r="C1018" t="s">
        <v>96</v>
      </c>
      <c r="D1018" t="s">
        <v>861</v>
      </c>
      <c r="E1018">
        <v>55</v>
      </c>
      <c r="F1018" t="s">
        <v>11</v>
      </c>
      <c r="G1018">
        <v>4</v>
      </c>
      <c r="H1018" t="s">
        <v>851</v>
      </c>
    </row>
    <row r="1019" spans="1:8" hidden="1">
      <c r="A1019" t="s">
        <v>301</v>
      </c>
      <c r="B1019" t="s">
        <v>304</v>
      </c>
      <c r="C1019" t="s">
        <v>305</v>
      </c>
      <c r="D1019" t="s">
        <v>864</v>
      </c>
      <c r="E1019">
        <v>58</v>
      </c>
      <c r="F1019" t="s">
        <v>11</v>
      </c>
      <c r="G1019">
        <v>3</v>
      </c>
      <c r="H1019" t="s">
        <v>851</v>
      </c>
    </row>
    <row r="1020" spans="1:8" hidden="1">
      <c r="A1020" t="s">
        <v>301</v>
      </c>
      <c r="B1020" t="s">
        <v>471</v>
      </c>
      <c r="C1020" t="s">
        <v>472</v>
      </c>
      <c r="D1020" t="s">
        <v>864</v>
      </c>
      <c r="E1020">
        <v>53</v>
      </c>
      <c r="F1020" t="s">
        <v>11</v>
      </c>
      <c r="G1020">
        <v>3</v>
      </c>
      <c r="H1020" t="s">
        <v>851</v>
      </c>
    </row>
    <row r="1021" spans="1:8" hidden="1">
      <c r="A1021" t="s">
        <v>322</v>
      </c>
      <c r="B1021" t="s">
        <v>323</v>
      </c>
      <c r="C1021" t="s">
        <v>324</v>
      </c>
      <c r="D1021" t="s">
        <v>864</v>
      </c>
      <c r="E1021">
        <v>57</v>
      </c>
      <c r="F1021" t="s">
        <v>11</v>
      </c>
      <c r="G1021">
        <v>3</v>
      </c>
      <c r="H1021" t="s">
        <v>851</v>
      </c>
    </row>
    <row r="1022" spans="1:8" hidden="1">
      <c r="A1022" t="s">
        <v>322</v>
      </c>
      <c r="B1022" t="s">
        <v>329</v>
      </c>
      <c r="C1022" t="s">
        <v>330</v>
      </c>
      <c r="D1022" t="s">
        <v>864</v>
      </c>
      <c r="E1022">
        <v>59</v>
      </c>
      <c r="F1022" t="s">
        <v>11</v>
      </c>
      <c r="G1022">
        <v>3</v>
      </c>
      <c r="H1022" t="s">
        <v>851</v>
      </c>
    </row>
    <row r="1023" spans="1:8" hidden="1">
      <c r="A1023" t="s">
        <v>322</v>
      </c>
      <c r="B1023" t="s">
        <v>854</v>
      </c>
      <c r="C1023" t="s">
        <v>855</v>
      </c>
      <c r="D1023" t="s">
        <v>864</v>
      </c>
      <c r="E1023">
        <v>59</v>
      </c>
      <c r="F1023" t="s">
        <v>11</v>
      </c>
      <c r="G1023">
        <v>3</v>
      </c>
      <c r="H1023" t="s">
        <v>851</v>
      </c>
    </row>
    <row r="1024" spans="1:8" hidden="1">
      <c r="A1024" t="s">
        <v>217</v>
      </c>
      <c r="B1024" t="s">
        <v>224</v>
      </c>
      <c r="C1024" t="s">
        <v>225</v>
      </c>
      <c r="D1024" t="s">
        <v>864</v>
      </c>
      <c r="E1024">
        <v>58</v>
      </c>
      <c r="F1024" t="s">
        <v>11</v>
      </c>
      <c r="G1024">
        <v>3</v>
      </c>
      <c r="H1024" t="s">
        <v>851</v>
      </c>
    </row>
    <row r="1025" spans="1:8" hidden="1">
      <c r="A1025" t="s">
        <v>217</v>
      </c>
      <c r="B1025" t="s">
        <v>381</v>
      </c>
      <c r="C1025" t="s">
        <v>382</v>
      </c>
      <c r="D1025" t="s">
        <v>864</v>
      </c>
      <c r="E1025">
        <v>59</v>
      </c>
      <c r="F1025" t="s">
        <v>11</v>
      </c>
      <c r="G1025">
        <v>3</v>
      </c>
      <c r="H1025" t="s">
        <v>851</v>
      </c>
    </row>
    <row r="1026" spans="1:8" hidden="1">
      <c r="A1026" t="s">
        <v>217</v>
      </c>
      <c r="B1026" t="s">
        <v>228</v>
      </c>
      <c r="C1026" t="s">
        <v>229</v>
      </c>
      <c r="D1026" t="s">
        <v>864</v>
      </c>
      <c r="E1026">
        <v>59</v>
      </c>
      <c r="F1026" t="s">
        <v>11</v>
      </c>
      <c r="G1026">
        <v>3</v>
      </c>
      <c r="H1026" t="s">
        <v>851</v>
      </c>
    </row>
    <row r="1027" spans="1:8" hidden="1">
      <c r="A1027" t="s">
        <v>217</v>
      </c>
      <c r="B1027" t="s">
        <v>230</v>
      </c>
      <c r="C1027" t="s">
        <v>231</v>
      </c>
      <c r="D1027" t="s">
        <v>864</v>
      </c>
      <c r="E1027">
        <v>45</v>
      </c>
      <c r="F1027" t="s">
        <v>11</v>
      </c>
      <c r="G1027">
        <v>3</v>
      </c>
      <c r="H1027" t="s">
        <v>851</v>
      </c>
    </row>
    <row r="1028" spans="1:8" hidden="1">
      <c r="A1028" t="s">
        <v>301</v>
      </c>
      <c r="B1028" t="s">
        <v>304</v>
      </c>
      <c r="C1028" t="s">
        <v>305</v>
      </c>
      <c r="D1028" t="s">
        <v>917</v>
      </c>
      <c r="E1028">
        <v>58</v>
      </c>
      <c r="F1028" t="s">
        <v>11</v>
      </c>
      <c r="G1028">
        <v>3</v>
      </c>
      <c r="H1028" t="s">
        <v>851</v>
      </c>
    </row>
    <row r="1029" spans="1:8" hidden="1">
      <c r="A1029" t="s">
        <v>301</v>
      </c>
      <c r="B1029" t="s">
        <v>471</v>
      </c>
      <c r="C1029" t="s">
        <v>472</v>
      </c>
      <c r="D1029" t="s">
        <v>917</v>
      </c>
      <c r="E1029">
        <v>53</v>
      </c>
      <c r="F1029" t="s">
        <v>11</v>
      </c>
      <c r="G1029">
        <v>3</v>
      </c>
      <c r="H1029" t="s">
        <v>851</v>
      </c>
    </row>
    <row r="1030" spans="1:8" hidden="1">
      <c r="A1030" t="s">
        <v>234</v>
      </c>
      <c r="B1030" t="s">
        <v>614</v>
      </c>
      <c r="C1030" t="s">
        <v>615</v>
      </c>
      <c r="D1030" t="s">
        <v>936</v>
      </c>
      <c r="E1030">
        <v>54</v>
      </c>
      <c r="F1030" t="s">
        <v>11</v>
      </c>
      <c r="G1030">
        <v>3</v>
      </c>
      <c r="H1030" t="s">
        <v>851</v>
      </c>
    </row>
    <row r="1031" spans="1:8" hidden="1">
      <c r="A1031" t="s">
        <v>234</v>
      </c>
      <c r="B1031" t="s">
        <v>926</v>
      </c>
      <c r="C1031" t="s">
        <v>927</v>
      </c>
      <c r="D1031" t="s">
        <v>936</v>
      </c>
      <c r="E1031">
        <v>38</v>
      </c>
      <c r="F1031" t="s">
        <v>11</v>
      </c>
      <c r="G1031">
        <v>3</v>
      </c>
      <c r="H1031" t="s">
        <v>851</v>
      </c>
    </row>
    <row r="1032" spans="1:8" hidden="1">
      <c r="A1032" t="s">
        <v>234</v>
      </c>
      <c r="B1032" t="s">
        <v>237</v>
      </c>
      <c r="C1032" t="s">
        <v>238</v>
      </c>
      <c r="D1032" t="s">
        <v>936</v>
      </c>
      <c r="E1032">
        <v>44</v>
      </c>
      <c r="F1032" t="s">
        <v>11</v>
      </c>
      <c r="G1032">
        <v>3</v>
      </c>
      <c r="H1032" t="s">
        <v>851</v>
      </c>
    </row>
    <row r="1033" spans="1:8" hidden="1">
      <c r="A1033" t="s">
        <v>234</v>
      </c>
      <c r="B1033" t="s">
        <v>937</v>
      </c>
      <c r="C1033" t="s">
        <v>938</v>
      </c>
      <c r="D1033" t="s">
        <v>936</v>
      </c>
      <c r="E1033">
        <v>56</v>
      </c>
      <c r="F1033" t="s">
        <v>11</v>
      </c>
      <c r="G1033">
        <v>3</v>
      </c>
      <c r="H1033" t="s">
        <v>851</v>
      </c>
    </row>
    <row r="1034" spans="1:8" hidden="1">
      <c r="A1034" t="s">
        <v>234</v>
      </c>
      <c r="B1034" t="s">
        <v>655</v>
      </c>
      <c r="C1034" t="s">
        <v>656</v>
      </c>
      <c r="D1034" t="s">
        <v>936</v>
      </c>
      <c r="E1034">
        <v>46</v>
      </c>
      <c r="F1034" t="s">
        <v>11</v>
      </c>
      <c r="G1034">
        <v>3</v>
      </c>
      <c r="H1034" t="s">
        <v>851</v>
      </c>
    </row>
    <row r="1035" spans="1:8" hidden="1">
      <c r="A1035" t="s">
        <v>234</v>
      </c>
      <c r="B1035" t="s">
        <v>657</v>
      </c>
      <c r="C1035" t="s">
        <v>658</v>
      </c>
      <c r="D1035" t="s">
        <v>936</v>
      </c>
      <c r="E1035">
        <v>48</v>
      </c>
      <c r="F1035" t="s">
        <v>11</v>
      </c>
      <c r="G1035">
        <v>3</v>
      </c>
      <c r="H1035" t="s">
        <v>851</v>
      </c>
    </row>
    <row r="1036" spans="1:8" hidden="1">
      <c r="A1036" t="s">
        <v>335</v>
      </c>
      <c r="B1036" t="s">
        <v>395</v>
      </c>
      <c r="C1036" t="s">
        <v>396</v>
      </c>
      <c r="D1036" t="s">
        <v>936</v>
      </c>
      <c r="E1036">
        <v>41</v>
      </c>
      <c r="F1036" t="s">
        <v>11</v>
      </c>
      <c r="G1036">
        <v>3</v>
      </c>
      <c r="H1036" t="s">
        <v>851</v>
      </c>
    </row>
    <row r="1037" spans="1:8" hidden="1">
      <c r="A1037" t="s">
        <v>335</v>
      </c>
      <c r="B1037" t="s">
        <v>659</v>
      </c>
      <c r="C1037" t="s">
        <v>660</v>
      </c>
      <c r="D1037" t="s">
        <v>936</v>
      </c>
      <c r="E1037">
        <v>53</v>
      </c>
      <c r="F1037" t="s">
        <v>11</v>
      </c>
      <c r="G1037">
        <v>3</v>
      </c>
      <c r="H1037" t="s">
        <v>851</v>
      </c>
    </row>
    <row r="1038" spans="1:8" hidden="1">
      <c r="A1038" t="s">
        <v>322</v>
      </c>
      <c r="B1038" t="s">
        <v>771</v>
      </c>
      <c r="C1038" t="s">
        <v>772</v>
      </c>
      <c r="D1038" t="s">
        <v>858</v>
      </c>
      <c r="E1038">
        <v>55</v>
      </c>
      <c r="F1038" t="s">
        <v>11</v>
      </c>
      <c r="G1038">
        <v>4</v>
      </c>
      <c r="H1038" t="s">
        <v>851</v>
      </c>
    </row>
    <row r="1039" spans="1:8" hidden="1">
      <c r="A1039" t="s">
        <v>322</v>
      </c>
      <c r="B1039" t="s">
        <v>323</v>
      </c>
      <c r="C1039" t="s">
        <v>324</v>
      </c>
      <c r="D1039" t="s">
        <v>858</v>
      </c>
      <c r="E1039">
        <v>55</v>
      </c>
      <c r="F1039" t="s">
        <v>11</v>
      </c>
      <c r="G1039">
        <v>4</v>
      </c>
      <c r="H1039" t="s">
        <v>851</v>
      </c>
    </row>
    <row r="1040" spans="1:8" hidden="1">
      <c r="A1040" t="s">
        <v>322</v>
      </c>
      <c r="B1040" t="s">
        <v>842</v>
      </c>
      <c r="C1040" t="s">
        <v>843</v>
      </c>
      <c r="D1040" t="s">
        <v>858</v>
      </c>
      <c r="E1040">
        <v>52</v>
      </c>
      <c r="F1040" t="s">
        <v>11</v>
      </c>
      <c r="G1040">
        <v>4</v>
      </c>
      <c r="H1040" t="s">
        <v>851</v>
      </c>
    </row>
    <row r="1041" spans="1:8" hidden="1">
      <c r="A1041" t="s">
        <v>322</v>
      </c>
      <c r="B1041" t="s">
        <v>859</v>
      </c>
      <c r="C1041" t="s">
        <v>860</v>
      </c>
      <c r="D1041" t="s">
        <v>858</v>
      </c>
      <c r="E1041">
        <v>52</v>
      </c>
      <c r="F1041" t="s">
        <v>11</v>
      </c>
      <c r="G1041">
        <v>4</v>
      </c>
      <c r="H1041" t="s">
        <v>851</v>
      </c>
    </row>
    <row r="1042" spans="1:8" hidden="1">
      <c r="A1042" t="s">
        <v>322</v>
      </c>
      <c r="B1042" t="s">
        <v>325</v>
      </c>
      <c r="C1042" t="s">
        <v>326</v>
      </c>
      <c r="D1042" t="s">
        <v>858</v>
      </c>
      <c r="E1042">
        <v>53</v>
      </c>
      <c r="F1042" t="s">
        <v>11</v>
      </c>
      <c r="G1042">
        <v>4</v>
      </c>
      <c r="H1042" t="s">
        <v>851</v>
      </c>
    </row>
    <row r="1043" spans="1:8" hidden="1">
      <c r="A1043" t="s">
        <v>322</v>
      </c>
      <c r="B1043" t="s">
        <v>329</v>
      </c>
      <c r="C1043" t="s">
        <v>330</v>
      </c>
      <c r="D1043" t="s">
        <v>858</v>
      </c>
      <c r="E1043">
        <v>52</v>
      </c>
      <c r="F1043" t="s">
        <v>11</v>
      </c>
      <c r="G1043">
        <v>4</v>
      </c>
      <c r="H1043" t="s">
        <v>851</v>
      </c>
    </row>
    <row r="1044" spans="1:8" hidden="1">
      <c r="A1044" t="s">
        <v>322</v>
      </c>
      <c r="B1044" t="s">
        <v>333</v>
      </c>
      <c r="C1044" t="s">
        <v>334</v>
      </c>
      <c r="D1044" t="s">
        <v>858</v>
      </c>
      <c r="E1044">
        <v>47</v>
      </c>
      <c r="F1044" t="s">
        <v>11</v>
      </c>
      <c r="G1044">
        <v>4</v>
      </c>
      <c r="H1044" t="s">
        <v>851</v>
      </c>
    </row>
    <row r="1045" spans="1:8" hidden="1">
      <c r="A1045" t="s">
        <v>322</v>
      </c>
      <c r="B1045" t="s">
        <v>846</v>
      </c>
      <c r="C1045" t="s">
        <v>847</v>
      </c>
      <c r="D1045" t="s">
        <v>858</v>
      </c>
      <c r="E1045">
        <v>55</v>
      </c>
      <c r="F1045" t="s">
        <v>11</v>
      </c>
      <c r="G1045">
        <v>4</v>
      </c>
      <c r="H1045" t="s">
        <v>851</v>
      </c>
    </row>
    <row r="1046" spans="1:8" hidden="1">
      <c r="A1046" t="s">
        <v>322</v>
      </c>
      <c r="B1046" t="s">
        <v>854</v>
      </c>
      <c r="C1046" t="s">
        <v>855</v>
      </c>
      <c r="D1046" t="s">
        <v>858</v>
      </c>
      <c r="E1046">
        <v>52</v>
      </c>
      <c r="F1046" t="s">
        <v>11</v>
      </c>
      <c r="G1046">
        <v>4</v>
      </c>
      <c r="H1046" t="s">
        <v>851</v>
      </c>
    </row>
    <row r="1047" spans="1:8" hidden="1">
      <c r="A1047" t="s">
        <v>217</v>
      </c>
      <c r="B1047" t="s">
        <v>848</v>
      </c>
      <c r="C1047" t="s">
        <v>849</v>
      </c>
      <c r="D1047" t="s">
        <v>858</v>
      </c>
      <c r="E1047">
        <v>40</v>
      </c>
      <c r="F1047" t="s">
        <v>11</v>
      </c>
      <c r="G1047">
        <v>4</v>
      </c>
      <c r="H1047" t="s">
        <v>851</v>
      </c>
    </row>
    <row r="1048" spans="1:8" hidden="1">
      <c r="A1048" t="s">
        <v>217</v>
      </c>
      <c r="B1048" t="s">
        <v>222</v>
      </c>
      <c r="C1048" t="s">
        <v>223</v>
      </c>
      <c r="D1048" t="s">
        <v>858</v>
      </c>
      <c r="E1048">
        <v>55</v>
      </c>
      <c r="F1048" t="s">
        <v>11</v>
      </c>
      <c r="G1048">
        <v>4</v>
      </c>
      <c r="H1048" t="s">
        <v>851</v>
      </c>
    </row>
    <row r="1049" spans="1:8" hidden="1">
      <c r="A1049" t="s">
        <v>217</v>
      </c>
      <c r="B1049" t="s">
        <v>224</v>
      </c>
      <c r="C1049" t="s">
        <v>225</v>
      </c>
      <c r="D1049" t="s">
        <v>858</v>
      </c>
      <c r="E1049">
        <v>40</v>
      </c>
      <c r="F1049" t="s">
        <v>11</v>
      </c>
      <c r="G1049">
        <v>4</v>
      </c>
      <c r="H1049" t="s">
        <v>851</v>
      </c>
    </row>
    <row r="1050" spans="1:8" hidden="1">
      <c r="A1050" t="s">
        <v>217</v>
      </c>
      <c r="B1050" t="s">
        <v>381</v>
      </c>
      <c r="C1050" t="s">
        <v>382</v>
      </c>
      <c r="D1050" t="s">
        <v>858</v>
      </c>
      <c r="E1050">
        <v>45</v>
      </c>
      <c r="F1050" t="s">
        <v>11</v>
      </c>
      <c r="G1050">
        <v>4</v>
      </c>
      <c r="H1050" t="s">
        <v>851</v>
      </c>
    </row>
    <row r="1051" spans="1:8" hidden="1">
      <c r="A1051" t="s">
        <v>217</v>
      </c>
      <c r="B1051" t="s">
        <v>675</v>
      </c>
      <c r="C1051" t="s">
        <v>676</v>
      </c>
      <c r="D1051" t="s">
        <v>858</v>
      </c>
      <c r="E1051">
        <v>39</v>
      </c>
      <c r="F1051" t="s">
        <v>11</v>
      </c>
      <c r="G1051">
        <v>4</v>
      </c>
      <c r="H1051" t="s">
        <v>851</v>
      </c>
    </row>
    <row r="1052" spans="1:8" hidden="1">
      <c r="A1052" t="s">
        <v>217</v>
      </c>
      <c r="B1052" t="s">
        <v>383</v>
      </c>
      <c r="C1052" t="s">
        <v>384</v>
      </c>
      <c r="D1052" t="s">
        <v>858</v>
      </c>
      <c r="E1052">
        <v>50</v>
      </c>
      <c r="F1052" t="s">
        <v>11</v>
      </c>
      <c r="G1052">
        <v>4</v>
      </c>
      <c r="H1052" t="s">
        <v>851</v>
      </c>
    </row>
    <row r="1053" spans="1:8" hidden="1">
      <c r="A1053" t="s">
        <v>217</v>
      </c>
      <c r="B1053" t="s">
        <v>232</v>
      </c>
      <c r="C1053" t="s">
        <v>233</v>
      </c>
      <c r="D1053" t="s">
        <v>858</v>
      </c>
      <c r="E1053">
        <v>40</v>
      </c>
      <c r="F1053" t="s">
        <v>11</v>
      </c>
      <c r="G1053">
        <v>4</v>
      </c>
      <c r="H1053" t="s">
        <v>851</v>
      </c>
    </row>
    <row r="1054" spans="1:8" hidden="1">
      <c r="A1054" t="s">
        <v>122</v>
      </c>
      <c r="B1054" t="s">
        <v>822</v>
      </c>
      <c r="C1054" t="s">
        <v>823</v>
      </c>
      <c r="D1054" t="s">
        <v>858</v>
      </c>
      <c r="E1054">
        <v>55</v>
      </c>
      <c r="F1054" t="s">
        <v>11</v>
      </c>
      <c r="G1054">
        <v>4</v>
      </c>
      <c r="H1054" t="s">
        <v>851</v>
      </c>
    </row>
    <row r="1055" spans="1:8" hidden="1">
      <c r="A1055" t="s">
        <v>122</v>
      </c>
      <c r="B1055" t="s">
        <v>127</v>
      </c>
      <c r="C1055" t="s">
        <v>128</v>
      </c>
      <c r="D1055" t="s">
        <v>858</v>
      </c>
      <c r="E1055">
        <v>53</v>
      </c>
      <c r="F1055" t="s">
        <v>11</v>
      </c>
      <c r="G1055">
        <v>4</v>
      </c>
      <c r="H1055" t="s">
        <v>851</v>
      </c>
    </row>
    <row r="1056" spans="1:8" hidden="1">
      <c r="A1056" t="s">
        <v>122</v>
      </c>
      <c r="B1056" t="s">
        <v>856</v>
      </c>
      <c r="C1056" t="s">
        <v>857</v>
      </c>
      <c r="D1056" t="s">
        <v>858</v>
      </c>
      <c r="E1056">
        <v>58</v>
      </c>
      <c r="F1056" t="s">
        <v>11</v>
      </c>
      <c r="G1056">
        <v>4</v>
      </c>
      <c r="H1056" t="s">
        <v>851</v>
      </c>
    </row>
    <row r="1057" spans="1:8" hidden="1">
      <c r="A1057" t="s">
        <v>122</v>
      </c>
      <c r="B1057" t="s">
        <v>133</v>
      </c>
      <c r="C1057" t="s">
        <v>134</v>
      </c>
      <c r="D1057" t="s">
        <v>858</v>
      </c>
      <c r="E1057">
        <v>58</v>
      </c>
      <c r="F1057" t="s">
        <v>11</v>
      </c>
      <c r="G1057">
        <v>4</v>
      </c>
      <c r="H1057" t="s">
        <v>851</v>
      </c>
    </row>
    <row r="1058" spans="1:8" hidden="1">
      <c r="A1058" t="s">
        <v>65</v>
      </c>
      <c r="B1058" t="s">
        <v>66</v>
      </c>
      <c r="C1058" t="s">
        <v>67</v>
      </c>
      <c r="D1058" t="s">
        <v>914</v>
      </c>
      <c r="E1058">
        <v>48</v>
      </c>
      <c r="F1058" t="s">
        <v>11</v>
      </c>
      <c r="G1058">
        <v>3</v>
      </c>
      <c r="H1058" t="s">
        <v>851</v>
      </c>
    </row>
    <row r="1059" spans="1:8" hidden="1">
      <c r="A1059" t="s">
        <v>65</v>
      </c>
      <c r="B1059" t="s">
        <v>70</v>
      </c>
      <c r="C1059" t="s">
        <v>71</v>
      </c>
      <c r="D1059" t="s">
        <v>914</v>
      </c>
      <c r="E1059">
        <v>49</v>
      </c>
      <c r="F1059" t="s">
        <v>11</v>
      </c>
      <c r="G1059">
        <v>3</v>
      </c>
      <c r="H1059" t="s">
        <v>851</v>
      </c>
    </row>
    <row r="1060" spans="1:8" hidden="1">
      <c r="A1060" t="s">
        <v>65</v>
      </c>
      <c r="B1060" t="s">
        <v>72</v>
      </c>
      <c r="C1060" t="s">
        <v>73</v>
      </c>
      <c r="D1060" t="s">
        <v>914</v>
      </c>
      <c r="E1060">
        <v>47</v>
      </c>
      <c r="F1060" t="s">
        <v>11</v>
      </c>
      <c r="G1060">
        <v>3</v>
      </c>
      <c r="H1060" t="s">
        <v>851</v>
      </c>
    </row>
    <row r="1061" spans="1:8" hidden="1">
      <c r="A1061" t="s">
        <v>65</v>
      </c>
      <c r="B1061" t="s">
        <v>74</v>
      </c>
      <c r="C1061" t="s">
        <v>75</v>
      </c>
      <c r="D1061" t="s">
        <v>914</v>
      </c>
      <c r="E1061">
        <v>47</v>
      </c>
      <c r="F1061" t="s">
        <v>11</v>
      </c>
      <c r="G1061">
        <v>3</v>
      </c>
      <c r="H1061" t="s">
        <v>851</v>
      </c>
    </row>
    <row r="1062" spans="1:8" hidden="1">
      <c r="A1062" t="s">
        <v>65</v>
      </c>
      <c r="B1062" t="s">
        <v>808</v>
      </c>
      <c r="C1062" t="s">
        <v>809</v>
      </c>
      <c r="D1062" t="s">
        <v>914</v>
      </c>
      <c r="E1062">
        <v>53</v>
      </c>
      <c r="F1062" t="s">
        <v>11</v>
      </c>
      <c r="G1062">
        <v>3</v>
      </c>
      <c r="H1062" t="s">
        <v>851</v>
      </c>
    </row>
    <row r="1063" spans="1:8" hidden="1">
      <c r="A1063" t="s">
        <v>65</v>
      </c>
      <c r="B1063" t="s">
        <v>689</v>
      </c>
      <c r="C1063" t="s">
        <v>690</v>
      </c>
      <c r="D1063" t="s">
        <v>914</v>
      </c>
      <c r="E1063">
        <v>48</v>
      </c>
      <c r="F1063" t="s">
        <v>11</v>
      </c>
      <c r="G1063">
        <v>3</v>
      </c>
      <c r="H1063" t="s">
        <v>851</v>
      </c>
    </row>
    <row r="1064" spans="1:8" hidden="1">
      <c r="A1064" t="s">
        <v>65</v>
      </c>
      <c r="B1064" t="s">
        <v>915</v>
      </c>
      <c r="C1064" t="s">
        <v>916</v>
      </c>
      <c r="D1064" t="s">
        <v>914</v>
      </c>
      <c r="E1064">
        <v>47</v>
      </c>
      <c r="F1064" t="s">
        <v>11</v>
      </c>
      <c r="G1064">
        <v>3</v>
      </c>
      <c r="H1064" t="s">
        <v>851</v>
      </c>
    </row>
    <row r="1065" spans="1:8" hidden="1">
      <c r="A1065" t="s">
        <v>65</v>
      </c>
      <c r="B1065" t="s">
        <v>810</v>
      </c>
      <c r="C1065" t="s">
        <v>811</v>
      </c>
      <c r="D1065" t="s">
        <v>914</v>
      </c>
      <c r="E1065">
        <v>49</v>
      </c>
      <c r="F1065" t="s">
        <v>11</v>
      </c>
      <c r="G1065">
        <v>3</v>
      </c>
      <c r="H1065" t="s">
        <v>851</v>
      </c>
    </row>
    <row r="1066" spans="1:8" hidden="1">
      <c r="A1066" t="s">
        <v>65</v>
      </c>
      <c r="B1066" t="s">
        <v>812</v>
      </c>
      <c r="C1066" t="s">
        <v>813</v>
      </c>
      <c r="D1066" t="s">
        <v>914</v>
      </c>
      <c r="E1066">
        <v>58</v>
      </c>
      <c r="F1066" t="s">
        <v>11</v>
      </c>
      <c r="G1066">
        <v>3</v>
      </c>
      <c r="H1066" t="s">
        <v>851</v>
      </c>
    </row>
    <row r="1067" spans="1:8" hidden="1">
      <c r="A1067" t="s">
        <v>65</v>
      </c>
      <c r="B1067" t="s">
        <v>76</v>
      </c>
      <c r="C1067" t="s">
        <v>77</v>
      </c>
      <c r="D1067" t="s">
        <v>914</v>
      </c>
      <c r="E1067">
        <v>48</v>
      </c>
      <c r="F1067" t="s">
        <v>11</v>
      </c>
      <c r="G1067">
        <v>3</v>
      </c>
      <c r="H1067" t="s">
        <v>851</v>
      </c>
    </row>
    <row r="1068" spans="1:8" hidden="1">
      <c r="A1068" t="s">
        <v>65</v>
      </c>
      <c r="B1068" t="s">
        <v>721</v>
      </c>
      <c r="C1068" t="s">
        <v>722</v>
      </c>
      <c r="D1068" t="s">
        <v>914</v>
      </c>
      <c r="E1068">
        <v>50</v>
      </c>
      <c r="F1068" t="s">
        <v>11</v>
      </c>
      <c r="G1068">
        <v>3</v>
      </c>
      <c r="H1068" t="s">
        <v>851</v>
      </c>
    </row>
    <row r="1069" spans="1:8" hidden="1">
      <c r="A1069" t="s">
        <v>65</v>
      </c>
      <c r="B1069" t="s">
        <v>78</v>
      </c>
      <c r="C1069" t="s">
        <v>79</v>
      </c>
      <c r="D1069" t="s">
        <v>914</v>
      </c>
      <c r="E1069">
        <v>48</v>
      </c>
      <c r="F1069" t="s">
        <v>11</v>
      </c>
      <c r="G1069">
        <v>3</v>
      </c>
      <c r="H1069" t="s">
        <v>851</v>
      </c>
    </row>
    <row r="1070" spans="1:8" hidden="1">
      <c r="A1070" t="s">
        <v>65</v>
      </c>
      <c r="B1070" t="s">
        <v>80</v>
      </c>
      <c r="C1070" t="s">
        <v>81</v>
      </c>
      <c r="D1070" t="s">
        <v>914</v>
      </c>
      <c r="E1070">
        <v>49</v>
      </c>
      <c r="F1070" t="s">
        <v>11</v>
      </c>
      <c r="G1070">
        <v>3</v>
      </c>
      <c r="H1070" t="s">
        <v>851</v>
      </c>
    </row>
    <row r="1071" spans="1:8" hidden="1">
      <c r="A1071" t="s">
        <v>65</v>
      </c>
      <c r="B1071" t="s">
        <v>82</v>
      </c>
      <c r="C1071" t="s">
        <v>83</v>
      </c>
      <c r="D1071" t="s">
        <v>914</v>
      </c>
      <c r="E1071">
        <v>38</v>
      </c>
      <c r="F1071" t="s">
        <v>11</v>
      </c>
      <c r="G1071">
        <v>3</v>
      </c>
      <c r="H1071" t="s">
        <v>851</v>
      </c>
    </row>
    <row r="1072" spans="1:8" hidden="1">
      <c r="A1072" t="s">
        <v>294</v>
      </c>
      <c r="B1072" t="s">
        <v>417</v>
      </c>
      <c r="C1072" t="s">
        <v>418</v>
      </c>
      <c r="D1072" t="s">
        <v>914</v>
      </c>
      <c r="E1072">
        <v>55</v>
      </c>
      <c r="F1072" t="s">
        <v>11</v>
      </c>
      <c r="G1072">
        <v>3</v>
      </c>
      <c r="H1072" t="s">
        <v>851</v>
      </c>
    </row>
    <row r="1073" spans="1:8" hidden="1">
      <c r="A1073" t="s">
        <v>294</v>
      </c>
      <c r="B1073" t="s">
        <v>729</v>
      </c>
      <c r="C1073" t="s">
        <v>730</v>
      </c>
      <c r="D1073" t="s">
        <v>914</v>
      </c>
      <c r="E1073">
        <v>47</v>
      </c>
      <c r="F1073" t="s">
        <v>11</v>
      </c>
      <c r="G1073">
        <v>3</v>
      </c>
      <c r="H1073" t="s">
        <v>851</v>
      </c>
    </row>
    <row r="1074" spans="1:8" hidden="1">
      <c r="A1074" t="s">
        <v>294</v>
      </c>
      <c r="B1074" t="s">
        <v>419</v>
      </c>
      <c r="C1074" t="s">
        <v>420</v>
      </c>
      <c r="D1074" t="s">
        <v>914</v>
      </c>
      <c r="E1074">
        <v>47</v>
      </c>
      <c r="F1074" t="s">
        <v>11</v>
      </c>
      <c r="G1074">
        <v>3</v>
      </c>
      <c r="H1074" t="s">
        <v>851</v>
      </c>
    </row>
    <row r="1075" spans="1:8" hidden="1">
      <c r="A1075" t="s">
        <v>294</v>
      </c>
      <c r="B1075" t="s">
        <v>297</v>
      </c>
      <c r="C1075" t="s">
        <v>298</v>
      </c>
      <c r="D1075" t="s">
        <v>914</v>
      </c>
      <c r="E1075">
        <v>49</v>
      </c>
      <c r="F1075" t="s">
        <v>11</v>
      </c>
      <c r="G1075">
        <v>3</v>
      </c>
      <c r="H1075" t="s">
        <v>851</v>
      </c>
    </row>
    <row r="1076" spans="1:8" hidden="1">
      <c r="A1076" t="s">
        <v>294</v>
      </c>
      <c r="B1076" t="s">
        <v>421</v>
      </c>
      <c r="C1076" t="s">
        <v>422</v>
      </c>
      <c r="D1076" t="s">
        <v>914</v>
      </c>
      <c r="E1076">
        <v>48</v>
      </c>
      <c r="F1076" t="s">
        <v>11</v>
      </c>
      <c r="G1076">
        <v>3</v>
      </c>
      <c r="H1076" t="s">
        <v>851</v>
      </c>
    </row>
    <row r="1077" spans="1:8" hidden="1">
      <c r="A1077" t="s">
        <v>294</v>
      </c>
      <c r="B1077" t="s">
        <v>429</v>
      </c>
      <c r="C1077" t="s">
        <v>430</v>
      </c>
      <c r="D1077" t="s">
        <v>914</v>
      </c>
      <c r="E1077">
        <v>50</v>
      </c>
      <c r="F1077" t="s">
        <v>11</v>
      </c>
      <c r="G1077">
        <v>3</v>
      </c>
      <c r="H1077" t="s">
        <v>851</v>
      </c>
    </row>
    <row r="1078" spans="1:8" hidden="1">
      <c r="A1078" t="s">
        <v>174</v>
      </c>
      <c r="B1078" t="s">
        <v>831</v>
      </c>
      <c r="C1078" t="s">
        <v>832</v>
      </c>
      <c r="D1078" t="s">
        <v>902</v>
      </c>
      <c r="E1078">
        <v>55</v>
      </c>
      <c r="F1078" t="s">
        <v>583</v>
      </c>
      <c r="G1078">
        <v>2</v>
      </c>
      <c r="H1078" t="s">
        <v>851</v>
      </c>
    </row>
    <row r="1079" spans="1:8" hidden="1">
      <c r="A1079" t="s">
        <v>234</v>
      </c>
      <c r="B1079" t="s">
        <v>921</v>
      </c>
      <c r="C1079" t="s">
        <v>922</v>
      </c>
      <c r="D1079" t="s">
        <v>934</v>
      </c>
      <c r="E1079">
        <v>49</v>
      </c>
      <c r="F1079" t="s">
        <v>11</v>
      </c>
      <c r="G1079">
        <v>2</v>
      </c>
      <c r="H1079" t="s">
        <v>851</v>
      </c>
    </row>
    <row r="1080" spans="1:8" hidden="1">
      <c r="A1080" t="s">
        <v>234</v>
      </c>
      <c r="B1080" t="s">
        <v>930</v>
      </c>
      <c r="C1080" t="s">
        <v>931</v>
      </c>
      <c r="D1080" t="s">
        <v>934</v>
      </c>
      <c r="E1080">
        <v>48</v>
      </c>
      <c r="F1080" t="s">
        <v>11</v>
      </c>
      <c r="G1080">
        <v>2</v>
      </c>
      <c r="H1080" t="s">
        <v>851</v>
      </c>
    </row>
    <row r="1081" spans="1:8" hidden="1">
      <c r="A1081" t="s">
        <v>25</v>
      </c>
      <c r="B1081" t="s">
        <v>40</v>
      </c>
      <c r="C1081" t="s">
        <v>41</v>
      </c>
      <c r="D1081" t="s">
        <v>865</v>
      </c>
      <c r="E1081">
        <v>50</v>
      </c>
      <c r="F1081" t="s">
        <v>11</v>
      </c>
      <c r="G1081">
        <v>4</v>
      </c>
      <c r="H1081" t="s">
        <v>851</v>
      </c>
    </row>
    <row r="1082" spans="1:8" hidden="1">
      <c r="A1082" t="s">
        <v>25</v>
      </c>
      <c r="B1082" t="s">
        <v>349</v>
      </c>
      <c r="C1082" t="s">
        <v>350</v>
      </c>
      <c r="D1082" t="s">
        <v>865</v>
      </c>
      <c r="E1082">
        <v>53</v>
      </c>
      <c r="F1082" t="s">
        <v>11</v>
      </c>
      <c r="G1082">
        <v>4</v>
      </c>
      <c r="H1082" t="s">
        <v>851</v>
      </c>
    </row>
    <row r="1083" spans="1:8" hidden="1">
      <c r="A1083" t="s">
        <v>25</v>
      </c>
      <c r="B1083" t="s">
        <v>351</v>
      </c>
      <c r="C1083" t="s">
        <v>352</v>
      </c>
      <c r="D1083" t="s">
        <v>865</v>
      </c>
      <c r="E1083">
        <v>54</v>
      </c>
      <c r="F1083" t="s">
        <v>11</v>
      </c>
      <c r="G1083">
        <v>4</v>
      </c>
      <c r="H1083" t="s">
        <v>851</v>
      </c>
    </row>
    <row r="1084" spans="1:8" hidden="1">
      <c r="A1084" t="s">
        <v>246</v>
      </c>
      <c r="B1084" t="s">
        <v>273</v>
      </c>
      <c r="C1084" t="s">
        <v>274</v>
      </c>
      <c r="D1084" t="s">
        <v>865</v>
      </c>
      <c r="E1084">
        <v>46</v>
      </c>
      <c r="F1084" t="s">
        <v>11</v>
      </c>
      <c r="G1084">
        <v>4</v>
      </c>
      <c r="H1084" t="s">
        <v>851</v>
      </c>
    </row>
    <row r="1085" spans="1:8" hidden="1">
      <c r="A1085" t="s">
        <v>158</v>
      </c>
      <c r="B1085" t="s">
        <v>161</v>
      </c>
      <c r="C1085" t="s">
        <v>162</v>
      </c>
      <c r="D1085" t="s">
        <v>912</v>
      </c>
      <c r="E1085">
        <v>50</v>
      </c>
      <c r="F1085" t="s">
        <v>11</v>
      </c>
      <c r="G1085">
        <v>3</v>
      </c>
      <c r="H1085" t="s">
        <v>851</v>
      </c>
    </row>
    <row r="1086" spans="1:8" hidden="1">
      <c r="A1086" t="s">
        <v>97</v>
      </c>
      <c r="B1086" t="s">
        <v>106</v>
      </c>
      <c r="C1086" t="s">
        <v>107</v>
      </c>
      <c r="D1086" t="s">
        <v>912</v>
      </c>
      <c r="E1086">
        <v>50</v>
      </c>
      <c r="F1086" t="s">
        <v>11</v>
      </c>
      <c r="G1086">
        <v>3</v>
      </c>
      <c r="H1086" t="s">
        <v>851</v>
      </c>
    </row>
    <row r="1087" spans="1:8" hidden="1">
      <c r="A1087" t="s">
        <v>234</v>
      </c>
      <c r="B1087" t="s">
        <v>921</v>
      </c>
      <c r="C1087" t="s">
        <v>922</v>
      </c>
      <c r="D1087" t="s">
        <v>923</v>
      </c>
      <c r="E1087">
        <v>43</v>
      </c>
      <c r="F1087" t="s">
        <v>11</v>
      </c>
      <c r="G1087">
        <v>2</v>
      </c>
      <c r="H1087" t="s">
        <v>851</v>
      </c>
    </row>
    <row r="1088" spans="1:8" hidden="1">
      <c r="A1088" t="s">
        <v>234</v>
      </c>
      <c r="B1088" t="s">
        <v>924</v>
      </c>
      <c r="C1088" t="s">
        <v>925</v>
      </c>
      <c r="D1088" t="s">
        <v>923</v>
      </c>
      <c r="E1088">
        <v>58</v>
      </c>
      <c r="F1088" t="s">
        <v>11</v>
      </c>
      <c r="G1088">
        <v>2</v>
      </c>
      <c r="H1088" t="s">
        <v>851</v>
      </c>
    </row>
    <row r="1089" spans="1:8" hidden="1">
      <c r="A1089" t="s">
        <v>234</v>
      </c>
      <c r="B1089" t="s">
        <v>926</v>
      </c>
      <c r="C1089" t="s">
        <v>927</v>
      </c>
      <c r="D1089" t="s">
        <v>923</v>
      </c>
      <c r="E1089">
        <v>33</v>
      </c>
      <c r="F1089" t="s">
        <v>11</v>
      </c>
      <c r="G1089">
        <v>2</v>
      </c>
      <c r="H1089" t="s">
        <v>851</v>
      </c>
    </row>
    <row r="1090" spans="1:8" hidden="1">
      <c r="A1090" t="s">
        <v>234</v>
      </c>
      <c r="B1090" t="s">
        <v>928</v>
      </c>
      <c r="C1090" t="s">
        <v>929</v>
      </c>
      <c r="D1090" t="s">
        <v>923</v>
      </c>
      <c r="E1090">
        <v>51</v>
      </c>
      <c r="F1090" t="s">
        <v>11</v>
      </c>
      <c r="G1090">
        <v>2</v>
      </c>
      <c r="H1090" t="s">
        <v>851</v>
      </c>
    </row>
    <row r="1091" spans="1:8" hidden="1">
      <c r="A1091" t="s">
        <v>234</v>
      </c>
      <c r="B1091" t="s">
        <v>655</v>
      </c>
      <c r="C1091" t="s">
        <v>656</v>
      </c>
      <c r="D1091" t="s">
        <v>923</v>
      </c>
      <c r="E1091">
        <v>46</v>
      </c>
      <c r="F1091" t="s">
        <v>11</v>
      </c>
      <c r="G1091">
        <v>2</v>
      </c>
      <c r="H1091" t="s">
        <v>851</v>
      </c>
    </row>
    <row r="1092" spans="1:8" hidden="1">
      <c r="A1092" t="s">
        <v>234</v>
      </c>
      <c r="B1092" t="s">
        <v>930</v>
      </c>
      <c r="C1092" t="s">
        <v>931</v>
      </c>
      <c r="D1092" t="s">
        <v>923</v>
      </c>
      <c r="E1092">
        <v>53</v>
      </c>
      <c r="F1092" t="s">
        <v>11</v>
      </c>
      <c r="G1092">
        <v>2</v>
      </c>
      <c r="H1092" t="s">
        <v>851</v>
      </c>
    </row>
    <row r="1093" spans="1:8" hidden="1">
      <c r="A1093" t="s">
        <v>335</v>
      </c>
      <c r="B1093" t="s">
        <v>387</v>
      </c>
      <c r="C1093" t="s">
        <v>388</v>
      </c>
      <c r="D1093" t="s">
        <v>923</v>
      </c>
      <c r="E1093">
        <v>44</v>
      </c>
      <c r="F1093" t="s">
        <v>11</v>
      </c>
      <c r="G1093">
        <v>2</v>
      </c>
      <c r="H1093" t="s">
        <v>851</v>
      </c>
    </row>
    <row r="1094" spans="1:8" hidden="1">
      <c r="A1094" t="s">
        <v>335</v>
      </c>
      <c r="B1094" t="s">
        <v>659</v>
      </c>
      <c r="C1094" t="s">
        <v>660</v>
      </c>
      <c r="D1094" t="s">
        <v>923</v>
      </c>
      <c r="E1094">
        <v>58</v>
      </c>
      <c r="F1094" t="s">
        <v>11</v>
      </c>
      <c r="G1094">
        <v>2</v>
      </c>
      <c r="H1094" t="s">
        <v>851</v>
      </c>
    </row>
    <row r="1095" spans="1:8" hidden="1">
      <c r="A1095" t="s">
        <v>335</v>
      </c>
      <c r="B1095" t="s">
        <v>932</v>
      </c>
      <c r="C1095" t="s">
        <v>933</v>
      </c>
      <c r="D1095" t="s">
        <v>923</v>
      </c>
      <c r="E1095">
        <v>43</v>
      </c>
      <c r="F1095" t="s">
        <v>11</v>
      </c>
      <c r="G1095">
        <v>2</v>
      </c>
      <c r="H1095" t="s">
        <v>851</v>
      </c>
    </row>
    <row r="1096" spans="1:8" hidden="1">
      <c r="A1096" t="s">
        <v>335</v>
      </c>
      <c r="B1096" t="s">
        <v>661</v>
      </c>
      <c r="C1096" t="s">
        <v>662</v>
      </c>
      <c r="D1096" t="s">
        <v>923</v>
      </c>
      <c r="E1096">
        <v>45</v>
      </c>
      <c r="F1096" t="s">
        <v>11</v>
      </c>
      <c r="G1096">
        <v>2</v>
      </c>
      <c r="H1096" t="s">
        <v>851</v>
      </c>
    </row>
    <row r="1097" spans="1:8" hidden="1">
      <c r="A1097" t="s">
        <v>335</v>
      </c>
      <c r="B1097" t="s">
        <v>409</v>
      </c>
      <c r="C1097" t="s">
        <v>410</v>
      </c>
      <c r="D1097" t="s">
        <v>923</v>
      </c>
      <c r="E1097">
        <v>42</v>
      </c>
      <c r="F1097" t="s">
        <v>11</v>
      </c>
      <c r="G1097">
        <v>2</v>
      </c>
      <c r="H1097" t="s">
        <v>851</v>
      </c>
    </row>
    <row r="1098" spans="1:8" hidden="1">
      <c r="A1098" t="s">
        <v>335</v>
      </c>
      <c r="B1098" t="s">
        <v>336</v>
      </c>
      <c r="C1098" t="s">
        <v>337</v>
      </c>
      <c r="D1098" t="s">
        <v>923</v>
      </c>
      <c r="E1098">
        <v>42</v>
      </c>
      <c r="F1098" t="s">
        <v>11</v>
      </c>
      <c r="G1098">
        <v>2</v>
      </c>
      <c r="H1098" t="s">
        <v>851</v>
      </c>
    </row>
    <row r="1099" spans="1:8" hidden="1">
      <c r="A1099" t="s">
        <v>239</v>
      </c>
      <c r="B1099" t="s">
        <v>560</v>
      </c>
      <c r="C1099" t="s">
        <v>561</v>
      </c>
      <c r="D1099" t="s">
        <v>939</v>
      </c>
      <c r="E1099">
        <v>58</v>
      </c>
      <c r="F1099" t="s">
        <v>11</v>
      </c>
      <c r="G1099">
        <v>1</v>
      </c>
      <c r="H1099" t="s">
        <v>851</v>
      </c>
    </row>
    <row r="1100" spans="1:8" hidden="1">
      <c r="A1100" t="s">
        <v>239</v>
      </c>
      <c r="B1100" t="s">
        <v>566</v>
      </c>
      <c r="C1100" t="s">
        <v>567</v>
      </c>
      <c r="D1100" t="s">
        <v>939</v>
      </c>
      <c r="E1100">
        <v>54</v>
      </c>
      <c r="F1100" t="s">
        <v>11</v>
      </c>
      <c r="G1100">
        <v>1</v>
      </c>
      <c r="H1100" t="s">
        <v>851</v>
      </c>
    </row>
    <row r="1101" spans="1:8" hidden="1">
      <c r="A1101" t="s">
        <v>141</v>
      </c>
      <c r="B1101" t="s">
        <v>824</v>
      </c>
      <c r="C1101" t="s">
        <v>825</v>
      </c>
      <c r="D1101" t="s">
        <v>939</v>
      </c>
      <c r="E1101">
        <v>40</v>
      </c>
      <c r="F1101" t="s">
        <v>11</v>
      </c>
      <c r="G1101">
        <v>1</v>
      </c>
      <c r="H1101" t="s">
        <v>851</v>
      </c>
    </row>
    <row r="1102" spans="1:8" hidden="1">
      <c r="A1102" t="s">
        <v>141</v>
      </c>
      <c r="B1102" t="s">
        <v>146</v>
      </c>
      <c r="C1102" t="s">
        <v>147</v>
      </c>
      <c r="D1102" t="s">
        <v>939</v>
      </c>
      <c r="E1102">
        <v>49</v>
      </c>
      <c r="F1102" t="s">
        <v>11</v>
      </c>
      <c r="G1102">
        <v>1</v>
      </c>
      <c r="H1102" t="s">
        <v>851</v>
      </c>
    </row>
    <row r="1103" spans="1:8" hidden="1">
      <c r="A1103" t="s">
        <v>141</v>
      </c>
      <c r="B1103" t="s">
        <v>148</v>
      </c>
      <c r="C1103" t="s">
        <v>149</v>
      </c>
      <c r="D1103" t="s">
        <v>939</v>
      </c>
      <c r="E1103">
        <v>50</v>
      </c>
      <c r="F1103" t="s">
        <v>11</v>
      </c>
      <c r="G1103">
        <v>1</v>
      </c>
      <c r="H1103" t="s">
        <v>851</v>
      </c>
    </row>
    <row r="1104" spans="1:8" hidden="1">
      <c r="A1104" t="s">
        <v>141</v>
      </c>
      <c r="B1104" t="s">
        <v>743</v>
      </c>
      <c r="C1104" t="s">
        <v>744</v>
      </c>
      <c r="D1104" t="s">
        <v>939</v>
      </c>
      <c r="E1104">
        <v>52</v>
      </c>
      <c r="F1104" t="s">
        <v>11</v>
      </c>
      <c r="G1104">
        <v>1</v>
      </c>
      <c r="H1104" t="s">
        <v>851</v>
      </c>
    </row>
    <row r="1105" spans="1:8" hidden="1">
      <c r="A1105" t="s">
        <v>141</v>
      </c>
      <c r="B1105" t="s">
        <v>154</v>
      </c>
      <c r="C1105" t="s">
        <v>155</v>
      </c>
      <c r="D1105" t="s">
        <v>939</v>
      </c>
      <c r="E1105">
        <v>53</v>
      </c>
      <c r="F1105" t="s">
        <v>11</v>
      </c>
      <c r="G1105">
        <v>1</v>
      </c>
      <c r="H1105" t="s">
        <v>851</v>
      </c>
    </row>
    <row r="1106" spans="1:8" hidden="1">
      <c r="A1106" t="s">
        <v>141</v>
      </c>
      <c r="B1106" t="s">
        <v>570</v>
      </c>
      <c r="C1106" t="s">
        <v>571</v>
      </c>
      <c r="D1106" t="s">
        <v>957</v>
      </c>
      <c r="E1106">
        <v>54</v>
      </c>
      <c r="F1106" t="s">
        <v>11</v>
      </c>
      <c r="G1106">
        <v>2</v>
      </c>
      <c r="H1106" t="s">
        <v>851</v>
      </c>
    </row>
    <row r="1107" spans="1:8" hidden="1">
      <c r="A1107" t="s">
        <v>141</v>
      </c>
      <c r="B1107" t="s">
        <v>572</v>
      </c>
      <c r="C1107" t="s">
        <v>573</v>
      </c>
      <c r="D1107" t="s">
        <v>957</v>
      </c>
      <c r="E1107">
        <v>54</v>
      </c>
      <c r="F1107" t="s">
        <v>11</v>
      </c>
      <c r="G1107">
        <v>2</v>
      </c>
      <c r="H1107" t="s">
        <v>851</v>
      </c>
    </row>
    <row r="1108" spans="1:8" hidden="1">
      <c r="A1108" t="s">
        <v>141</v>
      </c>
      <c r="B1108" t="s">
        <v>743</v>
      </c>
      <c r="C1108" t="s">
        <v>744</v>
      </c>
      <c r="D1108" t="s">
        <v>957</v>
      </c>
      <c r="E1108">
        <v>43</v>
      </c>
      <c r="F1108" t="s">
        <v>11</v>
      </c>
      <c r="G1108">
        <v>2</v>
      </c>
      <c r="H1108" t="s">
        <v>851</v>
      </c>
    </row>
    <row r="1109" spans="1:8" hidden="1">
      <c r="A1109" t="s">
        <v>239</v>
      </c>
      <c r="B1109" t="s">
        <v>562</v>
      </c>
      <c r="C1109" t="s">
        <v>563</v>
      </c>
      <c r="D1109" t="s">
        <v>941</v>
      </c>
      <c r="E1109">
        <v>59</v>
      </c>
      <c r="F1109" t="s">
        <v>11</v>
      </c>
      <c r="G1109">
        <v>2</v>
      </c>
      <c r="H1109" t="s">
        <v>851</v>
      </c>
    </row>
    <row r="1110" spans="1:8" hidden="1">
      <c r="A1110" t="s">
        <v>239</v>
      </c>
      <c r="B1110" t="s">
        <v>240</v>
      </c>
      <c r="C1110" t="s">
        <v>241</v>
      </c>
      <c r="D1110" t="s">
        <v>941</v>
      </c>
      <c r="E1110">
        <v>50</v>
      </c>
      <c r="F1110" t="s">
        <v>11</v>
      </c>
      <c r="G1110">
        <v>2</v>
      </c>
      <c r="H1110" t="s">
        <v>851</v>
      </c>
    </row>
    <row r="1111" spans="1:8" hidden="1">
      <c r="A1111" t="s">
        <v>239</v>
      </c>
      <c r="B1111" t="s">
        <v>942</v>
      </c>
      <c r="C1111" t="s">
        <v>943</v>
      </c>
      <c r="D1111" t="s">
        <v>941</v>
      </c>
      <c r="E1111">
        <v>56</v>
      </c>
      <c r="F1111" t="s">
        <v>11</v>
      </c>
      <c r="G1111">
        <v>2</v>
      </c>
      <c r="H1111" t="s">
        <v>851</v>
      </c>
    </row>
    <row r="1112" spans="1:8" hidden="1">
      <c r="A1112" t="s">
        <v>239</v>
      </c>
      <c r="B1112" t="s">
        <v>566</v>
      </c>
      <c r="C1112" t="s">
        <v>567</v>
      </c>
      <c r="D1112" t="s">
        <v>941</v>
      </c>
      <c r="E1112">
        <v>42</v>
      </c>
      <c r="F1112" t="s">
        <v>11</v>
      </c>
      <c r="G1112">
        <v>2</v>
      </c>
      <c r="H1112" t="s">
        <v>851</v>
      </c>
    </row>
    <row r="1113" spans="1:8" hidden="1">
      <c r="A1113" t="s">
        <v>141</v>
      </c>
      <c r="B1113" t="s">
        <v>944</v>
      </c>
      <c r="C1113" t="s">
        <v>945</v>
      </c>
      <c r="D1113" t="s">
        <v>941</v>
      </c>
      <c r="E1113">
        <v>59</v>
      </c>
      <c r="F1113" t="s">
        <v>11</v>
      </c>
      <c r="G1113">
        <v>2</v>
      </c>
      <c r="H1113" t="s">
        <v>851</v>
      </c>
    </row>
    <row r="1114" spans="1:8" hidden="1">
      <c r="A1114" t="s">
        <v>141</v>
      </c>
      <c r="B1114" t="s">
        <v>570</v>
      </c>
      <c r="C1114" t="s">
        <v>571</v>
      </c>
      <c r="D1114" t="s">
        <v>941</v>
      </c>
      <c r="E1114">
        <v>49</v>
      </c>
      <c r="F1114" t="s">
        <v>11</v>
      </c>
      <c r="G1114">
        <v>2</v>
      </c>
      <c r="H1114" t="s">
        <v>851</v>
      </c>
    </row>
    <row r="1115" spans="1:8" hidden="1">
      <c r="A1115" t="s">
        <v>141</v>
      </c>
      <c r="B1115" t="s">
        <v>572</v>
      </c>
      <c r="C1115" t="s">
        <v>573</v>
      </c>
      <c r="D1115" t="s">
        <v>941</v>
      </c>
      <c r="E1115">
        <v>50</v>
      </c>
      <c r="F1115" t="s">
        <v>11</v>
      </c>
      <c r="G1115">
        <v>2</v>
      </c>
      <c r="H1115" t="s">
        <v>851</v>
      </c>
    </row>
    <row r="1116" spans="1:8" hidden="1">
      <c r="A1116" t="s">
        <v>141</v>
      </c>
      <c r="B1116" t="s">
        <v>574</v>
      </c>
      <c r="C1116" t="s">
        <v>575</v>
      </c>
      <c r="D1116" t="s">
        <v>941</v>
      </c>
      <c r="E1116">
        <v>54</v>
      </c>
      <c r="F1116" t="s">
        <v>11</v>
      </c>
      <c r="G1116">
        <v>2</v>
      </c>
      <c r="H1116" t="s">
        <v>851</v>
      </c>
    </row>
    <row r="1117" spans="1:8" hidden="1">
      <c r="A1117" t="s">
        <v>141</v>
      </c>
      <c r="B1117" t="s">
        <v>142</v>
      </c>
      <c r="C1117" t="s">
        <v>143</v>
      </c>
      <c r="D1117" t="s">
        <v>941</v>
      </c>
      <c r="E1117">
        <v>49</v>
      </c>
      <c r="F1117" t="s">
        <v>11</v>
      </c>
      <c r="G1117">
        <v>2</v>
      </c>
      <c r="H1117" t="s">
        <v>851</v>
      </c>
    </row>
    <row r="1118" spans="1:8" hidden="1">
      <c r="A1118" t="s">
        <v>141</v>
      </c>
      <c r="B1118" t="s">
        <v>946</v>
      </c>
      <c r="C1118" t="s">
        <v>947</v>
      </c>
      <c r="D1118" t="s">
        <v>941</v>
      </c>
      <c r="E1118">
        <v>58</v>
      </c>
      <c r="F1118" t="s">
        <v>11</v>
      </c>
      <c r="G1118">
        <v>2</v>
      </c>
      <c r="H1118" t="s">
        <v>851</v>
      </c>
    </row>
    <row r="1119" spans="1:8" hidden="1">
      <c r="A1119" t="s">
        <v>141</v>
      </c>
      <c r="B1119" t="s">
        <v>576</v>
      </c>
      <c r="C1119" t="s">
        <v>577</v>
      </c>
      <c r="D1119" t="s">
        <v>941</v>
      </c>
      <c r="E1119">
        <v>49</v>
      </c>
      <c r="F1119" t="s">
        <v>11</v>
      </c>
      <c r="G1119">
        <v>2</v>
      </c>
      <c r="H1119" t="s">
        <v>851</v>
      </c>
    </row>
    <row r="1120" spans="1:8" hidden="1">
      <c r="A1120" t="s">
        <v>141</v>
      </c>
      <c r="B1120" t="s">
        <v>150</v>
      </c>
      <c r="C1120" t="s">
        <v>151</v>
      </c>
      <c r="D1120" t="s">
        <v>941</v>
      </c>
      <c r="E1120">
        <v>55</v>
      </c>
      <c r="F1120" t="s">
        <v>11</v>
      </c>
      <c r="G1120">
        <v>2</v>
      </c>
      <c r="H1120" t="s">
        <v>851</v>
      </c>
    </row>
    <row r="1121" spans="1:8" hidden="1">
      <c r="A1121" t="s">
        <v>141</v>
      </c>
      <c r="B1121" t="s">
        <v>743</v>
      </c>
      <c r="C1121" t="s">
        <v>744</v>
      </c>
      <c r="D1121" t="s">
        <v>941</v>
      </c>
      <c r="E1121">
        <v>56</v>
      </c>
      <c r="F1121" t="s">
        <v>11</v>
      </c>
      <c r="G1121">
        <v>2</v>
      </c>
      <c r="H1121" t="s">
        <v>851</v>
      </c>
    </row>
    <row r="1122" spans="1:8" hidden="1">
      <c r="A1122" t="s">
        <v>141</v>
      </c>
      <c r="B1122" t="s">
        <v>578</v>
      </c>
      <c r="C1122" t="s">
        <v>579</v>
      </c>
      <c r="D1122" t="s">
        <v>941</v>
      </c>
      <c r="E1122">
        <v>52</v>
      </c>
      <c r="F1122" t="s">
        <v>11</v>
      </c>
      <c r="G1122">
        <v>2</v>
      </c>
      <c r="H1122" t="s">
        <v>851</v>
      </c>
    </row>
    <row r="1123" spans="1:8" hidden="1">
      <c r="A1123" t="s">
        <v>141</v>
      </c>
      <c r="B1123" t="s">
        <v>948</v>
      </c>
      <c r="C1123" t="s">
        <v>949</v>
      </c>
      <c r="D1123" t="s">
        <v>941</v>
      </c>
      <c r="E1123">
        <v>30</v>
      </c>
      <c r="F1123" t="s">
        <v>11</v>
      </c>
      <c r="G1123">
        <v>2</v>
      </c>
      <c r="H1123" t="s">
        <v>851</v>
      </c>
    </row>
    <row r="1124" spans="1:8" hidden="1">
      <c r="A1124" t="s">
        <v>141</v>
      </c>
      <c r="B1124" t="s">
        <v>580</v>
      </c>
      <c r="C1124" t="s">
        <v>581</v>
      </c>
      <c r="D1124" t="s">
        <v>941</v>
      </c>
      <c r="E1124">
        <v>47</v>
      </c>
      <c r="F1124" t="s">
        <v>11</v>
      </c>
      <c r="G1124">
        <v>2</v>
      </c>
      <c r="H1124" t="s">
        <v>851</v>
      </c>
    </row>
    <row r="1125" spans="1:8" hidden="1">
      <c r="A1125" t="s">
        <v>239</v>
      </c>
      <c r="B1125" t="s">
        <v>564</v>
      </c>
      <c r="C1125" t="s">
        <v>565</v>
      </c>
      <c r="D1125" t="s">
        <v>940</v>
      </c>
      <c r="E1125">
        <v>51</v>
      </c>
      <c r="F1125" t="s">
        <v>11</v>
      </c>
      <c r="G1125">
        <v>2</v>
      </c>
      <c r="H1125" t="s">
        <v>851</v>
      </c>
    </row>
    <row r="1126" spans="1:8" hidden="1">
      <c r="A1126" t="s">
        <v>239</v>
      </c>
      <c r="B1126" t="s">
        <v>566</v>
      </c>
      <c r="C1126" t="s">
        <v>567</v>
      </c>
      <c r="D1126" t="s">
        <v>940</v>
      </c>
      <c r="E1126">
        <v>46</v>
      </c>
      <c r="F1126" t="s">
        <v>11</v>
      </c>
      <c r="G1126">
        <v>2</v>
      </c>
      <c r="H1126" t="s">
        <v>851</v>
      </c>
    </row>
    <row r="1127" spans="1:8" hidden="1">
      <c r="A1127" t="s">
        <v>141</v>
      </c>
      <c r="B1127" t="s">
        <v>824</v>
      </c>
      <c r="C1127" t="s">
        <v>825</v>
      </c>
      <c r="D1127" t="s">
        <v>940</v>
      </c>
      <c r="E1127">
        <v>54</v>
      </c>
      <c r="F1127" t="s">
        <v>11</v>
      </c>
      <c r="G1127">
        <v>2</v>
      </c>
      <c r="H1127" t="s">
        <v>851</v>
      </c>
    </row>
    <row r="1128" spans="1:8" hidden="1">
      <c r="A1128" t="s">
        <v>141</v>
      </c>
      <c r="B1128" t="s">
        <v>144</v>
      </c>
      <c r="C1128" t="s">
        <v>145</v>
      </c>
      <c r="D1128" t="s">
        <v>940</v>
      </c>
      <c r="E1128">
        <v>56</v>
      </c>
      <c r="F1128" t="s">
        <v>11</v>
      </c>
      <c r="G1128">
        <v>2</v>
      </c>
      <c r="H1128" t="s">
        <v>851</v>
      </c>
    </row>
    <row r="1129" spans="1:8" hidden="1">
      <c r="A1129" t="s">
        <v>141</v>
      </c>
      <c r="B1129" t="s">
        <v>576</v>
      </c>
      <c r="C1129" t="s">
        <v>577</v>
      </c>
      <c r="D1129" t="s">
        <v>940</v>
      </c>
      <c r="E1129">
        <v>52</v>
      </c>
      <c r="F1129" t="s">
        <v>11</v>
      </c>
      <c r="G1129">
        <v>2</v>
      </c>
      <c r="H1129" t="s">
        <v>851</v>
      </c>
    </row>
    <row r="1130" spans="1:8" hidden="1">
      <c r="A1130" t="s">
        <v>141</v>
      </c>
      <c r="B1130" t="s">
        <v>154</v>
      </c>
      <c r="C1130" t="s">
        <v>155</v>
      </c>
      <c r="D1130" t="s">
        <v>940</v>
      </c>
      <c r="E1130">
        <v>58</v>
      </c>
      <c r="F1130" t="s">
        <v>11</v>
      </c>
      <c r="G1130">
        <v>2</v>
      </c>
      <c r="H1130" t="s">
        <v>851</v>
      </c>
    </row>
    <row r="1131" spans="1:8" hidden="1">
      <c r="A1131" t="s">
        <v>97</v>
      </c>
      <c r="B1131" t="s">
        <v>112</v>
      </c>
      <c r="C1131" t="s">
        <v>113</v>
      </c>
      <c r="D1131" t="s">
        <v>913</v>
      </c>
      <c r="E1131">
        <v>50</v>
      </c>
      <c r="F1131" t="s">
        <v>11</v>
      </c>
      <c r="G1131">
        <v>3</v>
      </c>
      <c r="H1131" t="s">
        <v>851</v>
      </c>
    </row>
    <row r="1132" spans="1:8" hidden="1">
      <c r="A1132" t="s">
        <v>97</v>
      </c>
      <c r="B1132" t="s">
        <v>118</v>
      </c>
      <c r="C1132" t="s">
        <v>119</v>
      </c>
      <c r="D1132" t="s">
        <v>913</v>
      </c>
      <c r="E1132">
        <v>50</v>
      </c>
      <c r="F1132" t="s">
        <v>11</v>
      </c>
      <c r="G1132">
        <v>3</v>
      </c>
      <c r="H1132" t="s">
        <v>851</v>
      </c>
    </row>
    <row r="1133" spans="1:8" hidden="1">
      <c r="A1133" t="s">
        <v>279</v>
      </c>
      <c r="B1133" t="s">
        <v>288</v>
      </c>
      <c r="C1133" t="s">
        <v>289</v>
      </c>
      <c r="D1133" t="s">
        <v>901</v>
      </c>
      <c r="E1133">
        <v>59</v>
      </c>
      <c r="F1133" t="s">
        <v>11</v>
      </c>
      <c r="G1133">
        <v>4</v>
      </c>
      <c r="H1133" t="s">
        <v>851</v>
      </c>
    </row>
    <row r="1134" spans="1:8" hidden="1">
      <c r="A1134" t="s">
        <v>174</v>
      </c>
      <c r="B1134" t="s">
        <v>831</v>
      </c>
      <c r="C1134" t="s">
        <v>832</v>
      </c>
      <c r="D1134" t="s">
        <v>901</v>
      </c>
      <c r="E1134">
        <v>41</v>
      </c>
      <c r="F1134" t="s">
        <v>11</v>
      </c>
      <c r="G1134">
        <v>4</v>
      </c>
      <c r="H1134" t="s">
        <v>851</v>
      </c>
    </row>
    <row r="1135" spans="1:8" hidden="1">
      <c r="A1135" t="s">
        <v>239</v>
      </c>
      <c r="B1135" t="s">
        <v>560</v>
      </c>
      <c r="C1135" t="s">
        <v>561</v>
      </c>
      <c r="D1135" t="s">
        <v>950</v>
      </c>
      <c r="E1135">
        <v>47</v>
      </c>
      <c r="F1135" t="s">
        <v>11</v>
      </c>
      <c r="G1135">
        <v>2</v>
      </c>
      <c r="H1135" t="s">
        <v>851</v>
      </c>
    </row>
    <row r="1136" spans="1:8" hidden="1">
      <c r="A1136" t="s">
        <v>239</v>
      </c>
      <c r="B1136" t="s">
        <v>240</v>
      </c>
      <c r="C1136" t="s">
        <v>241</v>
      </c>
      <c r="D1136" t="s">
        <v>950</v>
      </c>
      <c r="E1136">
        <v>42</v>
      </c>
      <c r="F1136" t="s">
        <v>11</v>
      </c>
      <c r="G1136">
        <v>2</v>
      </c>
      <c r="H1136" t="s">
        <v>851</v>
      </c>
    </row>
    <row r="1137" spans="1:8" hidden="1">
      <c r="A1137" t="s">
        <v>239</v>
      </c>
      <c r="B1137" t="s">
        <v>951</v>
      </c>
      <c r="C1137" t="s">
        <v>952</v>
      </c>
      <c r="D1137" t="s">
        <v>950</v>
      </c>
      <c r="E1137">
        <v>40</v>
      </c>
      <c r="F1137" t="s">
        <v>11</v>
      </c>
      <c r="G1137">
        <v>2</v>
      </c>
      <c r="H1137" t="s">
        <v>851</v>
      </c>
    </row>
    <row r="1138" spans="1:8" hidden="1">
      <c r="A1138" t="s">
        <v>239</v>
      </c>
      <c r="B1138" t="s">
        <v>735</v>
      </c>
      <c r="C1138" t="s">
        <v>736</v>
      </c>
      <c r="D1138" t="s">
        <v>950</v>
      </c>
      <c r="E1138">
        <v>54</v>
      </c>
      <c r="F1138" t="s">
        <v>11</v>
      </c>
      <c r="G1138">
        <v>2</v>
      </c>
      <c r="H1138" t="s">
        <v>851</v>
      </c>
    </row>
    <row r="1139" spans="1:8" hidden="1">
      <c r="A1139" t="s">
        <v>239</v>
      </c>
      <c r="B1139" t="s">
        <v>953</v>
      </c>
      <c r="C1139" t="s">
        <v>954</v>
      </c>
      <c r="D1139" t="s">
        <v>950</v>
      </c>
      <c r="E1139">
        <v>40</v>
      </c>
      <c r="F1139" t="s">
        <v>11</v>
      </c>
      <c r="G1139">
        <v>2</v>
      </c>
      <c r="H1139" t="s">
        <v>851</v>
      </c>
    </row>
    <row r="1140" spans="1:8" hidden="1">
      <c r="A1140" t="s">
        <v>141</v>
      </c>
      <c r="B1140" t="s">
        <v>944</v>
      </c>
      <c r="C1140" t="s">
        <v>945</v>
      </c>
      <c r="D1140" t="s">
        <v>950</v>
      </c>
      <c r="E1140">
        <v>47</v>
      </c>
      <c r="F1140" t="s">
        <v>11</v>
      </c>
      <c r="G1140">
        <v>2</v>
      </c>
      <c r="H1140" t="s">
        <v>851</v>
      </c>
    </row>
    <row r="1141" spans="1:8" hidden="1">
      <c r="A1141" t="s">
        <v>141</v>
      </c>
      <c r="B1141" t="s">
        <v>955</v>
      </c>
      <c r="C1141" t="s">
        <v>956</v>
      </c>
      <c r="D1141" t="s">
        <v>950</v>
      </c>
      <c r="E1141">
        <v>42</v>
      </c>
      <c r="F1141" t="s">
        <v>11</v>
      </c>
      <c r="G1141">
        <v>2</v>
      </c>
      <c r="H1141" t="s">
        <v>851</v>
      </c>
    </row>
  </sheetData>
  <autoFilter ref="A1:H1141" xr:uid="{B4C69D6D-1BB2-4B23-9D17-5A1D57A6666D}">
    <filterColumn colId="3">
      <filters>
        <filter val="底盤原理"/>
      </filters>
    </filterColumn>
  </autoFilter>
  <sortState xmlns:xlrd2="http://schemas.microsoft.com/office/spreadsheetml/2017/richdata2" ref="A2:H1142">
    <sortCondition descending="1" ref="H2:H1142"/>
    <sortCondition descending="1" ref="D2:D1142"/>
    <sortCondition ref="B2:B114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F62B-64C6-42E5-B64C-3EE54D86338C}">
  <dimension ref="A1:H886"/>
  <sheetViews>
    <sheetView workbookViewId="0">
      <selection activeCell="M22" sqref="M22"/>
    </sheetView>
  </sheetViews>
  <sheetFormatPr defaultRowHeight="12.5"/>
  <cols>
    <col min="1" max="1" width="11.453125" style="3" customWidth="1"/>
    <col min="2" max="2" width="10.36328125" style="4" customWidth="1"/>
    <col min="3" max="3" width="9.08984375" style="4"/>
    <col min="4" max="4" width="25.6328125" style="4" bestFit="1" customWidth="1"/>
    <col min="5" max="256" width="9.08984375" style="4"/>
    <col min="257" max="257" width="11.453125" style="4" customWidth="1"/>
    <col min="258" max="258" width="10.36328125" style="4" customWidth="1"/>
    <col min="259" max="512" width="9.08984375" style="4"/>
    <col min="513" max="513" width="11.453125" style="4" customWidth="1"/>
    <col min="514" max="514" width="10.36328125" style="4" customWidth="1"/>
    <col min="515" max="768" width="9.08984375" style="4"/>
    <col min="769" max="769" width="11.453125" style="4" customWidth="1"/>
    <col min="770" max="770" width="10.36328125" style="4" customWidth="1"/>
    <col min="771" max="1024" width="9.08984375" style="4"/>
    <col min="1025" max="1025" width="11.453125" style="4" customWidth="1"/>
    <col min="1026" max="1026" width="10.36328125" style="4" customWidth="1"/>
    <col min="1027" max="1280" width="9.08984375" style="4"/>
    <col min="1281" max="1281" width="11.453125" style="4" customWidth="1"/>
    <col min="1282" max="1282" width="10.36328125" style="4" customWidth="1"/>
    <col min="1283" max="1536" width="9.08984375" style="4"/>
    <col min="1537" max="1537" width="11.453125" style="4" customWidth="1"/>
    <col min="1538" max="1538" width="10.36328125" style="4" customWidth="1"/>
    <col min="1539" max="1792" width="9.08984375" style="4"/>
    <col min="1793" max="1793" width="11.453125" style="4" customWidth="1"/>
    <col min="1794" max="1794" width="10.36328125" style="4" customWidth="1"/>
    <col min="1795" max="2048" width="9.08984375" style="4"/>
    <col min="2049" max="2049" width="11.453125" style="4" customWidth="1"/>
    <col min="2050" max="2050" width="10.36328125" style="4" customWidth="1"/>
    <col min="2051" max="2304" width="9.08984375" style="4"/>
    <col min="2305" max="2305" width="11.453125" style="4" customWidth="1"/>
    <col min="2306" max="2306" width="10.36328125" style="4" customWidth="1"/>
    <col min="2307" max="2560" width="9.08984375" style="4"/>
    <col min="2561" max="2561" width="11.453125" style="4" customWidth="1"/>
    <col min="2562" max="2562" width="10.36328125" style="4" customWidth="1"/>
    <col min="2563" max="2816" width="9.08984375" style="4"/>
    <col min="2817" max="2817" width="11.453125" style="4" customWidth="1"/>
    <col min="2818" max="2818" width="10.36328125" style="4" customWidth="1"/>
    <col min="2819" max="3072" width="9.08984375" style="4"/>
    <col min="3073" max="3073" width="11.453125" style="4" customWidth="1"/>
    <col min="3074" max="3074" width="10.36328125" style="4" customWidth="1"/>
    <col min="3075" max="3328" width="9.08984375" style="4"/>
    <col min="3329" max="3329" width="11.453125" style="4" customWidth="1"/>
    <col min="3330" max="3330" width="10.36328125" style="4" customWidth="1"/>
    <col min="3331" max="3584" width="9.08984375" style="4"/>
    <col min="3585" max="3585" width="11.453125" style="4" customWidth="1"/>
    <col min="3586" max="3586" width="10.36328125" style="4" customWidth="1"/>
    <col min="3587" max="3840" width="9.08984375" style="4"/>
    <col min="3841" max="3841" width="11.453125" style="4" customWidth="1"/>
    <col min="3842" max="3842" width="10.36328125" style="4" customWidth="1"/>
    <col min="3843" max="4096" width="9.08984375" style="4"/>
    <col min="4097" max="4097" width="11.453125" style="4" customWidth="1"/>
    <col min="4098" max="4098" width="10.36328125" style="4" customWidth="1"/>
    <col min="4099" max="4352" width="9.08984375" style="4"/>
    <col min="4353" max="4353" width="11.453125" style="4" customWidth="1"/>
    <col min="4354" max="4354" width="10.36328125" style="4" customWidth="1"/>
    <col min="4355" max="4608" width="9.08984375" style="4"/>
    <col min="4609" max="4609" width="11.453125" style="4" customWidth="1"/>
    <col min="4610" max="4610" width="10.36328125" style="4" customWidth="1"/>
    <col min="4611" max="4864" width="9.08984375" style="4"/>
    <col min="4865" max="4865" width="11.453125" style="4" customWidth="1"/>
    <col min="4866" max="4866" width="10.36328125" style="4" customWidth="1"/>
    <col min="4867" max="5120" width="9.08984375" style="4"/>
    <col min="5121" max="5121" width="11.453125" style="4" customWidth="1"/>
    <col min="5122" max="5122" width="10.36328125" style="4" customWidth="1"/>
    <col min="5123" max="5376" width="9.08984375" style="4"/>
    <col min="5377" max="5377" width="11.453125" style="4" customWidth="1"/>
    <col min="5378" max="5378" width="10.36328125" style="4" customWidth="1"/>
    <col min="5379" max="5632" width="9.08984375" style="4"/>
    <col min="5633" max="5633" width="11.453125" style="4" customWidth="1"/>
    <col min="5634" max="5634" width="10.36328125" style="4" customWidth="1"/>
    <col min="5635" max="5888" width="9.08984375" style="4"/>
    <col min="5889" max="5889" width="11.453125" style="4" customWidth="1"/>
    <col min="5890" max="5890" width="10.36328125" style="4" customWidth="1"/>
    <col min="5891" max="6144" width="9.08984375" style="4"/>
    <col min="6145" max="6145" width="11.453125" style="4" customWidth="1"/>
    <col min="6146" max="6146" width="10.36328125" style="4" customWidth="1"/>
    <col min="6147" max="6400" width="9.08984375" style="4"/>
    <col min="6401" max="6401" width="11.453125" style="4" customWidth="1"/>
    <col min="6402" max="6402" width="10.36328125" style="4" customWidth="1"/>
    <col min="6403" max="6656" width="9.08984375" style="4"/>
    <col min="6657" max="6657" width="11.453125" style="4" customWidth="1"/>
    <col min="6658" max="6658" width="10.36328125" style="4" customWidth="1"/>
    <col min="6659" max="6912" width="9.08984375" style="4"/>
    <col min="6913" max="6913" width="11.453125" style="4" customWidth="1"/>
    <col min="6914" max="6914" width="10.36328125" style="4" customWidth="1"/>
    <col min="6915" max="7168" width="9.08984375" style="4"/>
    <col min="7169" max="7169" width="11.453125" style="4" customWidth="1"/>
    <col min="7170" max="7170" width="10.36328125" style="4" customWidth="1"/>
    <col min="7171" max="7424" width="9.08984375" style="4"/>
    <col min="7425" max="7425" width="11.453125" style="4" customWidth="1"/>
    <col min="7426" max="7426" width="10.36328125" style="4" customWidth="1"/>
    <col min="7427" max="7680" width="9.08984375" style="4"/>
    <col min="7681" max="7681" width="11.453125" style="4" customWidth="1"/>
    <col min="7682" max="7682" width="10.36328125" style="4" customWidth="1"/>
    <col min="7683" max="7936" width="9.08984375" style="4"/>
    <col min="7937" max="7937" width="11.453125" style="4" customWidth="1"/>
    <col min="7938" max="7938" width="10.36328125" style="4" customWidth="1"/>
    <col min="7939" max="8192" width="9.08984375" style="4"/>
    <col min="8193" max="8193" width="11.453125" style="4" customWidth="1"/>
    <col min="8194" max="8194" width="10.36328125" style="4" customWidth="1"/>
    <col min="8195" max="8448" width="9.08984375" style="4"/>
    <col min="8449" max="8449" width="11.453125" style="4" customWidth="1"/>
    <col min="8450" max="8450" width="10.36328125" style="4" customWidth="1"/>
    <col min="8451" max="8704" width="9.08984375" style="4"/>
    <col min="8705" max="8705" width="11.453125" style="4" customWidth="1"/>
    <col min="8706" max="8706" width="10.36328125" style="4" customWidth="1"/>
    <col min="8707" max="8960" width="9.08984375" style="4"/>
    <col min="8961" max="8961" width="11.453125" style="4" customWidth="1"/>
    <col min="8962" max="8962" width="10.36328125" style="4" customWidth="1"/>
    <col min="8963" max="9216" width="9.08984375" style="4"/>
    <col min="9217" max="9217" width="11.453125" style="4" customWidth="1"/>
    <col min="9218" max="9218" width="10.36328125" style="4" customWidth="1"/>
    <col min="9219" max="9472" width="9.08984375" style="4"/>
    <col min="9473" max="9473" width="11.453125" style="4" customWidth="1"/>
    <col min="9474" max="9474" width="10.36328125" style="4" customWidth="1"/>
    <col min="9475" max="9728" width="9.08984375" style="4"/>
    <col min="9729" max="9729" width="11.453125" style="4" customWidth="1"/>
    <col min="9730" max="9730" width="10.36328125" style="4" customWidth="1"/>
    <col min="9731" max="9984" width="9.08984375" style="4"/>
    <col min="9985" max="9985" width="11.453125" style="4" customWidth="1"/>
    <col min="9986" max="9986" width="10.36328125" style="4" customWidth="1"/>
    <col min="9987" max="10240" width="9.08984375" style="4"/>
    <col min="10241" max="10241" width="11.453125" style="4" customWidth="1"/>
    <col min="10242" max="10242" width="10.36328125" style="4" customWidth="1"/>
    <col min="10243" max="10496" width="9.08984375" style="4"/>
    <col min="10497" max="10497" width="11.453125" style="4" customWidth="1"/>
    <col min="10498" max="10498" width="10.36328125" style="4" customWidth="1"/>
    <col min="10499" max="10752" width="9.08984375" style="4"/>
    <col min="10753" max="10753" width="11.453125" style="4" customWidth="1"/>
    <col min="10754" max="10754" width="10.36328125" style="4" customWidth="1"/>
    <col min="10755" max="11008" width="9.08984375" style="4"/>
    <col min="11009" max="11009" width="11.453125" style="4" customWidth="1"/>
    <col min="11010" max="11010" width="10.36328125" style="4" customWidth="1"/>
    <col min="11011" max="11264" width="9.08984375" style="4"/>
    <col min="11265" max="11265" width="11.453125" style="4" customWidth="1"/>
    <col min="11266" max="11266" width="10.36328125" style="4" customWidth="1"/>
    <col min="11267" max="11520" width="9.08984375" style="4"/>
    <col min="11521" max="11521" width="11.453125" style="4" customWidth="1"/>
    <col min="11522" max="11522" width="10.36328125" style="4" customWidth="1"/>
    <col min="11523" max="11776" width="9.08984375" style="4"/>
    <col min="11777" max="11777" width="11.453125" style="4" customWidth="1"/>
    <col min="11778" max="11778" width="10.36328125" style="4" customWidth="1"/>
    <col min="11779" max="12032" width="9.08984375" style="4"/>
    <col min="12033" max="12033" width="11.453125" style="4" customWidth="1"/>
    <col min="12034" max="12034" width="10.36328125" style="4" customWidth="1"/>
    <col min="12035" max="12288" width="9.08984375" style="4"/>
    <col min="12289" max="12289" width="11.453125" style="4" customWidth="1"/>
    <col min="12290" max="12290" width="10.36328125" style="4" customWidth="1"/>
    <col min="12291" max="12544" width="9.08984375" style="4"/>
    <col min="12545" max="12545" width="11.453125" style="4" customWidth="1"/>
    <col min="12546" max="12546" width="10.36328125" style="4" customWidth="1"/>
    <col min="12547" max="12800" width="9.08984375" style="4"/>
    <col min="12801" max="12801" width="11.453125" style="4" customWidth="1"/>
    <col min="12802" max="12802" width="10.36328125" style="4" customWidth="1"/>
    <col min="12803" max="13056" width="9.08984375" style="4"/>
    <col min="13057" max="13057" width="11.453125" style="4" customWidth="1"/>
    <col min="13058" max="13058" width="10.36328125" style="4" customWidth="1"/>
    <col min="13059" max="13312" width="9.08984375" style="4"/>
    <col min="13313" max="13313" width="11.453125" style="4" customWidth="1"/>
    <col min="13314" max="13314" width="10.36328125" style="4" customWidth="1"/>
    <col min="13315" max="13568" width="9.08984375" style="4"/>
    <col min="13569" max="13569" width="11.453125" style="4" customWidth="1"/>
    <col min="13570" max="13570" width="10.36328125" style="4" customWidth="1"/>
    <col min="13571" max="13824" width="9.08984375" style="4"/>
    <col min="13825" max="13825" width="11.453125" style="4" customWidth="1"/>
    <col min="13826" max="13826" width="10.36328125" style="4" customWidth="1"/>
    <col min="13827" max="14080" width="9.08984375" style="4"/>
    <col min="14081" max="14081" width="11.453125" style="4" customWidth="1"/>
    <col min="14082" max="14082" width="10.36328125" style="4" customWidth="1"/>
    <col min="14083" max="14336" width="9.08984375" style="4"/>
    <col min="14337" max="14337" width="11.453125" style="4" customWidth="1"/>
    <col min="14338" max="14338" width="10.36328125" style="4" customWidth="1"/>
    <col min="14339" max="14592" width="9.08984375" style="4"/>
    <col min="14593" max="14593" width="11.453125" style="4" customWidth="1"/>
    <col min="14594" max="14594" width="10.36328125" style="4" customWidth="1"/>
    <col min="14595" max="14848" width="9.08984375" style="4"/>
    <col min="14849" max="14849" width="11.453125" style="4" customWidth="1"/>
    <col min="14850" max="14850" width="10.36328125" style="4" customWidth="1"/>
    <col min="14851" max="15104" width="9.08984375" style="4"/>
    <col min="15105" max="15105" width="11.453125" style="4" customWidth="1"/>
    <col min="15106" max="15106" width="10.36328125" style="4" customWidth="1"/>
    <col min="15107" max="15360" width="9.08984375" style="4"/>
    <col min="15361" max="15361" width="11.453125" style="4" customWidth="1"/>
    <col min="15362" max="15362" width="10.36328125" style="4" customWidth="1"/>
    <col min="15363" max="15616" width="9.08984375" style="4"/>
    <col min="15617" max="15617" width="11.453125" style="4" customWidth="1"/>
    <col min="15618" max="15618" width="10.36328125" style="4" customWidth="1"/>
    <col min="15619" max="15872" width="9.08984375" style="4"/>
    <col min="15873" max="15873" width="11.453125" style="4" customWidth="1"/>
    <col min="15874" max="15874" width="10.36328125" style="4" customWidth="1"/>
    <col min="15875" max="16128" width="9.08984375" style="4"/>
    <col min="16129" max="16129" width="11.453125" style="4" customWidth="1"/>
    <col min="16130" max="16130" width="10.36328125" style="4" customWidth="1"/>
    <col min="16131" max="16384" width="9.08984375" style="4"/>
  </cols>
  <sheetData>
    <row r="1" spans="1:8" ht="13.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967</v>
      </c>
      <c r="H1" s="4" t="s">
        <v>6</v>
      </c>
    </row>
    <row r="2" spans="1:8">
      <c r="A2" s="3" t="s">
        <v>1818</v>
      </c>
      <c r="B2" s="4" t="s">
        <v>1819</v>
      </c>
      <c r="C2" s="4" t="s">
        <v>1820</v>
      </c>
      <c r="D2" s="4" t="s">
        <v>1821</v>
      </c>
      <c r="E2" s="4">
        <v>58</v>
      </c>
      <c r="F2" s="4">
        <v>2</v>
      </c>
      <c r="G2" s="4" t="s">
        <v>583</v>
      </c>
      <c r="H2" s="4" t="s">
        <v>12</v>
      </c>
    </row>
    <row r="3" spans="1:8">
      <c r="A3" s="3" t="s">
        <v>1020</v>
      </c>
      <c r="B3" s="4" t="s">
        <v>1543</v>
      </c>
      <c r="C3" s="4" t="s">
        <v>1544</v>
      </c>
      <c r="D3" s="4" t="s">
        <v>803</v>
      </c>
      <c r="E3" s="4">
        <v>57</v>
      </c>
      <c r="F3" s="4">
        <v>2</v>
      </c>
      <c r="G3" s="4" t="s">
        <v>11</v>
      </c>
      <c r="H3" s="4" t="s">
        <v>12</v>
      </c>
    </row>
    <row r="4" spans="1:8">
      <c r="A4" s="3" t="s">
        <v>1020</v>
      </c>
      <c r="B4" s="4" t="s">
        <v>1263</v>
      </c>
      <c r="C4" s="4" t="s">
        <v>1264</v>
      </c>
      <c r="D4" s="4" t="s">
        <v>803</v>
      </c>
      <c r="E4" s="4">
        <v>57</v>
      </c>
      <c r="F4" s="4">
        <v>2</v>
      </c>
      <c r="G4" s="4" t="s">
        <v>11</v>
      </c>
      <c r="H4" s="4" t="s">
        <v>12</v>
      </c>
    </row>
    <row r="5" spans="1:8">
      <c r="A5" s="3" t="s">
        <v>1184</v>
      </c>
      <c r="B5" s="4" t="s">
        <v>1461</v>
      </c>
      <c r="C5" s="4" t="s">
        <v>1462</v>
      </c>
      <c r="D5" s="4" t="s">
        <v>803</v>
      </c>
      <c r="E5" s="4">
        <v>57</v>
      </c>
      <c r="F5" s="4">
        <v>2</v>
      </c>
      <c r="G5" s="4" t="s">
        <v>11</v>
      </c>
      <c r="H5" s="4" t="s">
        <v>12</v>
      </c>
    </row>
    <row r="6" spans="1:8">
      <c r="A6" s="3" t="s">
        <v>1217</v>
      </c>
      <c r="B6" s="4" t="s">
        <v>1572</v>
      </c>
      <c r="C6" s="4" t="s">
        <v>1573</v>
      </c>
      <c r="D6" s="4" t="s">
        <v>803</v>
      </c>
      <c r="E6" s="4">
        <v>47</v>
      </c>
      <c r="F6" s="4">
        <v>2</v>
      </c>
      <c r="G6" s="4" t="s">
        <v>11</v>
      </c>
      <c r="H6" s="4" t="s">
        <v>12</v>
      </c>
    </row>
    <row r="7" spans="1:8">
      <c r="A7" s="3" t="s">
        <v>998</v>
      </c>
      <c r="B7" s="4" t="s">
        <v>1574</v>
      </c>
      <c r="C7" s="4" t="s">
        <v>1575</v>
      </c>
      <c r="D7" s="4" t="s">
        <v>803</v>
      </c>
      <c r="E7" s="4">
        <v>56</v>
      </c>
      <c r="F7" s="4">
        <v>2</v>
      </c>
      <c r="G7" s="4" t="s">
        <v>11</v>
      </c>
      <c r="H7" s="4" t="s">
        <v>12</v>
      </c>
    </row>
    <row r="8" spans="1:8">
      <c r="A8" s="3" t="s">
        <v>1135</v>
      </c>
      <c r="B8" s="4" t="s">
        <v>1140</v>
      </c>
      <c r="C8" s="4" t="s">
        <v>1141</v>
      </c>
      <c r="D8" s="4" t="s">
        <v>803</v>
      </c>
      <c r="E8" s="4">
        <v>58</v>
      </c>
      <c r="F8" s="4">
        <v>2</v>
      </c>
      <c r="G8" s="4" t="s">
        <v>11</v>
      </c>
      <c r="H8" s="4" t="s">
        <v>12</v>
      </c>
    </row>
    <row r="9" spans="1:8">
      <c r="A9" s="3" t="s">
        <v>1613</v>
      </c>
      <c r="B9" s="4" t="s">
        <v>1614</v>
      </c>
      <c r="C9" s="4" t="s">
        <v>1615</v>
      </c>
      <c r="D9" s="4" t="s">
        <v>1616</v>
      </c>
      <c r="E9" s="4">
        <v>56</v>
      </c>
      <c r="F9" s="4">
        <v>1</v>
      </c>
      <c r="G9" s="4" t="s">
        <v>11</v>
      </c>
      <c r="H9" s="4" t="s">
        <v>12</v>
      </c>
    </row>
    <row r="10" spans="1:8">
      <c r="A10" s="3" t="s">
        <v>1064</v>
      </c>
      <c r="B10" s="4" t="s">
        <v>1065</v>
      </c>
      <c r="C10" s="4" t="s">
        <v>1066</v>
      </c>
      <c r="D10" s="4" t="s">
        <v>1567</v>
      </c>
      <c r="E10" s="4">
        <v>45</v>
      </c>
      <c r="F10" s="4">
        <v>2</v>
      </c>
      <c r="G10" s="4" t="s">
        <v>11</v>
      </c>
      <c r="H10" s="4" t="s">
        <v>12</v>
      </c>
    </row>
    <row r="11" spans="1:8">
      <c r="A11" s="3" t="s">
        <v>1064</v>
      </c>
      <c r="B11" s="4" t="s">
        <v>1305</v>
      </c>
      <c r="C11" s="4" t="s">
        <v>1306</v>
      </c>
      <c r="D11" s="4" t="s">
        <v>1567</v>
      </c>
      <c r="E11" s="4">
        <v>40</v>
      </c>
      <c r="F11" s="4">
        <v>2</v>
      </c>
      <c r="G11" s="4" t="s">
        <v>11</v>
      </c>
      <c r="H11" s="4" t="s">
        <v>12</v>
      </c>
    </row>
    <row r="12" spans="1:8">
      <c r="A12" s="3" t="s">
        <v>1064</v>
      </c>
      <c r="B12" s="4" t="s">
        <v>1568</v>
      </c>
      <c r="C12" s="4" t="s">
        <v>1569</v>
      </c>
      <c r="D12" s="4" t="s">
        <v>1567</v>
      </c>
      <c r="E12" s="4">
        <v>42</v>
      </c>
      <c r="F12" s="4">
        <v>2</v>
      </c>
      <c r="G12" s="4" t="s">
        <v>11</v>
      </c>
      <c r="H12" s="4" t="s">
        <v>12</v>
      </c>
    </row>
    <row r="13" spans="1:8">
      <c r="A13" s="3" t="s">
        <v>1064</v>
      </c>
      <c r="B13" s="4" t="s">
        <v>1073</v>
      </c>
      <c r="C13" s="4" t="s">
        <v>1074</v>
      </c>
      <c r="D13" s="4" t="s">
        <v>1567</v>
      </c>
      <c r="E13" s="4">
        <v>40</v>
      </c>
      <c r="F13" s="4">
        <v>2</v>
      </c>
      <c r="G13" s="4" t="s">
        <v>11</v>
      </c>
      <c r="H13" s="4" t="s">
        <v>12</v>
      </c>
    </row>
    <row r="14" spans="1:8">
      <c r="A14" s="3" t="s">
        <v>1064</v>
      </c>
      <c r="B14" s="4" t="s">
        <v>1317</v>
      </c>
      <c r="C14" s="4" t="s">
        <v>1318</v>
      </c>
      <c r="D14" s="4" t="s">
        <v>1567</v>
      </c>
      <c r="E14" s="4">
        <v>50</v>
      </c>
      <c r="F14" s="4">
        <v>2</v>
      </c>
      <c r="G14" s="4" t="s">
        <v>11</v>
      </c>
      <c r="H14" s="4" t="s">
        <v>12</v>
      </c>
    </row>
    <row r="15" spans="1:8">
      <c r="A15" s="3" t="s">
        <v>1064</v>
      </c>
      <c r="B15" s="4" t="s">
        <v>1513</v>
      </c>
      <c r="C15" s="4" t="s">
        <v>1514</v>
      </c>
      <c r="D15" s="4" t="s">
        <v>1567</v>
      </c>
      <c r="E15" s="4">
        <v>49</v>
      </c>
      <c r="F15" s="4">
        <v>2</v>
      </c>
      <c r="G15" s="4" t="s">
        <v>11</v>
      </c>
      <c r="H15" s="4" t="s">
        <v>12</v>
      </c>
    </row>
    <row r="16" spans="1:8">
      <c r="A16" s="3" t="s">
        <v>1064</v>
      </c>
      <c r="B16" s="4" t="s">
        <v>1079</v>
      </c>
      <c r="C16" s="4" t="s">
        <v>1080</v>
      </c>
      <c r="D16" s="4" t="s">
        <v>1567</v>
      </c>
      <c r="E16" s="4">
        <v>41</v>
      </c>
      <c r="F16" s="4">
        <v>2</v>
      </c>
      <c r="G16" s="4" t="s">
        <v>11</v>
      </c>
      <c r="H16" s="4" t="s">
        <v>12</v>
      </c>
    </row>
    <row r="17" spans="1:8">
      <c r="A17" s="3" t="s">
        <v>1020</v>
      </c>
      <c r="B17" s="4" t="s">
        <v>1543</v>
      </c>
      <c r="C17" s="4" t="s">
        <v>1544</v>
      </c>
      <c r="D17" s="4" t="s">
        <v>1567</v>
      </c>
      <c r="E17" s="4">
        <v>54</v>
      </c>
      <c r="F17" s="4">
        <v>2</v>
      </c>
      <c r="G17" s="4" t="s">
        <v>11</v>
      </c>
      <c r="H17" s="4" t="s">
        <v>12</v>
      </c>
    </row>
    <row r="18" spans="1:8">
      <c r="A18" s="3" t="s">
        <v>1020</v>
      </c>
      <c r="B18" s="4" t="s">
        <v>1021</v>
      </c>
      <c r="C18" s="4" t="s">
        <v>1022</v>
      </c>
      <c r="D18" s="4" t="s">
        <v>1567</v>
      </c>
      <c r="E18" s="4">
        <v>53</v>
      </c>
      <c r="F18" s="4">
        <v>2</v>
      </c>
      <c r="G18" s="4" t="s">
        <v>11</v>
      </c>
      <c r="H18" s="4" t="s">
        <v>12</v>
      </c>
    </row>
    <row r="19" spans="1:8">
      <c r="A19" s="3" t="s">
        <v>1020</v>
      </c>
      <c r="B19" s="4" t="s">
        <v>1023</v>
      </c>
      <c r="C19" s="4" t="s">
        <v>1024</v>
      </c>
      <c r="D19" s="4" t="s">
        <v>1567</v>
      </c>
      <c r="E19" s="4">
        <v>50</v>
      </c>
      <c r="F19" s="4">
        <v>2</v>
      </c>
      <c r="G19" s="4" t="s">
        <v>11</v>
      </c>
      <c r="H19" s="4" t="s">
        <v>12</v>
      </c>
    </row>
    <row r="20" spans="1:8">
      <c r="A20" s="3" t="s">
        <v>1020</v>
      </c>
      <c r="B20" s="4" t="s">
        <v>1545</v>
      </c>
      <c r="C20" s="4" t="s">
        <v>1546</v>
      </c>
      <c r="D20" s="4" t="s">
        <v>1567</v>
      </c>
      <c r="E20" s="4">
        <v>54</v>
      </c>
      <c r="F20" s="4">
        <v>2</v>
      </c>
      <c r="G20" s="4" t="s">
        <v>11</v>
      </c>
      <c r="H20" s="4" t="s">
        <v>12</v>
      </c>
    </row>
    <row r="21" spans="1:8">
      <c r="A21" s="3" t="s">
        <v>1020</v>
      </c>
      <c r="B21" s="4" t="s">
        <v>1029</v>
      </c>
      <c r="C21" s="4" t="s">
        <v>1030</v>
      </c>
      <c r="D21" s="4" t="s">
        <v>1567</v>
      </c>
      <c r="E21" s="4">
        <v>53</v>
      </c>
      <c r="F21" s="4">
        <v>2</v>
      </c>
      <c r="G21" s="4" t="s">
        <v>11</v>
      </c>
      <c r="H21" s="4" t="s">
        <v>12</v>
      </c>
    </row>
    <row r="22" spans="1:8">
      <c r="A22" s="3" t="s">
        <v>1035</v>
      </c>
      <c r="B22" s="4" t="s">
        <v>1291</v>
      </c>
      <c r="C22" s="4" t="s">
        <v>1292</v>
      </c>
      <c r="D22" s="4" t="s">
        <v>1567</v>
      </c>
      <c r="E22" s="4">
        <v>43</v>
      </c>
      <c r="F22" s="4">
        <v>2</v>
      </c>
      <c r="G22" s="4" t="s">
        <v>11</v>
      </c>
      <c r="H22" s="4" t="s">
        <v>12</v>
      </c>
    </row>
    <row r="23" spans="1:8">
      <c r="A23" s="3" t="s">
        <v>1144</v>
      </c>
      <c r="B23" s="4" t="s">
        <v>1149</v>
      </c>
      <c r="C23" s="4" t="s">
        <v>1150</v>
      </c>
      <c r="D23" s="4" t="s">
        <v>1567</v>
      </c>
      <c r="E23" s="4">
        <v>55</v>
      </c>
      <c r="F23" s="4">
        <v>2</v>
      </c>
      <c r="G23" s="4" t="s">
        <v>11</v>
      </c>
      <c r="H23" s="4" t="s">
        <v>12</v>
      </c>
    </row>
    <row r="24" spans="1:8">
      <c r="A24" s="3" t="s">
        <v>1144</v>
      </c>
      <c r="B24" s="4" t="s">
        <v>1151</v>
      </c>
      <c r="C24" s="4" t="s">
        <v>1152</v>
      </c>
      <c r="D24" s="4" t="s">
        <v>1567</v>
      </c>
      <c r="E24" s="4">
        <v>40</v>
      </c>
      <c r="F24" s="4">
        <v>2</v>
      </c>
      <c r="G24" s="4" t="s">
        <v>11</v>
      </c>
      <c r="H24" s="4" t="s">
        <v>12</v>
      </c>
    </row>
    <row r="25" spans="1:8">
      <c r="A25" s="3" t="s">
        <v>1144</v>
      </c>
      <c r="B25" s="4" t="s">
        <v>1157</v>
      </c>
      <c r="C25" s="4" t="s">
        <v>1158</v>
      </c>
      <c r="D25" s="4" t="s">
        <v>1567</v>
      </c>
      <c r="E25" s="4">
        <v>50</v>
      </c>
      <c r="F25" s="4">
        <v>2</v>
      </c>
      <c r="G25" s="4" t="s">
        <v>11</v>
      </c>
      <c r="H25" s="4" t="s">
        <v>12</v>
      </c>
    </row>
    <row r="26" spans="1:8">
      <c r="A26" s="3" t="s">
        <v>1144</v>
      </c>
      <c r="B26" s="4" t="s">
        <v>1165</v>
      </c>
      <c r="C26" s="4" t="s">
        <v>1166</v>
      </c>
      <c r="D26" s="4" t="s">
        <v>1567</v>
      </c>
      <c r="E26" s="4">
        <v>48</v>
      </c>
      <c r="F26" s="4">
        <v>2</v>
      </c>
      <c r="G26" s="4" t="s">
        <v>11</v>
      </c>
      <c r="H26" s="4" t="s">
        <v>12</v>
      </c>
    </row>
    <row r="27" spans="1:8">
      <c r="A27" s="3" t="s">
        <v>1054</v>
      </c>
      <c r="B27" s="4" t="s">
        <v>1055</v>
      </c>
      <c r="C27" s="4" t="s">
        <v>1056</v>
      </c>
      <c r="D27" s="4" t="s">
        <v>1567</v>
      </c>
      <c r="E27" s="4">
        <v>42</v>
      </c>
      <c r="F27" s="4">
        <v>2</v>
      </c>
      <c r="G27" s="4" t="s">
        <v>11</v>
      </c>
      <c r="H27" s="4" t="s">
        <v>12</v>
      </c>
    </row>
    <row r="28" spans="1:8">
      <c r="A28" s="3" t="s">
        <v>1054</v>
      </c>
      <c r="B28" s="4" t="s">
        <v>1385</v>
      </c>
      <c r="C28" s="4" t="s">
        <v>1386</v>
      </c>
      <c r="D28" s="4" t="s">
        <v>1567</v>
      </c>
      <c r="E28" s="4">
        <v>40</v>
      </c>
      <c r="F28" s="4">
        <v>2</v>
      </c>
      <c r="G28" s="4" t="s">
        <v>11</v>
      </c>
      <c r="H28" s="4" t="s">
        <v>12</v>
      </c>
    </row>
    <row r="29" spans="1:8">
      <c r="A29" s="3" t="s">
        <v>1184</v>
      </c>
      <c r="B29" s="4" t="s">
        <v>1570</v>
      </c>
      <c r="C29" s="4" t="s">
        <v>1571</v>
      </c>
      <c r="D29" s="4" t="s">
        <v>1567</v>
      </c>
      <c r="E29" s="4">
        <v>47</v>
      </c>
      <c r="F29" s="4">
        <v>2</v>
      </c>
      <c r="G29" s="4" t="s">
        <v>11</v>
      </c>
      <c r="H29" s="4" t="s">
        <v>12</v>
      </c>
    </row>
    <row r="30" spans="1:8">
      <c r="A30" s="3" t="s">
        <v>1184</v>
      </c>
      <c r="B30" s="4" t="s">
        <v>1187</v>
      </c>
      <c r="C30" s="4" t="s">
        <v>1188</v>
      </c>
      <c r="D30" s="4" t="s">
        <v>1567</v>
      </c>
      <c r="E30" s="4">
        <v>49</v>
      </c>
      <c r="F30" s="4">
        <v>2</v>
      </c>
      <c r="G30" s="4" t="s">
        <v>11</v>
      </c>
      <c r="H30" s="4" t="s">
        <v>12</v>
      </c>
    </row>
    <row r="31" spans="1:8">
      <c r="A31" s="3" t="s">
        <v>1184</v>
      </c>
      <c r="B31" s="4" t="s">
        <v>1189</v>
      </c>
      <c r="C31" s="4" t="s">
        <v>1190</v>
      </c>
      <c r="D31" s="4" t="s">
        <v>1567</v>
      </c>
      <c r="E31" s="4">
        <v>51</v>
      </c>
      <c r="F31" s="4">
        <v>2</v>
      </c>
      <c r="G31" s="4" t="s">
        <v>11</v>
      </c>
      <c r="H31" s="4" t="s">
        <v>12</v>
      </c>
    </row>
    <row r="32" spans="1:8">
      <c r="A32" s="3" t="s">
        <v>1217</v>
      </c>
      <c r="B32" s="4" t="s">
        <v>1572</v>
      </c>
      <c r="C32" s="4" t="s">
        <v>1573</v>
      </c>
      <c r="D32" s="4" t="s">
        <v>1567</v>
      </c>
      <c r="E32" s="4">
        <v>40</v>
      </c>
      <c r="F32" s="4">
        <v>2</v>
      </c>
      <c r="G32" s="4" t="s">
        <v>11</v>
      </c>
      <c r="H32" s="4" t="s">
        <v>12</v>
      </c>
    </row>
    <row r="33" spans="1:8">
      <c r="A33" s="3" t="s">
        <v>1217</v>
      </c>
      <c r="B33" s="4" t="s">
        <v>1228</v>
      </c>
      <c r="C33" s="4" t="s">
        <v>954</v>
      </c>
      <c r="D33" s="4" t="s">
        <v>1567</v>
      </c>
      <c r="E33" s="4">
        <v>52</v>
      </c>
      <c r="F33" s="4">
        <v>2</v>
      </c>
      <c r="G33" s="4" t="s">
        <v>11</v>
      </c>
      <c r="H33" s="4" t="s">
        <v>12</v>
      </c>
    </row>
    <row r="34" spans="1:8">
      <c r="A34" s="3" t="s">
        <v>998</v>
      </c>
      <c r="B34" s="4" t="s">
        <v>1574</v>
      </c>
      <c r="C34" s="4" t="s">
        <v>1575</v>
      </c>
      <c r="D34" s="4" t="s">
        <v>1567</v>
      </c>
      <c r="E34" s="4">
        <v>44</v>
      </c>
      <c r="F34" s="4">
        <v>2</v>
      </c>
      <c r="G34" s="4" t="s">
        <v>11</v>
      </c>
      <c r="H34" s="4" t="s">
        <v>12</v>
      </c>
    </row>
    <row r="35" spans="1:8">
      <c r="A35" s="3" t="s">
        <v>998</v>
      </c>
      <c r="B35" s="4" t="s">
        <v>1576</v>
      </c>
      <c r="C35" s="4" t="s">
        <v>1577</v>
      </c>
      <c r="D35" s="4" t="s">
        <v>1567</v>
      </c>
      <c r="E35" s="4">
        <v>41</v>
      </c>
      <c r="F35" s="4">
        <v>2</v>
      </c>
      <c r="G35" s="4" t="s">
        <v>11</v>
      </c>
      <c r="H35" s="4" t="s">
        <v>12</v>
      </c>
    </row>
    <row r="36" spans="1:8">
      <c r="A36" s="3" t="s">
        <v>998</v>
      </c>
      <c r="B36" s="4" t="s">
        <v>1578</v>
      </c>
      <c r="C36" s="4" t="s">
        <v>1579</v>
      </c>
      <c r="D36" s="4" t="s">
        <v>1567</v>
      </c>
      <c r="E36" s="4">
        <v>46</v>
      </c>
      <c r="F36" s="4">
        <v>2</v>
      </c>
      <c r="G36" s="4" t="s">
        <v>11</v>
      </c>
      <c r="H36" s="4" t="s">
        <v>12</v>
      </c>
    </row>
    <row r="37" spans="1:8">
      <c r="A37" s="3" t="s">
        <v>971</v>
      </c>
      <c r="B37" s="4" t="s">
        <v>1281</v>
      </c>
      <c r="C37" s="4" t="s">
        <v>1282</v>
      </c>
      <c r="D37" s="4" t="s">
        <v>1665</v>
      </c>
      <c r="E37" s="4">
        <v>52</v>
      </c>
      <c r="F37" s="4">
        <v>1</v>
      </c>
      <c r="G37" s="4" t="s">
        <v>11</v>
      </c>
      <c r="H37" s="4" t="s">
        <v>12</v>
      </c>
    </row>
    <row r="38" spans="1:8">
      <c r="A38" s="3" t="s">
        <v>971</v>
      </c>
      <c r="B38" s="4" t="s">
        <v>996</v>
      </c>
      <c r="C38" s="4" t="s">
        <v>997</v>
      </c>
      <c r="D38" s="4" t="s">
        <v>1665</v>
      </c>
      <c r="E38" s="4">
        <v>42</v>
      </c>
      <c r="F38" s="4">
        <v>1</v>
      </c>
      <c r="G38" s="4" t="s">
        <v>11</v>
      </c>
      <c r="H38" s="4" t="s">
        <v>12</v>
      </c>
    </row>
    <row r="39" spans="1:8">
      <c r="A39" s="3" t="s">
        <v>1171</v>
      </c>
      <c r="B39" s="4" t="s">
        <v>1243</v>
      </c>
      <c r="C39" s="4" t="s">
        <v>1244</v>
      </c>
      <c r="D39" s="4" t="s">
        <v>1665</v>
      </c>
      <c r="E39" s="4">
        <v>56</v>
      </c>
      <c r="F39" s="4">
        <v>1</v>
      </c>
      <c r="G39" s="4" t="s">
        <v>11</v>
      </c>
      <c r="H39" s="4" t="s">
        <v>12</v>
      </c>
    </row>
    <row r="40" spans="1:8">
      <c r="A40" s="3" t="s">
        <v>1171</v>
      </c>
      <c r="B40" s="4" t="s">
        <v>1247</v>
      </c>
      <c r="C40" s="4" t="s">
        <v>1248</v>
      </c>
      <c r="D40" s="4" t="s">
        <v>1665</v>
      </c>
      <c r="E40" s="4">
        <v>57</v>
      </c>
      <c r="F40" s="4">
        <v>1</v>
      </c>
      <c r="G40" s="4" t="s">
        <v>11</v>
      </c>
      <c r="H40" s="4" t="s">
        <v>12</v>
      </c>
    </row>
    <row r="41" spans="1:8">
      <c r="A41" s="3" t="s">
        <v>1171</v>
      </c>
      <c r="B41" s="4" t="s">
        <v>1182</v>
      </c>
      <c r="C41" s="4" t="s">
        <v>1183</v>
      </c>
      <c r="D41" s="4" t="s">
        <v>1665</v>
      </c>
      <c r="E41" s="4">
        <v>54</v>
      </c>
      <c r="F41" s="4">
        <v>1</v>
      </c>
      <c r="G41" s="4" t="s">
        <v>11</v>
      </c>
      <c r="H41" s="4" t="s">
        <v>12</v>
      </c>
    </row>
    <row r="42" spans="1:8">
      <c r="A42" s="3" t="s">
        <v>1171</v>
      </c>
      <c r="B42" s="4" t="s">
        <v>1475</v>
      </c>
      <c r="C42" s="4" t="s">
        <v>1476</v>
      </c>
      <c r="D42" s="4" t="s">
        <v>1640</v>
      </c>
      <c r="E42" s="4">
        <v>53</v>
      </c>
      <c r="F42" s="4">
        <v>2</v>
      </c>
      <c r="G42" s="4" t="s">
        <v>11</v>
      </c>
      <c r="H42" s="4" t="s">
        <v>12</v>
      </c>
    </row>
    <row r="43" spans="1:8">
      <c r="A43" s="3" t="s">
        <v>1171</v>
      </c>
      <c r="B43" s="4" t="s">
        <v>1477</v>
      </c>
      <c r="C43" s="4" t="s">
        <v>1478</v>
      </c>
      <c r="D43" s="4" t="s">
        <v>1640</v>
      </c>
      <c r="E43" s="4">
        <v>51</v>
      </c>
      <c r="F43" s="4">
        <v>2</v>
      </c>
      <c r="G43" s="4" t="s">
        <v>11</v>
      </c>
      <c r="H43" s="4" t="s">
        <v>12</v>
      </c>
    </row>
    <row r="44" spans="1:8">
      <c r="A44" s="3" t="s">
        <v>1171</v>
      </c>
      <c r="B44" s="4" t="s">
        <v>1178</v>
      </c>
      <c r="C44" s="4" t="s">
        <v>1179</v>
      </c>
      <c r="D44" s="4" t="s">
        <v>1640</v>
      </c>
      <c r="E44" s="4">
        <v>42</v>
      </c>
      <c r="F44" s="4">
        <v>2</v>
      </c>
      <c r="G44" s="4" t="s">
        <v>11</v>
      </c>
      <c r="H44" s="4" t="s">
        <v>12</v>
      </c>
    </row>
    <row r="45" spans="1:8">
      <c r="A45" s="3" t="s">
        <v>1171</v>
      </c>
      <c r="B45" s="4" t="s">
        <v>1628</v>
      </c>
      <c r="C45" s="4" t="s">
        <v>1629</v>
      </c>
      <c r="D45" s="4" t="s">
        <v>1640</v>
      </c>
      <c r="E45" s="4">
        <v>54</v>
      </c>
      <c r="F45" s="4">
        <v>2</v>
      </c>
      <c r="G45" s="4" t="s">
        <v>11</v>
      </c>
      <c r="H45" s="4" t="s">
        <v>12</v>
      </c>
    </row>
    <row r="46" spans="1:8">
      <c r="A46" s="3" t="s">
        <v>1171</v>
      </c>
      <c r="B46" s="4" t="s">
        <v>1182</v>
      </c>
      <c r="C46" s="4" t="s">
        <v>1183</v>
      </c>
      <c r="D46" s="4" t="s">
        <v>1640</v>
      </c>
      <c r="E46" s="4">
        <v>53</v>
      </c>
      <c r="F46" s="4">
        <v>2</v>
      </c>
      <c r="G46" s="4" t="s">
        <v>11</v>
      </c>
      <c r="H46" s="4" t="s">
        <v>12</v>
      </c>
    </row>
    <row r="47" spans="1:8">
      <c r="A47" s="3" t="s">
        <v>1171</v>
      </c>
      <c r="B47" s="4" t="s">
        <v>1641</v>
      </c>
      <c r="C47" s="4" t="s">
        <v>1642</v>
      </c>
      <c r="D47" s="4" t="s">
        <v>1640</v>
      </c>
      <c r="E47" s="4">
        <v>52</v>
      </c>
      <c r="F47" s="4">
        <v>2</v>
      </c>
      <c r="G47" s="4" t="s">
        <v>11</v>
      </c>
      <c r="H47" s="4" t="s">
        <v>12</v>
      </c>
    </row>
    <row r="48" spans="1:8">
      <c r="A48" s="3" t="s">
        <v>1064</v>
      </c>
      <c r="B48" s="4" t="s">
        <v>1065</v>
      </c>
      <c r="C48" s="4" t="s">
        <v>1066</v>
      </c>
      <c r="D48" s="4" t="s">
        <v>1640</v>
      </c>
      <c r="E48" s="4">
        <v>44</v>
      </c>
      <c r="F48" s="4">
        <v>2</v>
      </c>
      <c r="G48" s="4" t="s">
        <v>11</v>
      </c>
      <c r="H48" s="4" t="s">
        <v>12</v>
      </c>
    </row>
    <row r="49" spans="1:8">
      <c r="A49" s="3" t="s">
        <v>1020</v>
      </c>
      <c r="B49" s="4" t="s">
        <v>1021</v>
      </c>
      <c r="C49" s="4" t="s">
        <v>1022</v>
      </c>
      <c r="D49" s="4" t="s">
        <v>1640</v>
      </c>
      <c r="E49" s="4">
        <v>48</v>
      </c>
      <c r="F49" s="4">
        <v>2</v>
      </c>
      <c r="G49" s="4" t="s">
        <v>11</v>
      </c>
      <c r="H49" s="4" t="s">
        <v>12</v>
      </c>
    </row>
    <row r="50" spans="1:8">
      <c r="A50" s="3" t="s">
        <v>1020</v>
      </c>
      <c r="B50" s="4" t="s">
        <v>1630</v>
      </c>
      <c r="C50" s="4" t="s">
        <v>1631</v>
      </c>
      <c r="D50" s="4" t="s">
        <v>1640</v>
      </c>
      <c r="E50" s="4">
        <v>47</v>
      </c>
      <c r="F50" s="4">
        <v>2</v>
      </c>
      <c r="G50" s="4" t="s">
        <v>11</v>
      </c>
      <c r="H50" s="4" t="s">
        <v>12</v>
      </c>
    </row>
    <row r="51" spans="1:8">
      <c r="A51" s="3" t="s">
        <v>1020</v>
      </c>
      <c r="B51" s="4" t="s">
        <v>1259</v>
      </c>
      <c r="C51" s="4" t="s">
        <v>1260</v>
      </c>
      <c r="D51" s="4" t="s">
        <v>1640</v>
      </c>
      <c r="E51" s="4">
        <v>56</v>
      </c>
      <c r="F51" s="4">
        <v>2</v>
      </c>
      <c r="G51" s="4" t="s">
        <v>11</v>
      </c>
      <c r="H51" s="4" t="s">
        <v>12</v>
      </c>
    </row>
    <row r="52" spans="1:8">
      <c r="A52" s="3" t="s">
        <v>1020</v>
      </c>
      <c r="B52" s="4" t="s">
        <v>1261</v>
      </c>
      <c r="C52" s="4" t="s">
        <v>1262</v>
      </c>
      <c r="D52" s="4" t="s">
        <v>1640</v>
      </c>
      <c r="E52" s="4">
        <v>55</v>
      </c>
      <c r="F52" s="4">
        <v>2</v>
      </c>
      <c r="G52" s="4" t="s">
        <v>11</v>
      </c>
      <c r="H52" s="4" t="s">
        <v>12</v>
      </c>
    </row>
    <row r="53" spans="1:8">
      <c r="A53" s="3" t="s">
        <v>1020</v>
      </c>
      <c r="B53" s="4" t="s">
        <v>1545</v>
      </c>
      <c r="C53" s="4" t="s">
        <v>1546</v>
      </c>
      <c r="D53" s="4" t="s">
        <v>1640</v>
      </c>
      <c r="E53" s="4">
        <v>40</v>
      </c>
      <c r="F53" s="4">
        <v>2</v>
      </c>
      <c r="G53" s="4" t="s">
        <v>11</v>
      </c>
      <c r="H53" s="4" t="s">
        <v>12</v>
      </c>
    </row>
    <row r="54" spans="1:8">
      <c r="A54" s="3" t="s">
        <v>1020</v>
      </c>
      <c r="B54" s="4" t="s">
        <v>1263</v>
      </c>
      <c r="C54" s="4" t="s">
        <v>1264</v>
      </c>
      <c r="D54" s="4" t="s">
        <v>1640</v>
      </c>
      <c r="E54" s="4">
        <v>45</v>
      </c>
      <c r="F54" s="4">
        <v>2</v>
      </c>
      <c r="G54" s="4" t="s">
        <v>11</v>
      </c>
      <c r="H54" s="4" t="s">
        <v>12</v>
      </c>
    </row>
    <row r="55" spans="1:8">
      <c r="A55" s="3" t="s">
        <v>1217</v>
      </c>
      <c r="B55" s="4" t="s">
        <v>1643</v>
      </c>
      <c r="C55" s="4" t="s">
        <v>1644</v>
      </c>
      <c r="D55" s="4" t="s">
        <v>1640</v>
      </c>
      <c r="E55" s="4">
        <v>53</v>
      </c>
      <c r="F55" s="4">
        <v>2</v>
      </c>
      <c r="G55" s="4" t="s">
        <v>11</v>
      </c>
      <c r="H55" s="4" t="s">
        <v>12</v>
      </c>
    </row>
    <row r="56" spans="1:8">
      <c r="A56" s="3" t="s">
        <v>1217</v>
      </c>
      <c r="B56" s="4" t="s">
        <v>1645</v>
      </c>
      <c r="C56" s="4" t="s">
        <v>1646</v>
      </c>
      <c r="D56" s="4" t="s">
        <v>1640</v>
      </c>
      <c r="E56" s="4">
        <v>48</v>
      </c>
      <c r="F56" s="4">
        <v>2</v>
      </c>
      <c r="G56" s="4" t="s">
        <v>11</v>
      </c>
      <c r="H56" s="4" t="s">
        <v>12</v>
      </c>
    </row>
    <row r="57" spans="1:8">
      <c r="A57" s="3" t="s">
        <v>1217</v>
      </c>
      <c r="B57" s="4" t="s">
        <v>1647</v>
      </c>
      <c r="C57" s="4" t="s">
        <v>1648</v>
      </c>
      <c r="D57" s="4" t="s">
        <v>1640</v>
      </c>
      <c r="E57" s="4">
        <v>55</v>
      </c>
      <c r="F57" s="4">
        <v>2</v>
      </c>
      <c r="G57" s="4" t="s">
        <v>11</v>
      </c>
      <c r="H57" s="4" t="s">
        <v>12</v>
      </c>
    </row>
    <row r="58" spans="1:8">
      <c r="A58" s="3" t="s">
        <v>1217</v>
      </c>
      <c r="B58" s="4" t="s">
        <v>1220</v>
      </c>
      <c r="C58" s="4" t="s">
        <v>1221</v>
      </c>
      <c r="D58" s="4" t="s">
        <v>1640</v>
      </c>
      <c r="E58" s="4">
        <v>47</v>
      </c>
      <c r="F58" s="4">
        <v>2</v>
      </c>
      <c r="G58" s="4" t="s">
        <v>11</v>
      </c>
      <c r="H58" s="4" t="s">
        <v>12</v>
      </c>
    </row>
    <row r="59" spans="1:8">
      <c r="A59" s="3" t="s">
        <v>1217</v>
      </c>
      <c r="B59" s="4" t="s">
        <v>1561</v>
      </c>
      <c r="C59" s="4" t="s">
        <v>1562</v>
      </c>
      <c r="D59" s="4" t="s">
        <v>1640</v>
      </c>
      <c r="E59" s="4">
        <v>45</v>
      </c>
      <c r="F59" s="4">
        <v>2</v>
      </c>
      <c r="G59" s="4" t="s">
        <v>11</v>
      </c>
      <c r="H59" s="4" t="s">
        <v>12</v>
      </c>
    </row>
    <row r="60" spans="1:8">
      <c r="A60" s="3" t="s">
        <v>1217</v>
      </c>
      <c r="B60" s="4" t="s">
        <v>1649</v>
      </c>
      <c r="C60" s="4" t="s">
        <v>1650</v>
      </c>
      <c r="D60" s="4" t="s">
        <v>1640</v>
      </c>
      <c r="E60" s="4">
        <v>46</v>
      </c>
      <c r="F60" s="4">
        <v>2</v>
      </c>
      <c r="G60" s="4" t="s">
        <v>11</v>
      </c>
      <c r="H60" s="4" t="s">
        <v>12</v>
      </c>
    </row>
    <row r="61" spans="1:8">
      <c r="A61" s="3" t="s">
        <v>1217</v>
      </c>
      <c r="B61" s="4" t="s">
        <v>1651</v>
      </c>
      <c r="C61" s="4" t="s">
        <v>1652</v>
      </c>
      <c r="D61" s="4" t="s">
        <v>1640</v>
      </c>
      <c r="E61" s="4">
        <v>52</v>
      </c>
      <c r="F61" s="4">
        <v>2</v>
      </c>
      <c r="G61" s="4" t="s">
        <v>11</v>
      </c>
      <c r="H61" s="4" t="s">
        <v>12</v>
      </c>
    </row>
    <row r="62" spans="1:8">
      <c r="A62" s="3" t="s">
        <v>1217</v>
      </c>
      <c r="B62" s="4" t="s">
        <v>1653</v>
      </c>
      <c r="C62" s="4" t="s">
        <v>1654</v>
      </c>
      <c r="D62" s="4" t="s">
        <v>1640</v>
      </c>
      <c r="E62" s="4">
        <v>53</v>
      </c>
      <c r="F62" s="4">
        <v>2</v>
      </c>
      <c r="G62" s="4" t="s">
        <v>11</v>
      </c>
      <c r="H62" s="4" t="s">
        <v>12</v>
      </c>
    </row>
    <row r="63" spans="1:8">
      <c r="A63" s="3" t="s">
        <v>1217</v>
      </c>
      <c r="B63" s="4" t="s">
        <v>1655</v>
      </c>
      <c r="C63" s="4" t="s">
        <v>1656</v>
      </c>
      <c r="D63" s="4" t="s">
        <v>1640</v>
      </c>
      <c r="E63" s="4">
        <v>48</v>
      </c>
      <c r="F63" s="4">
        <v>2</v>
      </c>
      <c r="G63" s="4" t="s">
        <v>11</v>
      </c>
      <c r="H63" s="4" t="s">
        <v>12</v>
      </c>
    </row>
    <row r="64" spans="1:8">
      <c r="A64" s="3" t="s">
        <v>1217</v>
      </c>
      <c r="B64" s="4" t="s">
        <v>1224</v>
      </c>
      <c r="C64" s="4" t="s">
        <v>1225</v>
      </c>
      <c r="D64" s="4" t="s">
        <v>1640</v>
      </c>
      <c r="E64" s="4">
        <v>43</v>
      </c>
      <c r="F64" s="4">
        <v>2</v>
      </c>
      <c r="G64" s="4" t="s">
        <v>11</v>
      </c>
      <c r="H64" s="4" t="s">
        <v>12</v>
      </c>
    </row>
    <row r="65" spans="1:8">
      <c r="A65" s="3" t="s">
        <v>1217</v>
      </c>
      <c r="B65" s="4" t="s">
        <v>1632</v>
      </c>
      <c r="C65" s="4" t="s">
        <v>1633</v>
      </c>
      <c r="D65" s="4" t="s">
        <v>1640</v>
      </c>
      <c r="E65" s="4">
        <v>55</v>
      </c>
      <c r="F65" s="4">
        <v>2</v>
      </c>
      <c r="G65" s="4" t="s">
        <v>11</v>
      </c>
      <c r="H65" s="4" t="s">
        <v>12</v>
      </c>
    </row>
    <row r="66" spans="1:8">
      <c r="A66" s="3" t="s">
        <v>998</v>
      </c>
      <c r="B66" s="4" t="s">
        <v>1657</v>
      </c>
      <c r="C66" s="4" t="s">
        <v>1658</v>
      </c>
      <c r="D66" s="4" t="s">
        <v>1640</v>
      </c>
      <c r="E66" s="4">
        <v>49</v>
      </c>
      <c r="F66" s="4">
        <v>2</v>
      </c>
      <c r="G66" s="4" t="s">
        <v>11</v>
      </c>
      <c r="H66" s="4" t="s">
        <v>12</v>
      </c>
    </row>
    <row r="67" spans="1:8">
      <c r="A67" s="3" t="s">
        <v>998</v>
      </c>
      <c r="B67" s="4" t="s">
        <v>1659</v>
      </c>
      <c r="C67" s="4" t="s">
        <v>1660</v>
      </c>
      <c r="D67" s="4" t="s">
        <v>1640</v>
      </c>
      <c r="E67" s="4">
        <v>40</v>
      </c>
      <c r="F67" s="4">
        <v>2</v>
      </c>
      <c r="G67" s="4" t="s">
        <v>11</v>
      </c>
      <c r="H67" s="4" t="s">
        <v>12</v>
      </c>
    </row>
    <row r="68" spans="1:8">
      <c r="A68" s="3" t="s">
        <v>998</v>
      </c>
      <c r="B68" s="4" t="s">
        <v>1003</v>
      </c>
      <c r="C68" s="4" t="s">
        <v>1004</v>
      </c>
      <c r="D68" s="4" t="s">
        <v>1640</v>
      </c>
      <c r="E68" s="4">
        <v>40</v>
      </c>
      <c r="F68" s="4">
        <v>2</v>
      </c>
      <c r="G68" s="4" t="s">
        <v>11</v>
      </c>
      <c r="H68" s="4" t="s">
        <v>12</v>
      </c>
    </row>
    <row r="69" spans="1:8">
      <c r="A69" s="3" t="s">
        <v>998</v>
      </c>
      <c r="B69" s="4" t="s">
        <v>1661</v>
      </c>
      <c r="C69" s="4" t="s">
        <v>1662</v>
      </c>
      <c r="D69" s="4" t="s">
        <v>1640</v>
      </c>
      <c r="E69" s="4">
        <v>43</v>
      </c>
      <c r="F69" s="4">
        <v>2</v>
      </c>
      <c r="G69" s="4" t="s">
        <v>11</v>
      </c>
      <c r="H69" s="4" t="s">
        <v>12</v>
      </c>
    </row>
    <row r="70" spans="1:8">
      <c r="A70" s="3" t="s">
        <v>998</v>
      </c>
      <c r="B70" s="4" t="s">
        <v>1576</v>
      </c>
      <c r="C70" s="4" t="s">
        <v>1577</v>
      </c>
      <c r="D70" s="4" t="s">
        <v>1640</v>
      </c>
      <c r="E70" s="4">
        <v>50</v>
      </c>
      <c r="F70" s="4">
        <v>2</v>
      </c>
      <c r="G70" s="4" t="s">
        <v>11</v>
      </c>
      <c r="H70" s="4" t="s">
        <v>12</v>
      </c>
    </row>
    <row r="71" spans="1:8">
      <c r="A71" s="3" t="s">
        <v>1191</v>
      </c>
      <c r="B71" s="4" t="s">
        <v>1501</v>
      </c>
      <c r="C71" s="4" t="s">
        <v>1502</v>
      </c>
      <c r="D71" s="4" t="s">
        <v>1640</v>
      </c>
      <c r="E71" s="4">
        <v>56</v>
      </c>
      <c r="F71" s="4">
        <v>2</v>
      </c>
      <c r="G71" s="4" t="s">
        <v>11</v>
      </c>
      <c r="H71" s="4" t="s">
        <v>12</v>
      </c>
    </row>
    <row r="72" spans="1:8">
      <c r="A72" s="3" t="s">
        <v>1191</v>
      </c>
      <c r="B72" s="4" t="s">
        <v>1634</v>
      </c>
      <c r="C72" s="4" t="s">
        <v>1635</v>
      </c>
      <c r="D72" s="4" t="s">
        <v>1640</v>
      </c>
      <c r="E72" s="4">
        <v>50</v>
      </c>
      <c r="F72" s="4">
        <v>2</v>
      </c>
      <c r="G72" s="4" t="s">
        <v>11</v>
      </c>
      <c r="H72" s="4" t="s">
        <v>12</v>
      </c>
    </row>
    <row r="73" spans="1:8">
      <c r="A73" s="3" t="s">
        <v>1191</v>
      </c>
      <c r="B73" s="4" t="s">
        <v>1192</v>
      </c>
      <c r="C73" s="4" t="s">
        <v>1193</v>
      </c>
      <c r="D73" s="4" t="s">
        <v>1640</v>
      </c>
      <c r="E73" s="4">
        <v>45</v>
      </c>
      <c r="F73" s="4">
        <v>2</v>
      </c>
      <c r="G73" s="4" t="s">
        <v>11</v>
      </c>
      <c r="H73" s="4" t="s">
        <v>12</v>
      </c>
    </row>
    <row r="74" spans="1:8">
      <c r="A74" s="3" t="s">
        <v>1191</v>
      </c>
      <c r="B74" s="4" t="s">
        <v>1587</v>
      </c>
      <c r="C74" s="4" t="s">
        <v>1588</v>
      </c>
      <c r="D74" s="4" t="s">
        <v>1640</v>
      </c>
      <c r="E74" s="4">
        <v>57</v>
      </c>
      <c r="F74" s="4">
        <v>2</v>
      </c>
      <c r="G74" s="4" t="s">
        <v>11</v>
      </c>
      <c r="H74" s="4" t="s">
        <v>12</v>
      </c>
    </row>
    <row r="75" spans="1:8">
      <c r="A75" s="3" t="s">
        <v>1191</v>
      </c>
      <c r="B75" s="4" t="s">
        <v>1194</v>
      </c>
      <c r="C75" s="4" t="s">
        <v>1195</v>
      </c>
      <c r="D75" s="4" t="s">
        <v>1640</v>
      </c>
      <c r="E75" s="4">
        <v>46</v>
      </c>
      <c r="F75" s="4">
        <v>2</v>
      </c>
      <c r="G75" s="4" t="s">
        <v>11</v>
      </c>
      <c r="H75" s="4" t="s">
        <v>12</v>
      </c>
    </row>
    <row r="76" spans="1:8">
      <c r="A76" s="3" t="s">
        <v>1191</v>
      </c>
      <c r="B76" s="4" t="s">
        <v>1503</v>
      </c>
      <c r="C76" s="4" t="s">
        <v>1504</v>
      </c>
      <c r="D76" s="4" t="s">
        <v>1640</v>
      </c>
      <c r="E76" s="4">
        <v>57</v>
      </c>
      <c r="F76" s="4">
        <v>2</v>
      </c>
      <c r="G76" s="4" t="s">
        <v>11</v>
      </c>
      <c r="H76" s="4" t="s">
        <v>12</v>
      </c>
    </row>
    <row r="77" spans="1:8">
      <c r="A77" s="3" t="s">
        <v>1191</v>
      </c>
      <c r="B77" s="4" t="s">
        <v>1505</v>
      </c>
      <c r="C77" s="4" t="s">
        <v>1506</v>
      </c>
      <c r="D77" s="4" t="s">
        <v>1640</v>
      </c>
      <c r="E77" s="4">
        <v>55</v>
      </c>
      <c r="F77" s="4">
        <v>2</v>
      </c>
      <c r="G77" s="4" t="s">
        <v>11</v>
      </c>
      <c r="H77" s="4" t="s">
        <v>12</v>
      </c>
    </row>
    <row r="78" spans="1:8">
      <c r="A78" s="3" t="s">
        <v>1231</v>
      </c>
      <c r="B78" s="4" t="s">
        <v>1240</v>
      </c>
      <c r="C78" s="4" t="s">
        <v>157</v>
      </c>
      <c r="D78" s="4" t="s">
        <v>1640</v>
      </c>
      <c r="E78" s="4">
        <v>49</v>
      </c>
      <c r="F78" s="4">
        <v>2</v>
      </c>
      <c r="G78" s="4" t="s">
        <v>11</v>
      </c>
      <c r="H78" s="4" t="s">
        <v>12</v>
      </c>
    </row>
    <row r="79" spans="1:8">
      <c r="A79" s="3" t="s">
        <v>1231</v>
      </c>
      <c r="B79" s="4" t="s">
        <v>1426</v>
      </c>
      <c r="C79" s="4" t="s">
        <v>1427</v>
      </c>
      <c r="D79" s="4" t="s">
        <v>1640</v>
      </c>
      <c r="E79" s="4">
        <v>45</v>
      </c>
      <c r="F79" s="4">
        <v>2</v>
      </c>
      <c r="G79" s="4" t="s">
        <v>11</v>
      </c>
      <c r="H79" s="4" t="s">
        <v>12</v>
      </c>
    </row>
    <row r="80" spans="1:8">
      <c r="A80" s="3" t="s">
        <v>1102</v>
      </c>
      <c r="B80" s="4" t="s">
        <v>1107</v>
      </c>
      <c r="C80" s="4" t="s">
        <v>1108</v>
      </c>
      <c r="D80" s="4" t="s">
        <v>1640</v>
      </c>
      <c r="E80" s="4">
        <v>46</v>
      </c>
      <c r="F80" s="4">
        <v>2</v>
      </c>
      <c r="G80" s="4" t="s">
        <v>11</v>
      </c>
      <c r="H80" s="4" t="s">
        <v>12</v>
      </c>
    </row>
    <row r="81" spans="1:8">
      <c r="A81" s="3" t="s">
        <v>1102</v>
      </c>
      <c r="B81" s="4" t="s">
        <v>1663</v>
      </c>
      <c r="C81" s="4" t="s">
        <v>1664</v>
      </c>
      <c r="D81" s="4" t="s">
        <v>1640</v>
      </c>
      <c r="E81" s="4">
        <v>41</v>
      </c>
      <c r="F81" s="4">
        <v>2</v>
      </c>
      <c r="G81" s="4" t="s">
        <v>11</v>
      </c>
      <c r="H81" s="4" t="s">
        <v>12</v>
      </c>
    </row>
    <row r="82" spans="1:8">
      <c r="A82" s="3" t="s">
        <v>1102</v>
      </c>
      <c r="B82" s="4" t="s">
        <v>1638</v>
      </c>
      <c r="C82" s="4" t="s">
        <v>1639</v>
      </c>
      <c r="D82" s="4" t="s">
        <v>1640</v>
      </c>
      <c r="E82" s="4">
        <v>51</v>
      </c>
      <c r="F82" s="4">
        <v>2</v>
      </c>
      <c r="G82" s="4" t="s">
        <v>11</v>
      </c>
      <c r="H82" s="4" t="s">
        <v>12</v>
      </c>
    </row>
    <row r="83" spans="1:8">
      <c r="A83" s="3" t="s">
        <v>1102</v>
      </c>
      <c r="B83" s="4" t="s">
        <v>1113</v>
      </c>
      <c r="C83" s="4" t="s">
        <v>1114</v>
      </c>
      <c r="D83" s="4" t="s">
        <v>1640</v>
      </c>
      <c r="E83" s="4">
        <v>58</v>
      </c>
      <c r="F83" s="4">
        <v>2</v>
      </c>
      <c r="G83" s="4" t="s">
        <v>11</v>
      </c>
      <c r="H83" s="4" t="s">
        <v>12</v>
      </c>
    </row>
    <row r="84" spans="1:8">
      <c r="A84" s="3" t="s">
        <v>1102</v>
      </c>
      <c r="B84" s="4" t="s">
        <v>1115</v>
      </c>
      <c r="C84" s="4" t="s">
        <v>1116</v>
      </c>
      <c r="D84" s="4" t="s">
        <v>1640</v>
      </c>
      <c r="E84" s="4">
        <v>50</v>
      </c>
      <c r="F84" s="4">
        <v>2</v>
      </c>
      <c r="G84" s="4" t="s">
        <v>11</v>
      </c>
      <c r="H84" s="4" t="s">
        <v>12</v>
      </c>
    </row>
    <row r="85" spans="1:8">
      <c r="A85" s="3" t="s">
        <v>1102</v>
      </c>
      <c r="B85" s="4" t="s">
        <v>1119</v>
      </c>
      <c r="C85" s="4" t="s">
        <v>1120</v>
      </c>
      <c r="D85" s="4" t="s">
        <v>1640</v>
      </c>
      <c r="E85" s="4">
        <v>53</v>
      </c>
      <c r="F85" s="4">
        <v>2</v>
      </c>
      <c r="G85" s="4" t="s">
        <v>11</v>
      </c>
      <c r="H85" s="4" t="s">
        <v>12</v>
      </c>
    </row>
    <row r="86" spans="1:8">
      <c r="A86" s="3" t="s">
        <v>1102</v>
      </c>
      <c r="B86" s="4" t="s">
        <v>1447</v>
      </c>
      <c r="C86" s="4" t="s">
        <v>1448</v>
      </c>
      <c r="D86" s="4" t="s">
        <v>1640</v>
      </c>
      <c r="E86" s="4">
        <v>52</v>
      </c>
      <c r="F86" s="4">
        <v>2</v>
      </c>
      <c r="G86" s="4" t="s">
        <v>11</v>
      </c>
      <c r="H86" s="4" t="s">
        <v>12</v>
      </c>
    </row>
    <row r="87" spans="1:8">
      <c r="A87" s="3" t="s">
        <v>1102</v>
      </c>
      <c r="B87" s="4" t="s">
        <v>1133</v>
      </c>
      <c r="C87" s="4" t="s">
        <v>1134</v>
      </c>
      <c r="D87" s="4" t="s">
        <v>1640</v>
      </c>
      <c r="E87" s="4">
        <v>56</v>
      </c>
      <c r="F87" s="4">
        <v>2</v>
      </c>
      <c r="G87" s="4" t="s">
        <v>11</v>
      </c>
      <c r="H87" s="4" t="s">
        <v>12</v>
      </c>
    </row>
    <row r="88" spans="1:8">
      <c r="A88" s="3" t="s">
        <v>971</v>
      </c>
      <c r="B88" s="4" t="s">
        <v>996</v>
      </c>
      <c r="C88" s="4" t="s">
        <v>997</v>
      </c>
      <c r="D88" s="4" t="s">
        <v>1627</v>
      </c>
      <c r="E88" s="4">
        <v>40</v>
      </c>
      <c r="F88" s="4">
        <v>2</v>
      </c>
      <c r="G88" s="4" t="s">
        <v>11</v>
      </c>
      <c r="H88" s="4" t="s">
        <v>12</v>
      </c>
    </row>
    <row r="89" spans="1:8">
      <c r="A89" s="3" t="s">
        <v>1171</v>
      </c>
      <c r="B89" s="4" t="s">
        <v>1253</v>
      </c>
      <c r="C89" s="4" t="s">
        <v>1254</v>
      </c>
      <c r="D89" s="4" t="s">
        <v>1627</v>
      </c>
      <c r="E89" s="4">
        <v>41</v>
      </c>
      <c r="F89" s="4">
        <v>2</v>
      </c>
      <c r="G89" s="4" t="s">
        <v>11</v>
      </c>
      <c r="H89" s="4" t="s">
        <v>12</v>
      </c>
    </row>
    <row r="90" spans="1:8">
      <c r="A90" s="3" t="s">
        <v>1171</v>
      </c>
      <c r="B90" s="4" t="s">
        <v>1628</v>
      </c>
      <c r="C90" s="4" t="s">
        <v>1629</v>
      </c>
      <c r="D90" s="4" t="s">
        <v>1627</v>
      </c>
      <c r="E90" s="4">
        <v>51</v>
      </c>
      <c r="F90" s="4">
        <v>2</v>
      </c>
      <c r="G90" s="4" t="s">
        <v>11</v>
      </c>
      <c r="H90" s="4" t="s">
        <v>12</v>
      </c>
    </row>
    <row r="91" spans="1:8">
      <c r="A91" s="3" t="s">
        <v>1171</v>
      </c>
      <c r="B91" s="4" t="s">
        <v>1182</v>
      </c>
      <c r="C91" s="4" t="s">
        <v>1183</v>
      </c>
      <c r="D91" s="4" t="s">
        <v>1627</v>
      </c>
      <c r="E91" s="4">
        <v>49</v>
      </c>
      <c r="F91" s="4">
        <v>2</v>
      </c>
      <c r="G91" s="4" t="s">
        <v>11</v>
      </c>
      <c r="H91" s="4" t="s">
        <v>12</v>
      </c>
    </row>
    <row r="92" spans="1:8">
      <c r="A92" s="3" t="s">
        <v>1064</v>
      </c>
      <c r="B92" s="4" t="s">
        <v>1065</v>
      </c>
      <c r="C92" s="4" t="s">
        <v>1066</v>
      </c>
      <c r="D92" s="4" t="s">
        <v>1627</v>
      </c>
      <c r="E92" s="4">
        <v>40</v>
      </c>
      <c r="F92" s="4">
        <v>2</v>
      </c>
      <c r="G92" s="4" t="s">
        <v>11</v>
      </c>
      <c r="H92" s="4" t="s">
        <v>12</v>
      </c>
    </row>
    <row r="93" spans="1:8">
      <c r="A93" s="3" t="s">
        <v>1064</v>
      </c>
      <c r="B93" s="4" t="s">
        <v>1305</v>
      </c>
      <c r="C93" s="4" t="s">
        <v>1306</v>
      </c>
      <c r="D93" s="4" t="s">
        <v>1627</v>
      </c>
      <c r="E93" s="4">
        <v>50</v>
      </c>
      <c r="F93" s="4">
        <v>2</v>
      </c>
      <c r="G93" s="4" t="s">
        <v>11</v>
      </c>
      <c r="H93" s="4" t="s">
        <v>12</v>
      </c>
    </row>
    <row r="94" spans="1:8">
      <c r="A94" s="3" t="s">
        <v>1064</v>
      </c>
      <c r="B94" s="4" t="s">
        <v>1079</v>
      </c>
      <c r="C94" s="4" t="s">
        <v>1080</v>
      </c>
      <c r="D94" s="4" t="s">
        <v>1627</v>
      </c>
      <c r="E94" s="4">
        <v>49</v>
      </c>
      <c r="F94" s="4">
        <v>2</v>
      </c>
      <c r="G94" s="4" t="s">
        <v>11</v>
      </c>
      <c r="H94" s="4" t="s">
        <v>12</v>
      </c>
    </row>
    <row r="95" spans="1:8">
      <c r="A95" s="3" t="s">
        <v>1020</v>
      </c>
      <c r="B95" s="4" t="s">
        <v>1630</v>
      </c>
      <c r="C95" s="4" t="s">
        <v>1631</v>
      </c>
      <c r="D95" s="4" t="s">
        <v>1627</v>
      </c>
      <c r="E95" s="4">
        <v>54</v>
      </c>
      <c r="F95" s="4">
        <v>2</v>
      </c>
      <c r="G95" s="4" t="s">
        <v>11</v>
      </c>
      <c r="H95" s="4" t="s">
        <v>12</v>
      </c>
    </row>
    <row r="96" spans="1:8">
      <c r="A96" s="3" t="s">
        <v>1020</v>
      </c>
      <c r="B96" s="4" t="s">
        <v>1263</v>
      </c>
      <c r="C96" s="4" t="s">
        <v>1264</v>
      </c>
      <c r="D96" s="4" t="s">
        <v>1627</v>
      </c>
      <c r="E96" s="4">
        <v>41</v>
      </c>
      <c r="F96" s="4">
        <v>2</v>
      </c>
      <c r="G96" s="4" t="s">
        <v>11</v>
      </c>
      <c r="H96" s="4" t="s">
        <v>12</v>
      </c>
    </row>
    <row r="97" spans="1:8">
      <c r="A97" s="3" t="s">
        <v>1217</v>
      </c>
      <c r="B97" s="4" t="s">
        <v>1632</v>
      </c>
      <c r="C97" s="4" t="s">
        <v>1633</v>
      </c>
      <c r="D97" s="4" t="s">
        <v>1627</v>
      </c>
      <c r="E97" s="4">
        <v>48</v>
      </c>
      <c r="F97" s="4">
        <v>2</v>
      </c>
      <c r="G97" s="4" t="s">
        <v>11</v>
      </c>
      <c r="H97" s="4" t="s">
        <v>12</v>
      </c>
    </row>
    <row r="98" spans="1:8">
      <c r="A98" s="3" t="s">
        <v>1191</v>
      </c>
      <c r="B98" s="4" t="s">
        <v>1501</v>
      </c>
      <c r="C98" s="4" t="s">
        <v>1502</v>
      </c>
      <c r="D98" s="4" t="s">
        <v>1627</v>
      </c>
      <c r="E98" s="4">
        <v>54</v>
      </c>
      <c r="F98" s="4">
        <v>2</v>
      </c>
      <c r="G98" s="4" t="s">
        <v>11</v>
      </c>
      <c r="H98" s="4" t="s">
        <v>12</v>
      </c>
    </row>
    <row r="99" spans="1:8">
      <c r="A99" s="3" t="s">
        <v>1191</v>
      </c>
      <c r="B99" s="4" t="s">
        <v>1319</v>
      </c>
      <c r="C99" s="4" t="s">
        <v>1320</v>
      </c>
      <c r="D99" s="4" t="s">
        <v>1627</v>
      </c>
      <c r="E99" s="4">
        <v>55</v>
      </c>
      <c r="F99" s="4">
        <v>2</v>
      </c>
      <c r="G99" s="4" t="s">
        <v>11</v>
      </c>
      <c r="H99" s="4" t="s">
        <v>12</v>
      </c>
    </row>
    <row r="100" spans="1:8">
      <c r="A100" s="3" t="s">
        <v>1191</v>
      </c>
      <c r="B100" s="4" t="s">
        <v>1323</v>
      </c>
      <c r="C100" s="4" t="s">
        <v>1324</v>
      </c>
      <c r="D100" s="4" t="s">
        <v>1627</v>
      </c>
      <c r="E100" s="4">
        <v>57</v>
      </c>
      <c r="F100" s="4">
        <v>2</v>
      </c>
      <c r="G100" s="4" t="s">
        <v>11</v>
      </c>
      <c r="H100" s="4" t="s">
        <v>12</v>
      </c>
    </row>
    <row r="101" spans="1:8">
      <c r="A101" s="3" t="s">
        <v>1191</v>
      </c>
      <c r="B101" s="4" t="s">
        <v>1634</v>
      </c>
      <c r="C101" s="4" t="s">
        <v>1635</v>
      </c>
      <c r="D101" s="4" t="s">
        <v>1627</v>
      </c>
      <c r="E101" s="4">
        <v>53</v>
      </c>
      <c r="F101" s="4">
        <v>2</v>
      </c>
      <c r="G101" s="4" t="s">
        <v>11</v>
      </c>
      <c r="H101" s="4" t="s">
        <v>12</v>
      </c>
    </row>
    <row r="102" spans="1:8">
      <c r="A102" s="3" t="s">
        <v>1191</v>
      </c>
      <c r="B102" s="4" t="s">
        <v>1192</v>
      </c>
      <c r="C102" s="4" t="s">
        <v>1193</v>
      </c>
      <c r="D102" s="4" t="s">
        <v>1627</v>
      </c>
      <c r="E102" s="4">
        <v>51</v>
      </c>
      <c r="F102" s="4">
        <v>2</v>
      </c>
      <c r="G102" s="4" t="s">
        <v>11</v>
      </c>
      <c r="H102" s="4" t="s">
        <v>12</v>
      </c>
    </row>
    <row r="103" spans="1:8">
      <c r="A103" s="3" t="s">
        <v>1191</v>
      </c>
      <c r="B103" s="4" t="s">
        <v>1327</v>
      </c>
      <c r="C103" s="4" t="s">
        <v>1328</v>
      </c>
      <c r="D103" s="4" t="s">
        <v>1627</v>
      </c>
      <c r="E103" s="4">
        <v>58</v>
      </c>
      <c r="F103" s="4">
        <v>2</v>
      </c>
      <c r="G103" s="4" t="s">
        <v>11</v>
      </c>
      <c r="H103" s="4" t="s">
        <v>12</v>
      </c>
    </row>
    <row r="104" spans="1:8">
      <c r="A104" s="3" t="s">
        <v>1191</v>
      </c>
      <c r="B104" s="4" t="s">
        <v>1333</v>
      </c>
      <c r="C104" s="4" t="s">
        <v>1334</v>
      </c>
      <c r="D104" s="4" t="s">
        <v>1627</v>
      </c>
      <c r="E104" s="4">
        <v>57</v>
      </c>
      <c r="F104" s="4">
        <v>2</v>
      </c>
      <c r="G104" s="4" t="s">
        <v>11</v>
      </c>
      <c r="H104" s="4" t="s">
        <v>12</v>
      </c>
    </row>
    <row r="105" spans="1:8">
      <c r="A105" s="3" t="s">
        <v>1191</v>
      </c>
      <c r="B105" s="4" t="s">
        <v>1503</v>
      </c>
      <c r="C105" s="4" t="s">
        <v>1504</v>
      </c>
      <c r="D105" s="4" t="s">
        <v>1627</v>
      </c>
      <c r="E105" s="4">
        <v>56</v>
      </c>
      <c r="F105" s="4">
        <v>2</v>
      </c>
      <c r="G105" s="4" t="s">
        <v>11</v>
      </c>
      <c r="H105" s="4" t="s">
        <v>12</v>
      </c>
    </row>
    <row r="106" spans="1:8">
      <c r="A106" s="3" t="s">
        <v>1191</v>
      </c>
      <c r="B106" s="4" t="s">
        <v>1636</v>
      </c>
      <c r="C106" s="4" t="s">
        <v>1637</v>
      </c>
      <c r="D106" s="4" t="s">
        <v>1627</v>
      </c>
      <c r="E106" s="4">
        <v>51</v>
      </c>
      <c r="F106" s="4">
        <v>2</v>
      </c>
      <c r="G106" s="4" t="s">
        <v>11</v>
      </c>
      <c r="H106" s="4" t="s">
        <v>12</v>
      </c>
    </row>
    <row r="107" spans="1:8">
      <c r="A107" s="3" t="s">
        <v>1191</v>
      </c>
      <c r="B107" s="4" t="s">
        <v>1196</v>
      </c>
      <c r="C107" s="4" t="s">
        <v>1197</v>
      </c>
      <c r="D107" s="4" t="s">
        <v>1627</v>
      </c>
      <c r="E107" s="4">
        <v>50</v>
      </c>
      <c r="F107" s="4">
        <v>2</v>
      </c>
      <c r="G107" s="4" t="s">
        <v>11</v>
      </c>
      <c r="H107" s="4" t="s">
        <v>12</v>
      </c>
    </row>
    <row r="108" spans="1:8">
      <c r="A108" s="3" t="s">
        <v>1191</v>
      </c>
      <c r="B108" s="4" t="s">
        <v>1335</v>
      </c>
      <c r="C108" s="4" t="s">
        <v>1336</v>
      </c>
      <c r="D108" s="4" t="s">
        <v>1627</v>
      </c>
      <c r="E108" s="4">
        <v>53</v>
      </c>
      <c r="F108" s="4">
        <v>2</v>
      </c>
      <c r="G108" s="4" t="s">
        <v>11</v>
      </c>
      <c r="H108" s="4" t="s">
        <v>12</v>
      </c>
    </row>
    <row r="109" spans="1:8">
      <c r="A109" s="3" t="s">
        <v>1191</v>
      </c>
      <c r="B109" s="4" t="s">
        <v>1505</v>
      </c>
      <c r="C109" s="4" t="s">
        <v>1506</v>
      </c>
      <c r="D109" s="4" t="s">
        <v>1627</v>
      </c>
      <c r="E109" s="4">
        <v>55</v>
      </c>
      <c r="F109" s="4">
        <v>2</v>
      </c>
      <c r="G109" s="4" t="s">
        <v>11</v>
      </c>
      <c r="H109" s="4" t="s">
        <v>12</v>
      </c>
    </row>
    <row r="110" spans="1:8">
      <c r="A110" s="3" t="s">
        <v>1191</v>
      </c>
      <c r="B110" s="4" t="s">
        <v>1198</v>
      </c>
      <c r="C110" s="4" t="s">
        <v>1199</v>
      </c>
      <c r="D110" s="4" t="s">
        <v>1627</v>
      </c>
      <c r="E110" s="4">
        <v>56</v>
      </c>
      <c r="F110" s="4">
        <v>2</v>
      </c>
      <c r="G110" s="4" t="s">
        <v>11</v>
      </c>
      <c r="H110" s="4" t="s">
        <v>12</v>
      </c>
    </row>
    <row r="111" spans="1:8">
      <c r="A111" s="3" t="s">
        <v>1231</v>
      </c>
      <c r="B111" s="4" t="s">
        <v>1426</v>
      </c>
      <c r="C111" s="4" t="s">
        <v>1427</v>
      </c>
      <c r="D111" s="4" t="s">
        <v>1627</v>
      </c>
      <c r="E111" s="4">
        <v>50</v>
      </c>
      <c r="F111" s="4">
        <v>2</v>
      </c>
      <c r="G111" s="4" t="s">
        <v>11</v>
      </c>
      <c r="H111" s="4" t="s">
        <v>12</v>
      </c>
    </row>
    <row r="112" spans="1:8">
      <c r="A112" s="3" t="s">
        <v>1102</v>
      </c>
      <c r="B112" s="4" t="s">
        <v>1105</v>
      </c>
      <c r="C112" s="4" t="s">
        <v>1106</v>
      </c>
      <c r="D112" s="4" t="s">
        <v>1627</v>
      </c>
      <c r="E112" s="4">
        <v>53</v>
      </c>
      <c r="F112" s="4">
        <v>2</v>
      </c>
      <c r="G112" s="4" t="s">
        <v>11</v>
      </c>
      <c r="H112" s="4" t="s">
        <v>12</v>
      </c>
    </row>
    <row r="113" spans="1:8">
      <c r="A113" s="3" t="s">
        <v>1102</v>
      </c>
      <c r="B113" s="4" t="s">
        <v>1111</v>
      </c>
      <c r="C113" s="4" t="s">
        <v>1112</v>
      </c>
      <c r="D113" s="4" t="s">
        <v>1627</v>
      </c>
      <c r="E113" s="4">
        <v>58</v>
      </c>
      <c r="F113" s="4">
        <v>2</v>
      </c>
      <c r="G113" s="4" t="s">
        <v>11</v>
      </c>
      <c r="H113" s="4" t="s">
        <v>12</v>
      </c>
    </row>
    <row r="114" spans="1:8">
      <c r="A114" s="3" t="s">
        <v>1102</v>
      </c>
      <c r="B114" s="4" t="s">
        <v>1445</v>
      </c>
      <c r="C114" s="4" t="s">
        <v>1446</v>
      </c>
      <c r="D114" s="4" t="s">
        <v>1627</v>
      </c>
      <c r="E114" s="4">
        <v>49</v>
      </c>
      <c r="F114" s="4">
        <v>2</v>
      </c>
      <c r="G114" s="4" t="s">
        <v>11</v>
      </c>
      <c r="H114" s="4" t="s">
        <v>12</v>
      </c>
    </row>
    <row r="115" spans="1:8">
      <c r="A115" s="3" t="s">
        <v>1102</v>
      </c>
      <c r="B115" s="4" t="s">
        <v>1638</v>
      </c>
      <c r="C115" s="4" t="s">
        <v>1639</v>
      </c>
      <c r="D115" s="4" t="s">
        <v>1627</v>
      </c>
      <c r="E115" s="4">
        <v>54</v>
      </c>
      <c r="F115" s="4">
        <v>2</v>
      </c>
      <c r="G115" s="4" t="s">
        <v>11</v>
      </c>
      <c r="H115" s="4" t="s">
        <v>12</v>
      </c>
    </row>
    <row r="116" spans="1:8">
      <c r="A116" s="3" t="s">
        <v>1102</v>
      </c>
      <c r="B116" s="4" t="s">
        <v>1113</v>
      </c>
      <c r="C116" s="4" t="s">
        <v>1114</v>
      </c>
      <c r="D116" s="4" t="s">
        <v>1627</v>
      </c>
      <c r="E116" s="4">
        <v>56</v>
      </c>
      <c r="F116" s="4">
        <v>2</v>
      </c>
      <c r="G116" s="4" t="s">
        <v>11</v>
      </c>
      <c r="H116" s="4" t="s">
        <v>12</v>
      </c>
    </row>
    <row r="117" spans="1:8">
      <c r="A117" s="3" t="s">
        <v>1102</v>
      </c>
      <c r="B117" s="4" t="s">
        <v>1119</v>
      </c>
      <c r="C117" s="4" t="s">
        <v>1120</v>
      </c>
      <c r="D117" s="4" t="s">
        <v>1627</v>
      </c>
      <c r="E117" s="4">
        <v>59</v>
      </c>
      <c r="F117" s="4">
        <v>2</v>
      </c>
      <c r="G117" s="4" t="s">
        <v>11</v>
      </c>
      <c r="H117" s="4" t="s">
        <v>12</v>
      </c>
    </row>
    <row r="118" spans="1:8">
      <c r="A118" s="3" t="s">
        <v>1102</v>
      </c>
      <c r="B118" s="4" t="s">
        <v>1123</v>
      </c>
      <c r="C118" s="4" t="s">
        <v>1124</v>
      </c>
      <c r="D118" s="4" t="s">
        <v>1627</v>
      </c>
      <c r="E118" s="4">
        <v>57</v>
      </c>
      <c r="F118" s="4">
        <v>2</v>
      </c>
      <c r="G118" s="4" t="s">
        <v>11</v>
      </c>
      <c r="H118" s="4" t="s">
        <v>12</v>
      </c>
    </row>
    <row r="119" spans="1:8">
      <c r="A119" s="3" t="s">
        <v>1102</v>
      </c>
      <c r="B119" s="4" t="s">
        <v>1129</v>
      </c>
      <c r="C119" s="4" t="s">
        <v>1130</v>
      </c>
      <c r="D119" s="4" t="s">
        <v>1627</v>
      </c>
      <c r="E119" s="4">
        <v>53</v>
      </c>
      <c r="F119" s="4">
        <v>2</v>
      </c>
      <c r="G119" s="4" t="s">
        <v>11</v>
      </c>
      <c r="H119" s="4" t="s">
        <v>12</v>
      </c>
    </row>
    <row r="120" spans="1:8">
      <c r="A120" s="3" t="s">
        <v>1102</v>
      </c>
      <c r="B120" s="4" t="s">
        <v>1131</v>
      </c>
      <c r="C120" s="4" t="s">
        <v>1132</v>
      </c>
      <c r="D120" s="4" t="s">
        <v>1627</v>
      </c>
      <c r="E120" s="4">
        <v>59</v>
      </c>
      <c r="F120" s="4">
        <v>2</v>
      </c>
      <c r="G120" s="4" t="s">
        <v>11</v>
      </c>
      <c r="H120" s="4" t="s">
        <v>12</v>
      </c>
    </row>
    <row r="121" spans="1:8">
      <c r="A121" s="3" t="s">
        <v>1818</v>
      </c>
      <c r="B121" s="4" t="s">
        <v>1819</v>
      </c>
      <c r="C121" s="4" t="s">
        <v>1820</v>
      </c>
      <c r="D121" s="4" t="s">
        <v>1825</v>
      </c>
      <c r="E121" s="4">
        <v>57</v>
      </c>
      <c r="F121" s="4">
        <v>2</v>
      </c>
      <c r="G121" s="4" t="s">
        <v>11</v>
      </c>
      <c r="H121" s="4" t="s">
        <v>12</v>
      </c>
    </row>
    <row r="122" spans="1:8">
      <c r="A122" s="3" t="s">
        <v>1613</v>
      </c>
      <c r="B122" s="4" t="s">
        <v>1826</v>
      </c>
      <c r="C122" s="4" t="s">
        <v>1827</v>
      </c>
      <c r="D122" s="4" t="s">
        <v>1825</v>
      </c>
      <c r="E122" s="4">
        <v>57</v>
      </c>
      <c r="F122" s="4">
        <v>2</v>
      </c>
      <c r="G122" s="4" t="s">
        <v>11</v>
      </c>
      <c r="H122" s="4" t="s">
        <v>12</v>
      </c>
    </row>
    <row r="123" spans="1:8">
      <c r="A123" s="3" t="s">
        <v>968</v>
      </c>
      <c r="B123" s="4" t="s">
        <v>1271</v>
      </c>
      <c r="C123" s="4" t="s">
        <v>1272</v>
      </c>
      <c r="D123" s="4" t="s">
        <v>636</v>
      </c>
      <c r="E123" s="4">
        <v>43</v>
      </c>
      <c r="F123" s="4">
        <v>2</v>
      </c>
      <c r="G123" s="4" t="s">
        <v>11</v>
      </c>
      <c r="H123" s="4" t="s">
        <v>12</v>
      </c>
    </row>
    <row r="124" spans="1:8">
      <c r="A124" s="3" t="s">
        <v>968</v>
      </c>
      <c r="B124" s="4" t="s">
        <v>1273</v>
      </c>
      <c r="C124" s="4" t="s">
        <v>1274</v>
      </c>
      <c r="D124" s="4" t="s">
        <v>636</v>
      </c>
      <c r="E124" s="4">
        <v>40</v>
      </c>
      <c r="F124" s="4">
        <v>2</v>
      </c>
      <c r="G124" s="4" t="s">
        <v>11</v>
      </c>
      <c r="H124" s="4" t="s">
        <v>12</v>
      </c>
    </row>
    <row r="125" spans="1:8">
      <c r="A125" s="3" t="s">
        <v>968</v>
      </c>
      <c r="B125" s="4" t="s">
        <v>1533</v>
      </c>
      <c r="C125" s="4" t="s">
        <v>1534</v>
      </c>
      <c r="D125" s="4" t="s">
        <v>636</v>
      </c>
      <c r="E125" s="4">
        <v>50</v>
      </c>
      <c r="F125" s="4">
        <v>2</v>
      </c>
      <c r="G125" s="4" t="s">
        <v>11</v>
      </c>
      <c r="H125" s="4" t="s">
        <v>12</v>
      </c>
    </row>
    <row r="126" spans="1:8">
      <c r="A126" s="3" t="s">
        <v>968</v>
      </c>
      <c r="B126" s="4" t="s">
        <v>1535</v>
      </c>
      <c r="C126" s="4" t="s">
        <v>1536</v>
      </c>
      <c r="D126" s="4" t="s">
        <v>636</v>
      </c>
      <c r="E126" s="4">
        <v>46</v>
      </c>
      <c r="F126" s="4">
        <v>2</v>
      </c>
      <c r="G126" s="4" t="s">
        <v>11</v>
      </c>
      <c r="H126" s="4" t="s">
        <v>12</v>
      </c>
    </row>
    <row r="127" spans="1:8">
      <c r="A127" s="3" t="s">
        <v>968</v>
      </c>
      <c r="B127" s="4" t="s">
        <v>1275</v>
      </c>
      <c r="C127" s="4" t="s">
        <v>1276</v>
      </c>
      <c r="D127" s="4" t="s">
        <v>636</v>
      </c>
      <c r="E127" s="4">
        <v>41</v>
      </c>
      <c r="F127" s="4">
        <v>2</v>
      </c>
      <c r="G127" s="4" t="s">
        <v>11</v>
      </c>
      <c r="H127" s="4" t="s">
        <v>12</v>
      </c>
    </row>
    <row r="128" spans="1:8">
      <c r="A128" s="3" t="s">
        <v>968</v>
      </c>
      <c r="B128" s="4" t="s">
        <v>1277</v>
      </c>
      <c r="C128" s="4" t="s">
        <v>1278</v>
      </c>
      <c r="D128" s="4" t="s">
        <v>636</v>
      </c>
      <c r="E128" s="4">
        <v>40</v>
      </c>
      <c r="F128" s="4">
        <v>2</v>
      </c>
      <c r="G128" s="4" t="s">
        <v>11</v>
      </c>
      <c r="H128" s="4" t="s">
        <v>12</v>
      </c>
    </row>
    <row r="129" spans="1:8">
      <c r="A129" s="3" t="s">
        <v>968</v>
      </c>
      <c r="B129" s="4" t="s">
        <v>1537</v>
      </c>
      <c r="C129" s="4" t="s">
        <v>1538</v>
      </c>
      <c r="D129" s="4" t="s">
        <v>636</v>
      </c>
      <c r="E129" s="4">
        <v>55</v>
      </c>
      <c r="F129" s="4">
        <v>2</v>
      </c>
      <c r="G129" s="4" t="s">
        <v>11</v>
      </c>
      <c r="H129" s="4" t="s">
        <v>12</v>
      </c>
    </row>
    <row r="130" spans="1:8">
      <c r="A130" s="3" t="s">
        <v>968</v>
      </c>
      <c r="B130" s="4" t="s">
        <v>1279</v>
      </c>
      <c r="C130" s="4" t="s">
        <v>1280</v>
      </c>
      <c r="D130" s="4" t="s">
        <v>636</v>
      </c>
      <c r="E130" s="4">
        <v>42</v>
      </c>
      <c r="F130" s="4">
        <v>2</v>
      </c>
      <c r="G130" s="4" t="s">
        <v>11</v>
      </c>
      <c r="H130" s="4" t="s">
        <v>12</v>
      </c>
    </row>
    <row r="131" spans="1:8">
      <c r="A131" s="3" t="s">
        <v>968</v>
      </c>
      <c r="B131" s="4" t="s">
        <v>1539</v>
      </c>
      <c r="C131" s="4" t="s">
        <v>1540</v>
      </c>
      <c r="D131" s="4" t="s">
        <v>636</v>
      </c>
      <c r="E131" s="4">
        <v>40</v>
      </c>
      <c r="F131" s="4">
        <v>2</v>
      </c>
      <c r="G131" s="4" t="s">
        <v>11</v>
      </c>
      <c r="H131" s="4" t="s">
        <v>12</v>
      </c>
    </row>
    <row r="132" spans="1:8">
      <c r="A132" s="3" t="s">
        <v>971</v>
      </c>
      <c r="B132" s="4" t="s">
        <v>1281</v>
      </c>
      <c r="C132" s="4" t="s">
        <v>1282</v>
      </c>
      <c r="D132" s="4" t="s">
        <v>636</v>
      </c>
      <c r="E132" s="4">
        <v>40</v>
      </c>
      <c r="F132" s="4">
        <v>4</v>
      </c>
      <c r="G132" s="4" t="s">
        <v>11</v>
      </c>
      <c r="H132" s="4" t="s">
        <v>12</v>
      </c>
    </row>
    <row r="133" spans="1:8">
      <c r="A133" s="3" t="s">
        <v>971</v>
      </c>
      <c r="B133" s="4" t="s">
        <v>1555</v>
      </c>
      <c r="C133" s="4" t="s">
        <v>1556</v>
      </c>
      <c r="D133" s="4" t="s">
        <v>636</v>
      </c>
      <c r="E133" s="4">
        <v>40</v>
      </c>
      <c r="F133" s="4">
        <v>4</v>
      </c>
      <c r="G133" s="4" t="s">
        <v>11</v>
      </c>
      <c r="H133" s="4" t="s">
        <v>12</v>
      </c>
    </row>
    <row r="134" spans="1:8">
      <c r="A134" s="3" t="s">
        <v>971</v>
      </c>
      <c r="B134" s="4" t="s">
        <v>1285</v>
      </c>
      <c r="C134" s="4" t="s">
        <v>1286</v>
      </c>
      <c r="D134" s="4" t="s">
        <v>636</v>
      </c>
      <c r="E134" s="4">
        <v>42</v>
      </c>
      <c r="F134" s="4">
        <v>4</v>
      </c>
      <c r="G134" s="4" t="s">
        <v>11</v>
      </c>
      <c r="H134" s="4" t="s">
        <v>12</v>
      </c>
    </row>
    <row r="135" spans="1:8">
      <c r="A135" s="3" t="s">
        <v>971</v>
      </c>
      <c r="B135" s="4" t="s">
        <v>984</v>
      </c>
      <c r="C135" s="4" t="s">
        <v>985</v>
      </c>
      <c r="D135" s="4" t="s">
        <v>636</v>
      </c>
      <c r="E135" s="4">
        <v>52</v>
      </c>
      <c r="F135" s="4">
        <v>4</v>
      </c>
      <c r="G135" s="4" t="s">
        <v>11</v>
      </c>
      <c r="H135" s="4" t="s">
        <v>12</v>
      </c>
    </row>
    <row r="136" spans="1:8">
      <c r="A136" s="3" t="s">
        <v>971</v>
      </c>
      <c r="B136" s="4" t="s">
        <v>986</v>
      </c>
      <c r="C136" s="4" t="s">
        <v>987</v>
      </c>
      <c r="D136" s="4" t="s">
        <v>636</v>
      </c>
      <c r="E136" s="4">
        <v>56</v>
      </c>
      <c r="F136" s="4">
        <v>4</v>
      </c>
      <c r="G136" s="4" t="s">
        <v>11</v>
      </c>
      <c r="H136" s="4" t="s">
        <v>12</v>
      </c>
    </row>
    <row r="137" spans="1:8">
      <c r="A137" s="3" t="s">
        <v>971</v>
      </c>
      <c r="B137" s="4" t="s">
        <v>1557</v>
      </c>
      <c r="C137" s="4" t="s">
        <v>1558</v>
      </c>
      <c r="D137" s="4" t="s">
        <v>636</v>
      </c>
      <c r="E137" s="4">
        <v>52</v>
      </c>
      <c r="F137" s="4">
        <v>4</v>
      </c>
      <c r="G137" s="4" t="s">
        <v>11</v>
      </c>
      <c r="H137" s="4" t="s">
        <v>12</v>
      </c>
    </row>
    <row r="138" spans="1:8">
      <c r="A138" s="3" t="s">
        <v>971</v>
      </c>
      <c r="B138" s="4" t="s">
        <v>992</v>
      </c>
      <c r="C138" s="4" t="s">
        <v>993</v>
      </c>
      <c r="D138" s="4" t="s">
        <v>636</v>
      </c>
      <c r="E138" s="4">
        <v>45</v>
      </c>
      <c r="F138" s="4">
        <v>4</v>
      </c>
      <c r="G138" s="4" t="s">
        <v>11</v>
      </c>
      <c r="H138" s="4" t="s">
        <v>12</v>
      </c>
    </row>
    <row r="139" spans="1:8">
      <c r="A139" s="3" t="s">
        <v>971</v>
      </c>
      <c r="B139" s="4" t="s">
        <v>996</v>
      </c>
      <c r="C139" s="4" t="s">
        <v>997</v>
      </c>
      <c r="D139" s="4" t="s">
        <v>636</v>
      </c>
      <c r="E139" s="4">
        <v>45</v>
      </c>
      <c r="F139" s="4">
        <v>4</v>
      </c>
      <c r="G139" s="4" t="s">
        <v>11</v>
      </c>
      <c r="H139" s="4" t="s">
        <v>12</v>
      </c>
    </row>
    <row r="140" spans="1:8">
      <c r="A140" s="3" t="s">
        <v>1171</v>
      </c>
      <c r="B140" s="4" t="s">
        <v>1475</v>
      </c>
      <c r="C140" s="4" t="s">
        <v>1476</v>
      </c>
      <c r="D140" s="4" t="s">
        <v>636</v>
      </c>
      <c r="E140" s="4">
        <v>40</v>
      </c>
      <c r="F140" s="4">
        <v>4</v>
      </c>
      <c r="G140" s="4" t="s">
        <v>11</v>
      </c>
      <c r="H140" s="4" t="s">
        <v>12</v>
      </c>
    </row>
    <row r="141" spans="1:8">
      <c r="A141" s="3" t="s">
        <v>1171</v>
      </c>
      <c r="B141" s="4" t="s">
        <v>1247</v>
      </c>
      <c r="C141" s="4" t="s">
        <v>1248</v>
      </c>
      <c r="D141" s="4" t="s">
        <v>636</v>
      </c>
      <c r="E141" s="4">
        <v>40</v>
      </c>
      <c r="F141" s="4">
        <v>4</v>
      </c>
      <c r="G141" s="4" t="s">
        <v>11</v>
      </c>
      <c r="H141" s="4" t="s">
        <v>12</v>
      </c>
    </row>
    <row r="142" spans="1:8">
      <c r="A142" s="3" t="s">
        <v>1171</v>
      </c>
      <c r="B142" s="4" t="s">
        <v>1477</v>
      </c>
      <c r="C142" s="4" t="s">
        <v>1478</v>
      </c>
      <c r="D142" s="4" t="s">
        <v>636</v>
      </c>
      <c r="E142" s="4">
        <v>44</v>
      </c>
      <c r="F142" s="4">
        <v>4</v>
      </c>
      <c r="G142" s="4" t="s">
        <v>11</v>
      </c>
      <c r="H142" s="4" t="s">
        <v>12</v>
      </c>
    </row>
    <row r="143" spans="1:8">
      <c r="A143" s="3" t="s">
        <v>1171</v>
      </c>
      <c r="B143" s="4" t="s">
        <v>1479</v>
      </c>
      <c r="C143" s="4" t="s">
        <v>1480</v>
      </c>
      <c r="D143" s="4" t="s">
        <v>636</v>
      </c>
      <c r="E143" s="4">
        <v>40</v>
      </c>
      <c r="F143" s="4">
        <v>4</v>
      </c>
      <c r="G143" s="4" t="s">
        <v>11</v>
      </c>
      <c r="H143" s="4" t="s">
        <v>12</v>
      </c>
    </row>
    <row r="144" spans="1:8">
      <c r="A144" s="3" t="s">
        <v>1171</v>
      </c>
      <c r="B144" s="4" t="s">
        <v>1251</v>
      </c>
      <c r="C144" s="4" t="s">
        <v>1252</v>
      </c>
      <c r="D144" s="4" t="s">
        <v>636</v>
      </c>
      <c r="E144" s="4">
        <v>40</v>
      </c>
      <c r="F144" s="4">
        <v>4</v>
      </c>
      <c r="G144" s="4" t="s">
        <v>11</v>
      </c>
      <c r="H144" s="4" t="s">
        <v>12</v>
      </c>
    </row>
    <row r="145" spans="1:8">
      <c r="A145" s="3" t="s">
        <v>1171</v>
      </c>
      <c r="B145" s="4" t="s">
        <v>1180</v>
      </c>
      <c r="C145" s="4" t="s">
        <v>1181</v>
      </c>
      <c r="D145" s="4" t="s">
        <v>636</v>
      </c>
      <c r="E145" s="4">
        <v>40</v>
      </c>
      <c r="F145" s="4">
        <v>4</v>
      </c>
      <c r="G145" s="4" t="s">
        <v>11</v>
      </c>
      <c r="H145" s="4" t="s">
        <v>12</v>
      </c>
    </row>
    <row r="146" spans="1:8">
      <c r="A146" s="3" t="s">
        <v>1171</v>
      </c>
      <c r="B146" s="4" t="s">
        <v>1253</v>
      </c>
      <c r="C146" s="4" t="s">
        <v>1254</v>
      </c>
      <c r="D146" s="4" t="s">
        <v>636</v>
      </c>
      <c r="E146" s="4">
        <v>40</v>
      </c>
      <c r="F146" s="4">
        <v>4</v>
      </c>
      <c r="G146" s="4" t="s">
        <v>11</v>
      </c>
      <c r="H146" s="4" t="s">
        <v>12</v>
      </c>
    </row>
    <row r="147" spans="1:8">
      <c r="A147" s="3" t="s">
        <v>1171</v>
      </c>
      <c r="B147" s="4" t="s">
        <v>1481</v>
      </c>
      <c r="C147" s="4" t="s">
        <v>1482</v>
      </c>
      <c r="D147" s="4" t="s">
        <v>636</v>
      </c>
      <c r="E147" s="4">
        <v>52</v>
      </c>
      <c r="F147" s="4">
        <v>4</v>
      </c>
      <c r="G147" s="4" t="s">
        <v>11</v>
      </c>
      <c r="H147" s="4" t="s">
        <v>12</v>
      </c>
    </row>
    <row r="148" spans="1:8">
      <c r="A148" s="3" t="s">
        <v>1171</v>
      </c>
      <c r="B148" s="4" t="s">
        <v>1182</v>
      </c>
      <c r="C148" s="4" t="s">
        <v>1183</v>
      </c>
      <c r="D148" s="4" t="s">
        <v>636</v>
      </c>
      <c r="E148" s="4">
        <v>52</v>
      </c>
      <c r="F148" s="4">
        <v>4</v>
      </c>
      <c r="G148" s="4" t="s">
        <v>11</v>
      </c>
      <c r="H148" s="4" t="s">
        <v>12</v>
      </c>
    </row>
    <row r="149" spans="1:8">
      <c r="A149" s="3" t="s">
        <v>1064</v>
      </c>
      <c r="B149" s="4" t="s">
        <v>1065</v>
      </c>
      <c r="C149" s="4" t="s">
        <v>1066</v>
      </c>
      <c r="D149" s="4" t="s">
        <v>636</v>
      </c>
      <c r="E149" s="4">
        <v>48</v>
      </c>
      <c r="F149" s="4">
        <v>4</v>
      </c>
      <c r="G149" s="4" t="s">
        <v>11</v>
      </c>
      <c r="H149" s="4" t="s">
        <v>12</v>
      </c>
    </row>
    <row r="150" spans="1:8">
      <c r="A150" s="3" t="s">
        <v>1064</v>
      </c>
      <c r="B150" s="4" t="s">
        <v>1305</v>
      </c>
      <c r="C150" s="4" t="s">
        <v>1306</v>
      </c>
      <c r="D150" s="4" t="s">
        <v>636</v>
      </c>
      <c r="E150" s="4">
        <v>51</v>
      </c>
      <c r="F150" s="4">
        <v>4</v>
      </c>
      <c r="G150" s="4" t="s">
        <v>11</v>
      </c>
      <c r="H150" s="4" t="s">
        <v>12</v>
      </c>
    </row>
    <row r="151" spans="1:8">
      <c r="A151" s="3" t="s">
        <v>1064</v>
      </c>
      <c r="B151" s="4" t="s">
        <v>1507</v>
      </c>
      <c r="C151" s="4" t="s">
        <v>1508</v>
      </c>
      <c r="D151" s="4" t="s">
        <v>636</v>
      </c>
      <c r="E151" s="4">
        <v>50</v>
      </c>
      <c r="F151" s="4">
        <v>4</v>
      </c>
      <c r="G151" s="4" t="s">
        <v>11</v>
      </c>
      <c r="H151" s="4" t="s">
        <v>12</v>
      </c>
    </row>
    <row r="152" spans="1:8">
      <c r="A152" s="3" t="s">
        <v>1064</v>
      </c>
      <c r="B152" s="4" t="s">
        <v>1509</v>
      </c>
      <c r="C152" s="4" t="s">
        <v>1510</v>
      </c>
      <c r="D152" s="4" t="s">
        <v>636</v>
      </c>
      <c r="E152" s="4">
        <v>45</v>
      </c>
      <c r="F152" s="4">
        <v>4</v>
      </c>
      <c r="G152" s="4" t="s">
        <v>11</v>
      </c>
      <c r="H152" s="4" t="s">
        <v>12</v>
      </c>
    </row>
    <row r="153" spans="1:8">
      <c r="A153" s="3" t="s">
        <v>1064</v>
      </c>
      <c r="B153" s="4" t="s">
        <v>1307</v>
      </c>
      <c r="C153" s="4" t="s">
        <v>1308</v>
      </c>
      <c r="D153" s="4" t="s">
        <v>636</v>
      </c>
      <c r="E153" s="4">
        <v>52</v>
      </c>
      <c r="F153" s="4">
        <v>4</v>
      </c>
      <c r="G153" s="4" t="s">
        <v>11</v>
      </c>
      <c r="H153" s="4" t="s">
        <v>12</v>
      </c>
    </row>
    <row r="154" spans="1:8">
      <c r="A154" s="3" t="s">
        <v>1064</v>
      </c>
      <c r="B154" s="4" t="s">
        <v>1309</v>
      </c>
      <c r="C154" s="4" t="s">
        <v>1310</v>
      </c>
      <c r="D154" s="4" t="s">
        <v>636</v>
      </c>
      <c r="E154" s="4">
        <v>49</v>
      </c>
      <c r="F154" s="4">
        <v>4</v>
      </c>
      <c r="G154" s="4" t="s">
        <v>11</v>
      </c>
      <c r="H154" s="4" t="s">
        <v>12</v>
      </c>
    </row>
    <row r="155" spans="1:8">
      <c r="A155" s="3" t="s">
        <v>1064</v>
      </c>
      <c r="B155" s="4" t="s">
        <v>1069</v>
      </c>
      <c r="C155" s="4" t="s">
        <v>1070</v>
      </c>
      <c r="D155" s="4" t="s">
        <v>636</v>
      </c>
      <c r="E155" s="4">
        <v>55</v>
      </c>
      <c r="F155" s="4">
        <v>4</v>
      </c>
      <c r="G155" s="4" t="s">
        <v>11</v>
      </c>
      <c r="H155" s="4" t="s">
        <v>12</v>
      </c>
    </row>
    <row r="156" spans="1:8">
      <c r="A156" s="3" t="s">
        <v>1064</v>
      </c>
      <c r="B156" s="4" t="s">
        <v>1071</v>
      </c>
      <c r="C156" s="4" t="s">
        <v>1072</v>
      </c>
      <c r="D156" s="4" t="s">
        <v>636</v>
      </c>
      <c r="E156" s="4">
        <v>51</v>
      </c>
      <c r="F156" s="4">
        <v>4</v>
      </c>
      <c r="G156" s="4" t="s">
        <v>11</v>
      </c>
      <c r="H156" s="4" t="s">
        <v>12</v>
      </c>
    </row>
    <row r="157" spans="1:8">
      <c r="A157" s="3" t="s">
        <v>1064</v>
      </c>
      <c r="B157" s="4" t="s">
        <v>1511</v>
      </c>
      <c r="C157" s="4" t="s">
        <v>1512</v>
      </c>
      <c r="D157" s="4" t="s">
        <v>636</v>
      </c>
      <c r="E157" s="4">
        <v>46</v>
      </c>
      <c r="F157" s="4">
        <v>4</v>
      </c>
      <c r="G157" s="4" t="s">
        <v>11</v>
      </c>
      <c r="H157" s="4" t="s">
        <v>12</v>
      </c>
    </row>
    <row r="158" spans="1:8">
      <c r="A158" s="3" t="s">
        <v>1064</v>
      </c>
      <c r="B158" s="4" t="s">
        <v>1317</v>
      </c>
      <c r="C158" s="4" t="s">
        <v>1318</v>
      </c>
      <c r="D158" s="4" t="s">
        <v>636</v>
      </c>
      <c r="E158" s="4">
        <v>54</v>
      </c>
      <c r="F158" s="4">
        <v>4</v>
      </c>
      <c r="G158" s="4" t="s">
        <v>11</v>
      </c>
      <c r="H158" s="4" t="s">
        <v>12</v>
      </c>
    </row>
    <row r="159" spans="1:8">
      <c r="A159" s="3" t="s">
        <v>1064</v>
      </c>
      <c r="B159" s="4" t="s">
        <v>1513</v>
      </c>
      <c r="C159" s="4" t="s">
        <v>1514</v>
      </c>
      <c r="D159" s="4" t="s">
        <v>636</v>
      </c>
      <c r="E159" s="4">
        <v>46</v>
      </c>
      <c r="F159" s="4">
        <v>4</v>
      </c>
      <c r="G159" s="4" t="s">
        <v>11</v>
      </c>
      <c r="H159" s="4" t="s">
        <v>12</v>
      </c>
    </row>
    <row r="160" spans="1:8">
      <c r="A160" s="3" t="s">
        <v>1064</v>
      </c>
      <c r="B160" s="4" t="s">
        <v>1079</v>
      </c>
      <c r="C160" s="4" t="s">
        <v>1080</v>
      </c>
      <c r="D160" s="4" t="s">
        <v>636</v>
      </c>
      <c r="E160" s="4">
        <v>46</v>
      </c>
      <c r="F160" s="4">
        <v>4</v>
      </c>
      <c r="G160" s="4" t="s">
        <v>11</v>
      </c>
      <c r="H160" s="4" t="s">
        <v>12</v>
      </c>
    </row>
    <row r="161" spans="1:8">
      <c r="A161" s="3" t="s">
        <v>1020</v>
      </c>
      <c r="B161" s="4" t="s">
        <v>1541</v>
      </c>
      <c r="C161" s="4" t="s">
        <v>1542</v>
      </c>
      <c r="D161" s="4" t="s">
        <v>636</v>
      </c>
      <c r="E161" s="4">
        <v>45</v>
      </c>
      <c r="F161" s="4">
        <v>4</v>
      </c>
      <c r="G161" s="4" t="s">
        <v>11</v>
      </c>
      <c r="H161" s="4" t="s">
        <v>12</v>
      </c>
    </row>
    <row r="162" spans="1:8">
      <c r="A162" s="3" t="s">
        <v>1020</v>
      </c>
      <c r="B162" s="4" t="s">
        <v>1543</v>
      </c>
      <c r="C162" s="4" t="s">
        <v>1544</v>
      </c>
      <c r="D162" s="4" t="s">
        <v>636</v>
      </c>
      <c r="E162" s="4">
        <v>40</v>
      </c>
      <c r="F162" s="4">
        <v>4</v>
      </c>
      <c r="G162" s="4" t="s">
        <v>11</v>
      </c>
      <c r="H162" s="4" t="s">
        <v>12</v>
      </c>
    </row>
    <row r="163" spans="1:8">
      <c r="A163" s="3" t="s">
        <v>1020</v>
      </c>
      <c r="B163" s="4" t="s">
        <v>1021</v>
      </c>
      <c r="C163" s="4" t="s">
        <v>1022</v>
      </c>
      <c r="D163" s="4" t="s">
        <v>636</v>
      </c>
      <c r="E163" s="4">
        <v>40</v>
      </c>
      <c r="F163" s="4">
        <v>4</v>
      </c>
      <c r="G163" s="4" t="s">
        <v>11</v>
      </c>
      <c r="H163" s="4" t="s">
        <v>12</v>
      </c>
    </row>
    <row r="164" spans="1:8">
      <c r="A164" s="3" t="s">
        <v>1020</v>
      </c>
      <c r="B164" s="4" t="s">
        <v>1437</v>
      </c>
      <c r="C164" s="4" t="s">
        <v>1438</v>
      </c>
      <c r="D164" s="4" t="s">
        <v>636</v>
      </c>
      <c r="E164" s="4">
        <v>52</v>
      </c>
      <c r="F164" s="4">
        <v>4</v>
      </c>
      <c r="G164" s="4" t="s">
        <v>11</v>
      </c>
      <c r="H164" s="4" t="s">
        <v>12</v>
      </c>
    </row>
    <row r="165" spans="1:8">
      <c r="A165" s="3" t="s">
        <v>1020</v>
      </c>
      <c r="B165" s="4" t="s">
        <v>1259</v>
      </c>
      <c r="C165" s="4" t="s">
        <v>1260</v>
      </c>
      <c r="D165" s="4" t="s">
        <v>636</v>
      </c>
      <c r="E165" s="4">
        <v>41</v>
      </c>
      <c r="F165" s="4">
        <v>4</v>
      </c>
      <c r="G165" s="4" t="s">
        <v>11</v>
      </c>
      <c r="H165" s="4" t="s">
        <v>12</v>
      </c>
    </row>
    <row r="166" spans="1:8">
      <c r="A166" s="3" t="s">
        <v>1020</v>
      </c>
      <c r="B166" s="4" t="s">
        <v>1023</v>
      </c>
      <c r="C166" s="4" t="s">
        <v>1024</v>
      </c>
      <c r="D166" s="4" t="s">
        <v>636</v>
      </c>
      <c r="E166" s="4">
        <v>50</v>
      </c>
      <c r="F166" s="4">
        <v>4</v>
      </c>
      <c r="G166" s="4" t="s">
        <v>11</v>
      </c>
      <c r="H166" s="4" t="s">
        <v>12</v>
      </c>
    </row>
    <row r="167" spans="1:8">
      <c r="A167" s="3" t="s">
        <v>1020</v>
      </c>
      <c r="B167" s="4" t="s">
        <v>1261</v>
      </c>
      <c r="C167" s="4" t="s">
        <v>1262</v>
      </c>
      <c r="D167" s="4" t="s">
        <v>636</v>
      </c>
      <c r="E167" s="4">
        <v>40</v>
      </c>
      <c r="F167" s="4">
        <v>4</v>
      </c>
      <c r="G167" s="4" t="s">
        <v>11</v>
      </c>
      <c r="H167" s="4" t="s">
        <v>12</v>
      </c>
    </row>
    <row r="168" spans="1:8">
      <c r="A168" s="3" t="s">
        <v>1020</v>
      </c>
      <c r="B168" s="4" t="s">
        <v>1545</v>
      </c>
      <c r="C168" s="4" t="s">
        <v>1546</v>
      </c>
      <c r="D168" s="4" t="s">
        <v>636</v>
      </c>
      <c r="E168" s="4">
        <v>40</v>
      </c>
      <c r="F168" s="4">
        <v>4</v>
      </c>
      <c r="G168" s="4" t="s">
        <v>11</v>
      </c>
      <c r="H168" s="4" t="s">
        <v>12</v>
      </c>
    </row>
    <row r="169" spans="1:8">
      <c r="A169" s="3" t="s">
        <v>1020</v>
      </c>
      <c r="B169" s="4" t="s">
        <v>1263</v>
      </c>
      <c r="C169" s="4" t="s">
        <v>1264</v>
      </c>
      <c r="D169" s="4" t="s">
        <v>636</v>
      </c>
      <c r="E169" s="4">
        <v>44</v>
      </c>
      <c r="F169" s="4">
        <v>4</v>
      </c>
      <c r="G169" s="4" t="s">
        <v>11</v>
      </c>
      <c r="H169" s="4" t="s">
        <v>12</v>
      </c>
    </row>
    <row r="170" spans="1:8">
      <c r="A170" s="3" t="s">
        <v>1020</v>
      </c>
      <c r="B170" s="4" t="s">
        <v>1025</v>
      </c>
      <c r="C170" s="4" t="s">
        <v>1026</v>
      </c>
      <c r="D170" s="4" t="s">
        <v>636</v>
      </c>
      <c r="E170" s="4">
        <v>45</v>
      </c>
      <c r="F170" s="4">
        <v>4</v>
      </c>
      <c r="G170" s="4" t="s">
        <v>11</v>
      </c>
      <c r="H170" s="4" t="s">
        <v>12</v>
      </c>
    </row>
    <row r="171" spans="1:8">
      <c r="A171" s="3" t="s">
        <v>1020</v>
      </c>
      <c r="B171" s="4" t="s">
        <v>1547</v>
      </c>
      <c r="C171" s="4" t="s">
        <v>1548</v>
      </c>
      <c r="D171" s="4" t="s">
        <v>636</v>
      </c>
      <c r="E171" s="4">
        <v>52</v>
      </c>
      <c r="F171" s="4">
        <v>4</v>
      </c>
      <c r="G171" s="4" t="s">
        <v>11</v>
      </c>
      <c r="H171" s="4" t="s">
        <v>12</v>
      </c>
    </row>
    <row r="172" spans="1:8">
      <c r="A172" s="3" t="s">
        <v>1020</v>
      </c>
      <c r="B172" s="4" t="s">
        <v>1267</v>
      </c>
      <c r="C172" s="4" t="s">
        <v>1268</v>
      </c>
      <c r="D172" s="4" t="s">
        <v>636</v>
      </c>
      <c r="E172" s="4">
        <v>45</v>
      </c>
      <c r="F172" s="4">
        <v>4</v>
      </c>
      <c r="G172" s="4" t="s">
        <v>11</v>
      </c>
      <c r="H172" s="4" t="s">
        <v>12</v>
      </c>
    </row>
    <row r="173" spans="1:8">
      <c r="A173" s="3" t="s">
        <v>1020</v>
      </c>
      <c r="B173" s="4" t="s">
        <v>1033</v>
      </c>
      <c r="C173" s="4" t="s">
        <v>1034</v>
      </c>
      <c r="D173" s="4" t="s">
        <v>636</v>
      </c>
      <c r="E173" s="4">
        <v>53</v>
      </c>
      <c r="F173" s="4">
        <v>4</v>
      </c>
      <c r="G173" s="4" t="s">
        <v>11</v>
      </c>
      <c r="H173" s="4" t="s">
        <v>12</v>
      </c>
    </row>
    <row r="174" spans="1:8">
      <c r="A174" s="3" t="s">
        <v>1035</v>
      </c>
      <c r="B174" s="4" t="s">
        <v>1036</v>
      </c>
      <c r="C174" s="4" t="s">
        <v>1037</v>
      </c>
      <c r="D174" s="4" t="s">
        <v>636</v>
      </c>
      <c r="E174" s="4">
        <v>40</v>
      </c>
      <c r="F174" s="4">
        <v>4</v>
      </c>
      <c r="G174" s="4" t="s">
        <v>11</v>
      </c>
      <c r="H174" s="4" t="s">
        <v>12</v>
      </c>
    </row>
    <row r="175" spans="1:8">
      <c r="A175" s="3" t="s">
        <v>1035</v>
      </c>
      <c r="B175" s="4" t="s">
        <v>1038</v>
      </c>
      <c r="C175" s="4" t="s">
        <v>1039</v>
      </c>
      <c r="D175" s="4" t="s">
        <v>636</v>
      </c>
      <c r="E175" s="4">
        <v>45</v>
      </c>
      <c r="F175" s="4">
        <v>4</v>
      </c>
      <c r="G175" s="4" t="s">
        <v>11</v>
      </c>
      <c r="H175" s="4" t="s">
        <v>12</v>
      </c>
    </row>
    <row r="176" spans="1:8">
      <c r="A176" s="3" t="s">
        <v>1035</v>
      </c>
      <c r="B176" s="4" t="s">
        <v>1291</v>
      </c>
      <c r="C176" s="4" t="s">
        <v>1292</v>
      </c>
      <c r="D176" s="4" t="s">
        <v>636</v>
      </c>
      <c r="E176" s="4">
        <v>49</v>
      </c>
      <c r="F176" s="4">
        <v>4</v>
      </c>
      <c r="G176" s="4" t="s">
        <v>11</v>
      </c>
      <c r="H176" s="4" t="s">
        <v>12</v>
      </c>
    </row>
    <row r="177" spans="1:8">
      <c r="A177" s="3" t="s">
        <v>1035</v>
      </c>
      <c r="B177" s="4" t="s">
        <v>1549</v>
      </c>
      <c r="C177" s="4" t="s">
        <v>1550</v>
      </c>
      <c r="D177" s="4" t="s">
        <v>636</v>
      </c>
      <c r="E177" s="4">
        <v>44</v>
      </c>
      <c r="F177" s="4">
        <v>4</v>
      </c>
      <c r="G177" s="4" t="s">
        <v>11</v>
      </c>
      <c r="H177" s="4" t="s">
        <v>12</v>
      </c>
    </row>
    <row r="178" spans="1:8">
      <c r="A178" s="3" t="s">
        <v>1035</v>
      </c>
      <c r="B178" s="4" t="s">
        <v>1551</v>
      </c>
      <c r="C178" s="4" t="s">
        <v>1552</v>
      </c>
      <c r="D178" s="4" t="s">
        <v>636</v>
      </c>
      <c r="E178" s="4">
        <v>42</v>
      </c>
      <c r="F178" s="4">
        <v>4</v>
      </c>
      <c r="G178" s="4" t="s">
        <v>11</v>
      </c>
      <c r="H178" s="4" t="s">
        <v>12</v>
      </c>
    </row>
    <row r="179" spans="1:8">
      <c r="A179" s="3" t="s">
        <v>1035</v>
      </c>
      <c r="B179" s="4" t="s">
        <v>1553</v>
      </c>
      <c r="C179" s="4" t="s">
        <v>1554</v>
      </c>
      <c r="D179" s="4" t="s">
        <v>636</v>
      </c>
      <c r="E179" s="4">
        <v>46</v>
      </c>
      <c r="F179" s="4">
        <v>4</v>
      </c>
      <c r="G179" s="4" t="s">
        <v>11</v>
      </c>
      <c r="H179" s="4" t="s">
        <v>12</v>
      </c>
    </row>
    <row r="180" spans="1:8">
      <c r="A180" s="3" t="s">
        <v>1035</v>
      </c>
      <c r="B180" s="4" t="s">
        <v>1293</v>
      </c>
      <c r="C180" s="4" t="s">
        <v>1294</v>
      </c>
      <c r="D180" s="4" t="s">
        <v>636</v>
      </c>
      <c r="E180" s="4">
        <v>52</v>
      </c>
      <c r="F180" s="4">
        <v>4</v>
      </c>
      <c r="G180" s="4" t="s">
        <v>11</v>
      </c>
      <c r="H180" s="4" t="s">
        <v>12</v>
      </c>
    </row>
    <row r="181" spans="1:8">
      <c r="A181" s="3" t="s">
        <v>1144</v>
      </c>
      <c r="B181" s="4" t="s">
        <v>1153</v>
      </c>
      <c r="C181" s="4" t="s">
        <v>1154</v>
      </c>
      <c r="D181" s="4" t="s">
        <v>636</v>
      </c>
      <c r="E181" s="4">
        <v>59</v>
      </c>
      <c r="F181" s="4">
        <v>4</v>
      </c>
      <c r="G181" s="4" t="s">
        <v>11</v>
      </c>
      <c r="H181" s="4" t="s">
        <v>12</v>
      </c>
    </row>
    <row r="182" spans="1:8">
      <c r="A182" s="3" t="s">
        <v>1144</v>
      </c>
      <c r="B182" s="4" t="s">
        <v>1357</v>
      </c>
      <c r="C182" s="4" t="s">
        <v>1358</v>
      </c>
      <c r="D182" s="4" t="s">
        <v>636</v>
      </c>
      <c r="E182" s="4">
        <v>52</v>
      </c>
      <c r="F182" s="4">
        <v>4</v>
      </c>
      <c r="G182" s="4" t="s">
        <v>11</v>
      </c>
      <c r="H182" s="4" t="s">
        <v>12</v>
      </c>
    </row>
    <row r="183" spans="1:8">
      <c r="A183" s="3" t="s">
        <v>1144</v>
      </c>
      <c r="B183" s="4" t="s">
        <v>1359</v>
      </c>
      <c r="C183" s="4" t="s">
        <v>1360</v>
      </c>
      <c r="D183" s="4" t="s">
        <v>636</v>
      </c>
      <c r="E183" s="4">
        <v>45</v>
      </c>
      <c r="F183" s="4">
        <v>4</v>
      </c>
      <c r="G183" s="4" t="s">
        <v>11</v>
      </c>
      <c r="H183" s="4" t="s">
        <v>12</v>
      </c>
    </row>
    <row r="184" spans="1:8">
      <c r="A184" s="3" t="s">
        <v>1054</v>
      </c>
      <c r="B184" s="4" t="s">
        <v>1483</v>
      </c>
      <c r="C184" s="4" t="s">
        <v>1484</v>
      </c>
      <c r="D184" s="4" t="s">
        <v>636</v>
      </c>
      <c r="E184" s="4">
        <v>40</v>
      </c>
      <c r="F184" s="4">
        <v>4</v>
      </c>
      <c r="G184" s="4" t="s">
        <v>11</v>
      </c>
      <c r="H184" s="4" t="s">
        <v>12</v>
      </c>
    </row>
    <row r="185" spans="1:8">
      <c r="A185" s="3" t="s">
        <v>1200</v>
      </c>
      <c r="B185" s="4" t="s">
        <v>1515</v>
      </c>
      <c r="C185" s="4" t="s">
        <v>1516</v>
      </c>
      <c r="D185" s="4" t="s">
        <v>636</v>
      </c>
      <c r="E185" s="4">
        <v>46</v>
      </c>
      <c r="F185" s="4">
        <v>4</v>
      </c>
      <c r="G185" s="4" t="s">
        <v>11</v>
      </c>
      <c r="H185" s="4" t="s">
        <v>12</v>
      </c>
    </row>
    <row r="186" spans="1:8">
      <c r="A186" s="3" t="s">
        <v>1200</v>
      </c>
      <c r="B186" s="4" t="s">
        <v>1201</v>
      </c>
      <c r="C186" s="4" t="s">
        <v>1202</v>
      </c>
      <c r="D186" s="4" t="s">
        <v>636</v>
      </c>
      <c r="E186" s="4">
        <v>42</v>
      </c>
      <c r="F186" s="4">
        <v>4</v>
      </c>
      <c r="G186" s="4" t="s">
        <v>11</v>
      </c>
      <c r="H186" s="4" t="s">
        <v>12</v>
      </c>
    </row>
    <row r="187" spans="1:8">
      <c r="A187" s="3" t="s">
        <v>1200</v>
      </c>
      <c r="B187" s="4" t="s">
        <v>1203</v>
      </c>
      <c r="C187" s="4" t="s">
        <v>1204</v>
      </c>
      <c r="D187" s="4" t="s">
        <v>636</v>
      </c>
      <c r="E187" s="4">
        <v>40</v>
      </c>
      <c r="F187" s="4">
        <v>4</v>
      </c>
      <c r="G187" s="4" t="s">
        <v>11</v>
      </c>
      <c r="H187" s="4" t="s">
        <v>12</v>
      </c>
    </row>
    <row r="188" spans="1:8">
      <c r="A188" s="3" t="s">
        <v>1200</v>
      </c>
      <c r="B188" s="4" t="s">
        <v>1209</v>
      </c>
      <c r="C188" s="4" t="s">
        <v>1210</v>
      </c>
      <c r="D188" s="4" t="s">
        <v>636</v>
      </c>
      <c r="E188" s="4">
        <v>40</v>
      </c>
      <c r="F188" s="4">
        <v>4</v>
      </c>
      <c r="G188" s="4" t="s">
        <v>11</v>
      </c>
      <c r="H188" s="4" t="s">
        <v>12</v>
      </c>
    </row>
    <row r="189" spans="1:8">
      <c r="A189" s="3" t="s">
        <v>1200</v>
      </c>
      <c r="B189" s="4" t="s">
        <v>1211</v>
      </c>
      <c r="C189" s="4" t="s">
        <v>1212</v>
      </c>
      <c r="D189" s="4" t="s">
        <v>636</v>
      </c>
      <c r="E189" s="4">
        <v>48</v>
      </c>
      <c r="F189" s="4">
        <v>4</v>
      </c>
      <c r="G189" s="4" t="s">
        <v>11</v>
      </c>
      <c r="H189" s="4" t="s">
        <v>12</v>
      </c>
    </row>
    <row r="190" spans="1:8">
      <c r="A190" s="3" t="s">
        <v>1200</v>
      </c>
      <c r="B190" s="4" t="s">
        <v>1213</v>
      </c>
      <c r="C190" s="4" t="s">
        <v>1214</v>
      </c>
      <c r="D190" s="4" t="s">
        <v>636</v>
      </c>
      <c r="E190" s="4">
        <v>40</v>
      </c>
      <c r="F190" s="4">
        <v>4</v>
      </c>
      <c r="G190" s="4" t="s">
        <v>11</v>
      </c>
      <c r="H190" s="4" t="s">
        <v>12</v>
      </c>
    </row>
    <row r="191" spans="1:8">
      <c r="A191" s="3" t="s">
        <v>1200</v>
      </c>
      <c r="B191" s="4" t="s">
        <v>1215</v>
      </c>
      <c r="C191" s="4" t="s">
        <v>1216</v>
      </c>
      <c r="D191" s="4" t="s">
        <v>636</v>
      </c>
      <c r="E191" s="4">
        <v>40</v>
      </c>
      <c r="F191" s="4">
        <v>4</v>
      </c>
      <c r="G191" s="4" t="s">
        <v>11</v>
      </c>
      <c r="H191" s="4" t="s">
        <v>12</v>
      </c>
    </row>
    <row r="192" spans="1:8">
      <c r="A192" s="3" t="s">
        <v>1184</v>
      </c>
      <c r="B192" s="4" t="s">
        <v>1517</v>
      </c>
      <c r="C192" s="4" t="s">
        <v>1518</v>
      </c>
      <c r="D192" s="4" t="s">
        <v>636</v>
      </c>
      <c r="E192" s="4">
        <v>46</v>
      </c>
      <c r="F192" s="4">
        <v>4</v>
      </c>
      <c r="G192" s="4" t="s">
        <v>11</v>
      </c>
      <c r="H192" s="4" t="s">
        <v>12</v>
      </c>
    </row>
    <row r="193" spans="1:8">
      <c r="A193" s="3" t="s">
        <v>1184</v>
      </c>
      <c r="B193" s="4" t="s">
        <v>1519</v>
      </c>
      <c r="C193" s="4" t="s">
        <v>1520</v>
      </c>
      <c r="D193" s="4" t="s">
        <v>636</v>
      </c>
      <c r="E193" s="4">
        <v>50</v>
      </c>
      <c r="F193" s="4">
        <v>4</v>
      </c>
      <c r="G193" s="4" t="s">
        <v>11</v>
      </c>
      <c r="H193" s="4" t="s">
        <v>12</v>
      </c>
    </row>
    <row r="194" spans="1:8">
      <c r="A194" s="3" t="s">
        <v>1184</v>
      </c>
      <c r="B194" s="4" t="s">
        <v>1187</v>
      </c>
      <c r="C194" s="4" t="s">
        <v>1188</v>
      </c>
      <c r="D194" s="4" t="s">
        <v>636</v>
      </c>
      <c r="E194" s="4">
        <v>50</v>
      </c>
      <c r="F194" s="4">
        <v>4</v>
      </c>
      <c r="G194" s="4" t="s">
        <v>11</v>
      </c>
      <c r="H194" s="4" t="s">
        <v>12</v>
      </c>
    </row>
    <row r="195" spans="1:8">
      <c r="A195" s="3" t="s">
        <v>1184</v>
      </c>
      <c r="B195" s="4" t="s">
        <v>1521</v>
      </c>
      <c r="C195" s="4" t="s">
        <v>1522</v>
      </c>
      <c r="D195" s="4" t="s">
        <v>636</v>
      </c>
      <c r="E195" s="4">
        <v>46</v>
      </c>
      <c r="F195" s="4">
        <v>4</v>
      </c>
      <c r="G195" s="4" t="s">
        <v>11</v>
      </c>
      <c r="H195" s="4" t="s">
        <v>12</v>
      </c>
    </row>
    <row r="196" spans="1:8">
      <c r="A196" s="3" t="s">
        <v>1184</v>
      </c>
      <c r="B196" s="4" t="s">
        <v>1523</v>
      </c>
      <c r="C196" s="4" t="s">
        <v>1524</v>
      </c>
      <c r="D196" s="4" t="s">
        <v>636</v>
      </c>
      <c r="E196" s="4">
        <v>51</v>
      </c>
      <c r="F196" s="4">
        <v>4</v>
      </c>
      <c r="G196" s="4" t="s">
        <v>11</v>
      </c>
      <c r="H196" s="4" t="s">
        <v>12</v>
      </c>
    </row>
    <row r="197" spans="1:8">
      <c r="A197" s="3" t="s">
        <v>1184</v>
      </c>
      <c r="B197" s="4" t="s">
        <v>1393</v>
      </c>
      <c r="C197" s="4" t="s">
        <v>1394</v>
      </c>
      <c r="D197" s="4" t="s">
        <v>636</v>
      </c>
      <c r="E197" s="4">
        <v>43</v>
      </c>
      <c r="F197" s="4">
        <v>4</v>
      </c>
      <c r="G197" s="4" t="s">
        <v>11</v>
      </c>
      <c r="H197" s="4" t="s">
        <v>12</v>
      </c>
    </row>
    <row r="198" spans="1:8">
      <c r="A198" s="3" t="s">
        <v>1184</v>
      </c>
      <c r="B198" s="4" t="s">
        <v>1395</v>
      </c>
      <c r="C198" s="4" t="s">
        <v>1396</v>
      </c>
      <c r="D198" s="4" t="s">
        <v>636</v>
      </c>
      <c r="E198" s="4">
        <v>40</v>
      </c>
      <c r="F198" s="4">
        <v>4</v>
      </c>
      <c r="G198" s="4" t="s">
        <v>11</v>
      </c>
      <c r="H198" s="4" t="s">
        <v>12</v>
      </c>
    </row>
    <row r="199" spans="1:8">
      <c r="A199" s="3" t="s">
        <v>1083</v>
      </c>
      <c r="B199" s="4" t="s">
        <v>1086</v>
      </c>
      <c r="C199" s="4" t="s">
        <v>1087</v>
      </c>
      <c r="D199" s="4" t="s">
        <v>636</v>
      </c>
      <c r="E199" s="4">
        <v>51</v>
      </c>
      <c r="F199" s="4">
        <v>4</v>
      </c>
      <c r="G199" s="4" t="s">
        <v>11</v>
      </c>
      <c r="H199" s="4" t="s">
        <v>12</v>
      </c>
    </row>
    <row r="200" spans="1:8">
      <c r="A200" s="3" t="s">
        <v>1083</v>
      </c>
      <c r="B200" s="4" t="s">
        <v>1399</v>
      </c>
      <c r="C200" s="4" t="s">
        <v>954</v>
      </c>
      <c r="D200" s="4" t="s">
        <v>636</v>
      </c>
      <c r="E200" s="4">
        <v>55</v>
      </c>
      <c r="F200" s="4">
        <v>4</v>
      </c>
      <c r="G200" s="4" t="s">
        <v>11</v>
      </c>
      <c r="H200" s="4" t="s">
        <v>12</v>
      </c>
    </row>
    <row r="201" spans="1:8">
      <c r="A201" s="3" t="s">
        <v>1083</v>
      </c>
      <c r="B201" s="4" t="s">
        <v>1400</v>
      </c>
      <c r="C201" s="4" t="s">
        <v>1401</v>
      </c>
      <c r="D201" s="4" t="s">
        <v>636</v>
      </c>
      <c r="E201" s="4">
        <v>41</v>
      </c>
      <c r="F201" s="4">
        <v>4</v>
      </c>
      <c r="G201" s="4" t="s">
        <v>11</v>
      </c>
      <c r="H201" s="4" t="s">
        <v>12</v>
      </c>
    </row>
    <row r="202" spans="1:8">
      <c r="A202" s="3" t="s">
        <v>1083</v>
      </c>
      <c r="B202" s="4" t="s">
        <v>1402</v>
      </c>
      <c r="C202" s="4" t="s">
        <v>1403</v>
      </c>
      <c r="D202" s="4" t="s">
        <v>636</v>
      </c>
      <c r="E202" s="4">
        <v>57</v>
      </c>
      <c r="F202" s="4">
        <v>4</v>
      </c>
      <c r="G202" s="4" t="s">
        <v>11</v>
      </c>
      <c r="H202" s="4" t="s">
        <v>12</v>
      </c>
    </row>
    <row r="203" spans="1:8">
      <c r="A203" s="3" t="s">
        <v>1083</v>
      </c>
      <c r="B203" s="4" t="s">
        <v>1100</v>
      </c>
      <c r="C203" s="4" t="s">
        <v>1101</v>
      </c>
      <c r="D203" s="4" t="s">
        <v>636</v>
      </c>
      <c r="E203" s="4">
        <v>41</v>
      </c>
      <c r="F203" s="4">
        <v>4</v>
      </c>
      <c r="G203" s="4" t="s">
        <v>11</v>
      </c>
      <c r="H203" s="4" t="s">
        <v>12</v>
      </c>
    </row>
    <row r="204" spans="1:8">
      <c r="A204" s="3" t="s">
        <v>1217</v>
      </c>
      <c r="B204" s="4" t="s">
        <v>1404</v>
      </c>
      <c r="C204" s="4" t="s">
        <v>1405</v>
      </c>
      <c r="D204" s="4" t="s">
        <v>636</v>
      </c>
      <c r="E204" s="4">
        <v>40</v>
      </c>
      <c r="F204" s="4">
        <v>4</v>
      </c>
      <c r="G204" s="4" t="s">
        <v>11</v>
      </c>
      <c r="H204" s="4" t="s">
        <v>12</v>
      </c>
    </row>
    <row r="205" spans="1:8">
      <c r="A205" s="3" t="s">
        <v>1217</v>
      </c>
      <c r="B205" s="4" t="s">
        <v>1559</v>
      </c>
      <c r="C205" s="4" t="s">
        <v>1560</v>
      </c>
      <c r="D205" s="4" t="s">
        <v>636</v>
      </c>
      <c r="E205" s="4">
        <v>56</v>
      </c>
      <c r="F205" s="4">
        <v>4</v>
      </c>
      <c r="G205" s="4" t="s">
        <v>11</v>
      </c>
      <c r="H205" s="4" t="s">
        <v>12</v>
      </c>
    </row>
    <row r="206" spans="1:8">
      <c r="A206" s="3" t="s">
        <v>1217</v>
      </c>
      <c r="B206" s="4" t="s">
        <v>1561</v>
      </c>
      <c r="C206" s="4" t="s">
        <v>1562</v>
      </c>
      <c r="D206" s="4" t="s">
        <v>636</v>
      </c>
      <c r="E206" s="4">
        <v>58</v>
      </c>
      <c r="F206" s="4">
        <v>4</v>
      </c>
      <c r="G206" s="4" t="s">
        <v>11</v>
      </c>
      <c r="H206" s="4" t="s">
        <v>12</v>
      </c>
    </row>
    <row r="207" spans="1:8">
      <c r="A207" s="3" t="s">
        <v>1217</v>
      </c>
      <c r="B207" s="4" t="s">
        <v>1222</v>
      </c>
      <c r="C207" s="4" t="s">
        <v>1223</v>
      </c>
      <c r="D207" s="4" t="s">
        <v>636</v>
      </c>
      <c r="E207" s="4">
        <v>40</v>
      </c>
      <c r="F207" s="4">
        <v>4</v>
      </c>
      <c r="G207" s="4" t="s">
        <v>11</v>
      </c>
      <c r="H207" s="4" t="s">
        <v>12</v>
      </c>
    </row>
    <row r="208" spans="1:8">
      <c r="A208" s="3" t="s">
        <v>1217</v>
      </c>
      <c r="B208" s="4" t="s">
        <v>1408</v>
      </c>
      <c r="C208" s="4" t="s">
        <v>1409</v>
      </c>
      <c r="D208" s="4" t="s">
        <v>636</v>
      </c>
      <c r="E208" s="4">
        <v>58</v>
      </c>
      <c r="F208" s="4">
        <v>4</v>
      </c>
      <c r="G208" s="4" t="s">
        <v>11</v>
      </c>
      <c r="H208" s="4" t="s">
        <v>12</v>
      </c>
    </row>
    <row r="209" spans="1:8">
      <c r="A209" s="3" t="s">
        <v>998</v>
      </c>
      <c r="B209" s="4" t="s">
        <v>999</v>
      </c>
      <c r="C209" s="4" t="s">
        <v>1000</v>
      </c>
      <c r="D209" s="4" t="s">
        <v>636</v>
      </c>
      <c r="E209" s="4">
        <v>55</v>
      </c>
      <c r="F209" s="4">
        <v>4</v>
      </c>
      <c r="G209" s="4" t="s">
        <v>11</v>
      </c>
      <c r="H209" s="4" t="s">
        <v>12</v>
      </c>
    </row>
    <row r="210" spans="1:8">
      <c r="A210" s="3" t="s">
        <v>998</v>
      </c>
      <c r="B210" s="4" t="s">
        <v>1003</v>
      </c>
      <c r="C210" s="4" t="s">
        <v>1004</v>
      </c>
      <c r="D210" s="4" t="s">
        <v>636</v>
      </c>
      <c r="E210" s="4">
        <v>50</v>
      </c>
      <c r="F210" s="4">
        <v>4</v>
      </c>
      <c r="G210" s="4" t="s">
        <v>11</v>
      </c>
      <c r="H210" s="4" t="s">
        <v>12</v>
      </c>
    </row>
    <row r="211" spans="1:8">
      <c r="A211" s="3" t="s">
        <v>998</v>
      </c>
      <c r="B211" s="4" t="s">
        <v>1497</v>
      </c>
      <c r="C211" s="4" t="s">
        <v>1498</v>
      </c>
      <c r="D211" s="4" t="s">
        <v>636</v>
      </c>
      <c r="E211" s="4">
        <v>47</v>
      </c>
      <c r="F211" s="4">
        <v>4</v>
      </c>
      <c r="G211" s="4" t="s">
        <v>11</v>
      </c>
      <c r="H211" s="4" t="s">
        <v>12</v>
      </c>
    </row>
    <row r="212" spans="1:8">
      <c r="A212" s="3" t="s">
        <v>1191</v>
      </c>
      <c r="B212" s="4" t="s">
        <v>1501</v>
      </c>
      <c r="C212" s="4" t="s">
        <v>1502</v>
      </c>
      <c r="D212" s="4" t="s">
        <v>636</v>
      </c>
      <c r="E212" s="4">
        <v>50</v>
      </c>
      <c r="F212" s="4">
        <v>4</v>
      </c>
      <c r="G212" s="4" t="s">
        <v>11</v>
      </c>
      <c r="H212" s="4" t="s">
        <v>12</v>
      </c>
    </row>
    <row r="213" spans="1:8">
      <c r="A213" s="3" t="s">
        <v>1191</v>
      </c>
      <c r="B213" s="4" t="s">
        <v>1453</v>
      </c>
      <c r="C213" s="4" t="s">
        <v>1454</v>
      </c>
      <c r="D213" s="4" t="s">
        <v>636</v>
      </c>
      <c r="E213" s="4">
        <v>55</v>
      </c>
      <c r="F213" s="4">
        <v>4</v>
      </c>
      <c r="G213" s="4" t="s">
        <v>11</v>
      </c>
      <c r="H213" s="4" t="s">
        <v>12</v>
      </c>
    </row>
    <row r="214" spans="1:8">
      <c r="A214" s="3" t="s">
        <v>1191</v>
      </c>
      <c r="B214" s="4" t="s">
        <v>1192</v>
      </c>
      <c r="C214" s="4" t="s">
        <v>1193</v>
      </c>
      <c r="D214" s="4" t="s">
        <v>636</v>
      </c>
      <c r="E214" s="4">
        <v>49</v>
      </c>
      <c r="F214" s="4">
        <v>4</v>
      </c>
      <c r="G214" s="4" t="s">
        <v>11</v>
      </c>
      <c r="H214" s="4" t="s">
        <v>12</v>
      </c>
    </row>
    <row r="215" spans="1:8">
      <c r="A215" s="3" t="s">
        <v>1191</v>
      </c>
      <c r="B215" s="4" t="s">
        <v>1325</v>
      </c>
      <c r="C215" s="4" t="s">
        <v>1326</v>
      </c>
      <c r="D215" s="4" t="s">
        <v>636</v>
      </c>
      <c r="E215" s="4">
        <v>48</v>
      </c>
      <c r="F215" s="4">
        <v>4</v>
      </c>
      <c r="G215" s="4" t="s">
        <v>11</v>
      </c>
      <c r="H215" s="4" t="s">
        <v>12</v>
      </c>
    </row>
    <row r="216" spans="1:8">
      <c r="A216" s="3" t="s">
        <v>1191</v>
      </c>
      <c r="B216" s="4" t="s">
        <v>1194</v>
      </c>
      <c r="C216" s="4" t="s">
        <v>1195</v>
      </c>
      <c r="D216" s="4" t="s">
        <v>636</v>
      </c>
      <c r="E216" s="4">
        <v>51</v>
      </c>
      <c r="F216" s="4">
        <v>4</v>
      </c>
      <c r="G216" s="4" t="s">
        <v>11</v>
      </c>
      <c r="H216" s="4" t="s">
        <v>12</v>
      </c>
    </row>
    <row r="217" spans="1:8">
      <c r="A217" s="3" t="s">
        <v>1191</v>
      </c>
      <c r="B217" s="4" t="s">
        <v>1327</v>
      </c>
      <c r="C217" s="4" t="s">
        <v>1328</v>
      </c>
      <c r="D217" s="4" t="s">
        <v>636</v>
      </c>
      <c r="E217" s="4">
        <v>51</v>
      </c>
      <c r="F217" s="4">
        <v>4</v>
      </c>
      <c r="G217" s="4" t="s">
        <v>11</v>
      </c>
      <c r="H217" s="4" t="s">
        <v>12</v>
      </c>
    </row>
    <row r="218" spans="1:8">
      <c r="A218" s="3" t="s">
        <v>1191</v>
      </c>
      <c r="B218" s="4" t="s">
        <v>1331</v>
      </c>
      <c r="C218" s="4" t="s">
        <v>1332</v>
      </c>
      <c r="D218" s="4" t="s">
        <v>636</v>
      </c>
      <c r="E218" s="4">
        <v>44</v>
      </c>
      <c r="F218" s="4">
        <v>4</v>
      </c>
      <c r="G218" s="4" t="s">
        <v>11</v>
      </c>
      <c r="H218" s="4" t="s">
        <v>12</v>
      </c>
    </row>
    <row r="219" spans="1:8">
      <c r="A219" s="3" t="s">
        <v>1191</v>
      </c>
      <c r="B219" s="4" t="s">
        <v>1503</v>
      </c>
      <c r="C219" s="4" t="s">
        <v>1504</v>
      </c>
      <c r="D219" s="4" t="s">
        <v>636</v>
      </c>
      <c r="E219" s="4">
        <v>51</v>
      </c>
      <c r="F219" s="4">
        <v>4</v>
      </c>
      <c r="G219" s="4" t="s">
        <v>11</v>
      </c>
      <c r="H219" s="4" t="s">
        <v>12</v>
      </c>
    </row>
    <row r="220" spans="1:8">
      <c r="A220" s="3" t="s">
        <v>1191</v>
      </c>
      <c r="B220" s="4" t="s">
        <v>1196</v>
      </c>
      <c r="C220" s="4" t="s">
        <v>1197</v>
      </c>
      <c r="D220" s="4" t="s">
        <v>636</v>
      </c>
      <c r="E220" s="4">
        <v>55</v>
      </c>
      <c r="F220" s="4">
        <v>4</v>
      </c>
      <c r="G220" s="4" t="s">
        <v>11</v>
      </c>
      <c r="H220" s="4" t="s">
        <v>12</v>
      </c>
    </row>
    <row r="221" spans="1:8">
      <c r="A221" s="3" t="s">
        <v>1191</v>
      </c>
      <c r="B221" s="4" t="s">
        <v>1335</v>
      </c>
      <c r="C221" s="4" t="s">
        <v>1336</v>
      </c>
      <c r="D221" s="4" t="s">
        <v>636</v>
      </c>
      <c r="E221" s="4">
        <v>47</v>
      </c>
      <c r="F221" s="4">
        <v>4</v>
      </c>
      <c r="G221" s="4" t="s">
        <v>11</v>
      </c>
      <c r="H221" s="4" t="s">
        <v>12</v>
      </c>
    </row>
    <row r="222" spans="1:8">
      <c r="A222" s="3" t="s">
        <v>1191</v>
      </c>
      <c r="B222" s="4" t="s">
        <v>1505</v>
      </c>
      <c r="C222" s="4" t="s">
        <v>1506</v>
      </c>
      <c r="D222" s="4" t="s">
        <v>636</v>
      </c>
      <c r="E222" s="4">
        <v>45</v>
      </c>
      <c r="F222" s="4">
        <v>4</v>
      </c>
      <c r="G222" s="4" t="s">
        <v>11</v>
      </c>
      <c r="H222" s="4" t="s">
        <v>12</v>
      </c>
    </row>
    <row r="223" spans="1:8">
      <c r="A223" s="3" t="s">
        <v>1231</v>
      </c>
      <c r="B223" s="4" t="s">
        <v>1232</v>
      </c>
      <c r="C223" s="4" t="s">
        <v>1233</v>
      </c>
      <c r="D223" s="4" t="s">
        <v>636</v>
      </c>
      <c r="E223" s="4">
        <v>46</v>
      </c>
      <c r="F223" s="4">
        <v>4</v>
      </c>
      <c r="G223" s="4" t="s">
        <v>11</v>
      </c>
      <c r="H223" s="4" t="s">
        <v>12</v>
      </c>
    </row>
    <row r="224" spans="1:8">
      <c r="A224" s="3" t="s">
        <v>1231</v>
      </c>
      <c r="B224" s="4" t="s">
        <v>1412</v>
      </c>
      <c r="C224" s="4" t="s">
        <v>1413</v>
      </c>
      <c r="D224" s="4" t="s">
        <v>636</v>
      </c>
      <c r="E224" s="4">
        <v>41</v>
      </c>
      <c r="F224" s="4">
        <v>4</v>
      </c>
      <c r="G224" s="4" t="s">
        <v>11</v>
      </c>
      <c r="H224" s="4" t="s">
        <v>12</v>
      </c>
    </row>
    <row r="225" spans="1:8">
      <c r="A225" s="3" t="s">
        <v>1231</v>
      </c>
      <c r="B225" s="4" t="s">
        <v>1414</v>
      </c>
      <c r="C225" s="4" t="s">
        <v>1415</v>
      </c>
      <c r="D225" s="4" t="s">
        <v>636</v>
      </c>
      <c r="E225" s="4">
        <v>54</v>
      </c>
      <c r="F225" s="4">
        <v>4</v>
      </c>
      <c r="G225" s="4" t="s">
        <v>11</v>
      </c>
      <c r="H225" s="4" t="s">
        <v>12</v>
      </c>
    </row>
    <row r="226" spans="1:8">
      <c r="A226" s="3" t="s">
        <v>1231</v>
      </c>
      <c r="B226" s="4" t="s">
        <v>1465</v>
      </c>
      <c r="C226" s="4" t="s">
        <v>1466</v>
      </c>
      <c r="D226" s="4" t="s">
        <v>636</v>
      </c>
      <c r="E226" s="4">
        <v>46</v>
      </c>
      <c r="F226" s="4">
        <v>4</v>
      </c>
      <c r="G226" s="4" t="s">
        <v>11</v>
      </c>
      <c r="H226" s="4" t="s">
        <v>12</v>
      </c>
    </row>
    <row r="227" spans="1:8">
      <c r="A227" s="3" t="s">
        <v>1231</v>
      </c>
      <c r="B227" s="4" t="s">
        <v>1467</v>
      </c>
      <c r="C227" s="4" t="s">
        <v>1468</v>
      </c>
      <c r="D227" s="4" t="s">
        <v>636</v>
      </c>
      <c r="E227" s="4">
        <v>47</v>
      </c>
      <c r="F227" s="4">
        <v>4</v>
      </c>
      <c r="G227" s="4" t="s">
        <v>11</v>
      </c>
      <c r="H227" s="4" t="s">
        <v>12</v>
      </c>
    </row>
    <row r="228" spans="1:8">
      <c r="A228" s="3" t="s">
        <v>1231</v>
      </c>
      <c r="B228" s="4" t="s">
        <v>1418</v>
      </c>
      <c r="C228" s="4" t="s">
        <v>1419</v>
      </c>
      <c r="D228" s="4" t="s">
        <v>636</v>
      </c>
      <c r="E228" s="4">
        <v>48</v>
      </c>
      <c r="F228" s="4">
        <v>4</v>
      </c>
      <c r="G228" s="4" t="s">
        <v>11</v>
      </c>
      <c r="H228" s="4" t="s">
        <v>12</v>
      </c>
    </row>
    <row r="229" spans="1:8">
      <c r="A229" s="3" t="s">
        <v>1231</v>
      </c>
      <c r="B229" s="4" t="s">
        <v>1525</v>
      </c>
      <c r="C229" s="4" t="s">
        <v>1526</v>
      </c>
      <c r="D229" s="4" t="s">
        <v>636</v>
      </c>
      <c r="E229" s="4">
        <v>55</v>
      </c>
      <c r="F229" s="4">
        <v>4</v>
      </c>
      <c r="G229" s="4" t="s">
        <v>11</v>
      </c>
      <c r="H229" s="4" t="s">
        <v>12</v>
      </c>
    </row>
    <row r="230" spans="1:8">
      <c r="A230" s="3" t="s">
        <v>1231</v>
      </c>
      <c r="B230" s="4" t="s">
        <v>1238</v>
      </c>
      <c r="C230" s="4" t="s">
        <v>1239</v>
      </c>
      <c r="D230" s="4" t="s">
        <v>636</v>
      </c>
      <c r="E230" s="4">
        <v>40</v>
      </c>
      <c r="F230" s="4">
        <v>4</v>
      </c>
      <c r="G230" s="4" t="s">
        <v>11</v>
      </c>
      <c r="H230" s="4" t="s">
        <v>12</v>
      </c>
    </row>
    <row r="231" spans="1:8">
      <c r="A231" s="3" t="s">
        <v>1231</v>
      </c>
      <c r="B231" s="4" t="s">
        <v>1240</v>
      </c>
      <c r="C231" s="4" t="s">
        <v>157</v>
      </c>
      <c r="D231" s="4" t="s">
        <v>636</v>
      </c>
      <c r="E231" s="4">
        <v>44</v>
      </c>
      <c r="F231" s="4">
        <v>4</v>
      </c>
      <c r="G231" s="4" t="s">
        <v>11</v>
      </c>
      <c r="H231" s="4" t="s">
        <v>12</v>
      </c>
    </row>
    <row r="232" spans="1:8">
      <c r="A232" s="3" t="s">
        <v>1231</v>
      </c>
      <c r="B232" s="4" t="s">
        <v>1527</v>
      </c>
      <c r="C232" s="4" t="s">
        <v>1528</v>
      </c>
      <c r="D232" s="4" t="s">
        <v>636</v>
      </c>
      <c r="E232" s="4">
        <v>48</v>
      </c>
      <c r="F232" s="4">
        <v>4</v>
      </c>
      <c r="G232" s="4" t="s">
        <v>11</v>
      </c>
      <c r="H232" s="4" t="s">
        <v>12</v>
      </c>
    </row>
    <row r="233" spans="1:8">
      <c r="A233" s="3" t="s">
        <v>1231</v>
      </c>
      <c r="B233" s="4" t="s">
        <v>1529</v>
      </c>
      <c r="C233" s="4" t="s">
        <v>1530</v>
      </c>
      <c r="D233" s="4" t="s">
        <v>636</v>
      </c>
      <c r="E233" s="4">
        <v>49</v>
      </c>
      <c r="F233" s="4">
        <v>4</v>
      </c>
      <c r="G233" s="4" t="s">
        <v>11</v>
      </c>
      <c r="H233" s="4" t="s">
        <v>12</v>
      </c>
    </row>
    <row r="234" spans="1:8">
      <c r="A234" s="3" t="s">
        <v>1231</v>
      </c>
      <c r="B234" s="4" t="s">
        <v>1241</v>
      </c>
      <c r="C234" s="4" t="s">
        <v>1242</v>
      </c>
      <c r="D234" s="4" t="s">
        <v>636</v>
      </c>
      <c r="E234" s="4">
        <v>54</v>
      </c>
      <c r="F234" s="4">
        <v>4</v>
      </c>
      <c r="G234" s="4" t="s">
        <v>11</v>
      </c>
      <c r="H234" s="4" t="s">
        <v>12</v>
      </c>
    </row>
    <row r="235" spans="1:8">
      <c r="A235" s="3" t="s">
        <v>1231</v>
      </c>
      <c r="B235" s="4" t="s">
        <v>1531</v>
      </c>
      <c r="C235" s="4" t="s">
        <v>1532</v>
      </c>
      <c r="D235" s="4" t="s">
        <v>636</v>
      </c>
      <c r="E235" s="4">
        <v>54</v>
      </c>
      <c r="F235" s="4">
        <v>4</v>
      </c>
      <c r="G235" s="4" t="s">
        <v>11</v>
      </c>
      <c r="H235" s="4" t="s">
        <v>12</v>
      </c>
    </row>
    <row r="236" spans="1:8">
      <c r="A236" s="3" t="s">
        <v>1102</v>
      </c>
      <c r="B236" s="4" t="s">
        <v>1107</v>
      </c>
      <c r="C236" s="4" t="s">
        <v>1108</v>
      </c>
      <c r="D236" s="4" t="s">
        <v>636</v>
      </c>
      <c r="E236" s="4">
        <v>40</v>
      </c>
      <c r="F236" s="4">
        <v>4</v>
      </c>
      <c r="G236" s="4" t="s">
        <v>11</v>
      </c>
      <c r="H236" s="4" t="s">
        <v>12</v>
      </c>
    </row>
    <row r="237" spans="1:8">
      <c r="A237" s="3" t="s">
        <v>1102</v>
      </c>
      <c r="B237" s="4" t="s">
        <v>1445</v>
      </c>
      <c r="C237" s="4" t="s">
        <v>1446</v>
      </c>
      <c r="D237" s="4" t="s">
        <v>636</v>
      </c>
      <c r="E237" s="4">
        <v>49</v>
      </c>
      <c r="F237" s="4">
        <v>4</v>
      </c>
      <c r="G237" s="4" t="s">
        <v>11</v>
      </c>
      <c r="H237" s="4" t="s">
        <v>12</v>
      </c>
    </row>
    <row r="238" spans="1:8">
      <c r="A238" s="3" t="s">
        <v>1102</v>
      </c>
      <c r="B238" s="4" t="s">
        <v>1117</v>
      </c>
      <c r="C238" s="4" t="s">
        <v>1118</v>
      </c>
      <c r="D238" s="4" t="s">
        <v>636</v>
      </c>
      <c r="E238" s="4">
        <v>40</v>
      </c>
      <c r="F238" s="4">
        <v>4</v>
      </c>
      <c r="G238" s="4" t="s">
        <v>11</v>
      </c>
      <c r="H238" s="4" t="s">
        <v>12</v>
      </c>
    </row>
    <row r="239" spans="1:8">
      <c r="A239" s="3" t="s">
        <v>1102</v>
      </c>
      <c r="B239" s="4" t="s">
        <v>1121</v>
      </c>
      <c r="C239" s="4" t="s">
        <v>1122</v>
      </c>
      <c r="D239" s="4" t="s">
        <v>636</v>
      </c>
      <c r="E239" s="4">
        <v>52</v>
      </c>
      <c r="F239" s="4">
        <v>4</v>
      </c>
      <c r="G239" s="4" t="s">
        <v>11</v>
      </c>
      <c r="H239" s="4" t="s">
        <v>12</v>
      </c>
    </row>
    <row r="240" spans="1:8">
      <c r="A240" s="3" t="s">
        <v>1102</v>
      </c>
      <c r="B240" s="4" t="s">
        <v>1125</v>
      </c>
      <c r="C240" s="4" t="s">
        <v>1126</v>
      </c>
      <c r="D240" s="4" t="s">
        <v>636</v>
      </c>
      <c r="E240" s="4">
        <v>55</v>
      </c>
      <c r="F240" s="4">
        <v>4</v>
      </c>
      <c r="G240" s="4" t="s">
        <v>11</v>
      </c>
      <c r="H240" s="4" t="s">
        <v>12</v>
      </c>
    </row>
    <row r="241" spans="1:8">
      <c r="A241" s="3" t="s">
        <v>1102</v>
      </c>
      <c r="B241" s="4" t="s">
        <v>1499</v>
      </c>
      <c r="C241" s="4" t="s">
        <v>1500</v>
      </c>
      <c r="D241" s="4" t="s">
        <v>636</v>
      </c>
      <c r="E241" s="4">
        <v>49</v>
      </c>
      <c r="F241" s="4">
        <v>4</v>
      </c>
      <c r="G241" s="4" t="s">
        <v>11</v>
      </c>
      <c r="H241" s="4" t="s">
        <v>12</v>
      </c>
    </row>
    <row r="242" spans="1:8">
      <c r="A242" s="3" t="s">
        <v>1102</v>
      </c>
      <c r="B242" s="4" t="s">
        <v>1129</v>
      </c>
      <c r="C242" s="4" t="s">
        <v>1130</v>
      </c>
      <c r="D242" s="4" t="s">
        <v>636</v>
      </c>
      <c r="E242" s="4">
        <v>46</v>
      </c>
      <c r="F242" s="4">
        <v>4</v>
      </c>
      <c r="G242" s="4" t="s">
        <v>11</v>
      </c>
      <c r="H242" s="4" t="s">
        <v>12</v>
      </c>
    </row>
    <row r="243" spans="1:8">
      <c r="A243" s="3" t="s">
        <v>1102</v>
      </c>
      <c r="B243" s="4" t="s">
        <v>1133</v>
      </c>
      <c r="C243" s="4" t="s">
        <v>1134</v>
      </c>
      <c r="D243" s="4" t="s">
        <v>636</v>
      </c>
      <c r="E243" s="4">
        <v>55</v>
      </c>
      <c r="F243" s="4">
        <v>4</v>
      </c>
      <c r="G243" s="4" t="s">
        <v>11</v>
      </c>
      <c r="H243" s="4" t="s">
        <v>12</v>
      </c>
    </row>
    <row r="244" spans="1:8">
      <c r="A244" s="3" t="s">
        <v>1135</v>
      </c>
      <c r="B244" s="4" t="s">
        <v>1563</v>
      </c>
      <c r="C244" s="4" t="s">
        <v>1564</v>
      </c>
      <c r="D244" s="4" t="s">
        <v>636</v>
      </c>
      <c r="E244" s="4">
        <v>52</v>
      </c>
      <c r="F244" s="4">
        <v>3</v>
      </c>
      <c r="G244" s="4" t="s">
        <v>11</v>
      </c>
      <c r="H244" s="4" t="s">
        <v>12</v>
      </c>
    </row>
    <row r="245" spans="1:8">
      <c r="A245" s="3" t="s">
        <v>1135</v>
      </c>
      <c r="B245" s="4" t="s">
        <v>1341</v>
      </c>
      <c r="C245" s="4" t="s">
        <v>1342</v>
      </c>
      <c r="D245" s="4" t="s">
        <v>636</v>
      </c>
      <c r="E245" s="4">
        <v>46</v>
      </c>
      <c r="F245" s="4">
        <v>3</v>
      </c>
      <c r="G245" s="4" t="s">
        <v>11</v>
      </c>
      <c r="H245" s="4" t="s">
        <v>12</v>
      </c>
    </row>
    <row r="246" spans="1:8">
      <c r="A246" s="3" t="s">
        <v>1135</v>
      </c>
      <c r="B246" s="4" t="s">
        <v>1142</v>
      </c>
      <c r="C246" s="4" t="s">
        <v>1143</v>
      </c>
      <c r="D246" s="4" t="s">
        <v>636</v>
      </c>
      <c r="E246" s="4">
        <v>58</v>
      </c>
      <c r="F246" s="4">
        <v>3</v>
      </c>
      <c r="G246" s="4" t="s">
        <v>11</v>
      </c>
      <c r="H246" s="4" t="s">
        <v>12</v>
      </c>
    </row>
    <row r="247" spans="1:8">
      <c r="A247" s="3" t="s">
        <v>1135</v>
      </c>
      <c r="B247" s="4" t="s">
        <v>1349</v>
      </c>
      <c r="C247" s="4" t="s">
        <v>1350</v>
      </c>
      <c r="D247" s="4" t="s">
        <v>636</v>
      </c>
      <c r="E247" s="4">
        <v>56</v>
      </c>
      <c r="F247" s="4">
        <v>3</v>
      </c>
      <c r="G247" s="4" t="s">
        <v>11</v>
      </c>
      <c r="H247" s="4" t="s">
        <v>12</v>
      </c>
    </row>
    <row r="248" spans="1:8">
      <c r="A248" s="3" t="s">
        <v>1428</v>
      </c>
      <c r="B248" s="4" t="s">
        <v>1471</v>
      </c>
      <c r="C248" s="4" t="s">
        <v>1472</v>
      </c>
      <c r="D248" s="4" t="s">
        <v>636</v>
      </c>
      <c r="E248" s="4">
        <v>41</v>
      </c>
      <c r="F248" s="4">
        <v>3</v>
      </c>
      <c r="G248" s="4" t="s">
        <v>11</v>
      </c>
      <c r="H248" s="4" t="s">
        <v>12</v>
      </c>
    </row>
    <row r="249" spans="1:8">
      <c r="A249" s="3" t="s">
        <v>1428</v>
      </c>
      <c r="B249" s="4" t="s">
        <v>1565</v>
      </c>
      <c r="C249" s="4" t="s">
        <v>1566</v>
      </c>
      <c r="D249" s="4" t="s">
        <v>636</v>
      </c>
      <c r="E249" s="4">
        <v>58</v>
      </c>
      <c r="F249" s="4">
        <v>3</v>
      </c>
      <c r="G249" s="4" t="s">
        <v>11</v>
      </c>
      <c r="H249" s="4" t="s">
        <v>12</v>
      </c>
    </row>
    <row r="250" spans="1:8">
      <c r="A250" s="3" t="s">
        <v>1009</v>
      </c>
      <c r="B250" s="4" t="s">
        <v>1485</v>
      </c>
      <c r="C250" s="4" t="s">
        <v>1486</v>
      </c>
      <c r="D250" s="4" t="s">
        <v>636</v>
      </c>
      <c r="E250" s="4">
        <v>42</v>
      </c>
      <c r="F250" s="4">
        <v>3</v>
      </c>
      <c r="G250" s="4" t="s">
        <v>11</v>
      </c>
      <c r="H250" s="4" t="s">
        <v>12</v>
      </c>
    </row>
    <row r="251" spans="1:8">
      <c r="A251" s="3" t="s">
        <v>1059</v>
      </c>
      <c r="B251" s="4" t="s">
        <v>1487</v>
      </c>
      <c r="C251" s="4" t="s">
        <v>1488</v>
      </c>
      <c r="D251" s="4" t="s">
        <v>636</v>
      </c>
      <c r="E251" s="4">
        <v>40</v>
      </c>
      <c r="F251" s="4">
        <v>3</v>
      </c>
      <c r="G251" s="4" t="s">
        <v>11</v>
      </c>
      <c r="H251" s="4" t="s">
        <v>12</v>
      </c>
    </row>
    <row r="252" spans="1:8">
      <c r="A252" s="3" t="s">
        <v>1059</v>
      </c>
      <c r="B252" s="4" t="s">
        <v>1489</v>
      </c>
      <c r="C252" s="4" t="s">
        <v>1490</v>
      </c>
      <c r="D252" s="4" t="s">
        <v>636</v>
      </c>
      <c r="E252" s="4">
        <v>40</v>
      </c>
      <c r="F252" s="4">
        <v>3</v>
      </c>
      <c r="G252" s="4" t="s">
        <v>11</v>
      </c>
      <c r="H252" s="4" t="s">
        <v>12</v>
      </c>
    </row>
    <row r="253" spans="1:8">
      <c r="A253" s="3" t="s">
        <v>1059</v>
      </c>
      <c r="B253" s="4" t="s">
        <v>1491</v>
      </c>
      <c r="C253" s="4" t="s">
        <v>1492</v>
      </c>
      <c r="D253" s="4" t="s">
        <v>636</v>
      </c>
      <c r="E253" s="4">
        <v>48</v>
      </c>
      <c r="F253" s="4">
        <v>3</v>
      </c>
      <c r="G253" s="4" t="s">
        <v>11</v>
      </c>
      <c r="H253" s="4" t="s">
        <v>12</v>
      </c>
    </row>
    <row r="254" spans="1:8">
      <c r="A254" s="3" t="s">
        <v>1059</v>
      </c>
      <c r="B254" s="4" t="s">
        <v>1493</v>
      </c>
      <c r="C254" s="4" t="s">
        <v>1494</v>
      </c>
      <c r="D254" s="4" t="s">
        <v>636</v>
      </c>
      <c r="E254" s="4">
        <v>55</v>
      </c>
      <c r="F254" s="4">
        <v>3</v>
      </c>
      <c r="G254" s="4" t="s">
        <v>11</v>
      </c>
      <c r="H254" s="4" t="s">
        <v>12</v>
      </c>
    </row>
    <row r="255" spans="1:8">
      <c r="A255" s="3" t="s">
        <v>1059</v>
      </c>
      <c r="B255" s="4" t="s">
        <v>1495</v>
      </c>
      <c r="C255" s="4" t="s">
        <v>1496</v>
      </c>
      <c r="D255" s="4" t="s">
        <v>636</v>
      </c>
      <c r="E255" s="4">
        <v>59</v>
      </c>
      <c r="F255" s="4">
        <v>3</v>
      </c>
      <c r="G255" s="4" t="s">
        <v>11</v>
      </c>
      <c r="H255" s="4" t="s">
        <v>12</v>
      </c>
    </row>
    <row r="256" spans="1:8">
      <c r="A256" s="3" t="s">
        <v>1054</v>
      </c>
      <c r="B256" s="4" t="s">
        <v>1483</v>
      </c>
      <c r="C256" s="4" t="s">
        <v>1484</v>
      </c>
      <c r="D256" s="4" t="s">
        <v>1727</v>
      </c>
      <c r="E256" s="4">
        <v>40</v>
      </c>
      <c r="F256" s="4">
        <v>3</v>
      </c>
      <c r="G256" s="4" t="s">
        <v>11</v>
      </c>
      <c r="H256" s="4" t="s">
        <v>12</v>
      </c>
    </row>
    <row r="257" spans="1:8">
      <c r="A257" s="3" t="s">
        <v>1054</v>
      </c>
      <c r="B257" s="4" t="s">
        <v>1375</v>
      </c>
      <c r="C257" s="4" t="s">
        <v>1376</v>
      </c>
      <c r="D257" s="4" t="s">
        <v>1727</v>
      </c>
      <c r="E257" s="4">
        <v>50</v>
      </c>
      <c r="F257" s="4">
        <v>3</v>
      </c>
      <c r="G257" s="4" t="s">
        <v>11</v>
      </c>
      <c r="H257" s="4" t="s">
        <v>12</v>
      </c>
    </row>
    <row r="258" spans="1:8">
      <c r="A258" s="3" t="s">
        <v>1054</v>
      </c>
      <c r="B258" s="4" t="s">
        <v>1593</v>
      </c>
      <c r="C258" s="4" t="s">
        <v>1594</v>
      </c>
      <c r="D258" s="4" t="s">
        <v>1727</v>
      </c>
      <c r="E258" s="4">
        <v>46</v>
      </c>
      <c r="F258" s="4">
        <v>3</v>
      </c>
      <c r="G258" s="4" t="s">
        <v>11</v>
      </c>
      <c r="H258" s="4" t="s">
        <v>12</v>
      </c>
    </row>
    <row r="259" spans="1:8">
      <c r="A259" s="3" t="s">
        <v>1054</v>
      </c>
      <c r="B259" s="4" t="s">
        <v>1379</v>
      </c>
      <c r="C259" s="4" t="s">
        <v>1380</v>
      </c>
      <c r="D259" s="4" t="s">
        <v>1727</v>
      </c>
      <c r="E259" s="4">
        <v>40</v>
      </c>
      <c r="F259" s="4">
        <v>3</v>
      </c>
      <c r="G259" s="4" t="s">
        <v>11</v>
      </c>
      <c r="H259" s="4" t="s">
        <v>12</v>
      </c>
    </row>
    <row r="260" spans="1:8">
      <c r="A260" s="3" t="s">
        <v>1054</v>
      </c>
      <c r="B260" s="4" t="s">
        <v>1459</v>
      </c>
      <c r="C260" s="4" t="s">
        <v>1460</v>
      </c>
      <c r="D260" s="4" t="s">
        <v>1727</v>
      </c>
      <c r="E260" s="4">
        <v>55</v>
      </c>
      <c r="F260" s="4">
        <v>3</v>
      </c>
      <c r="G260" s="4" t="s">
        <v>11</v>
      </c>
      <c r="H260" s="4" t="s">
        <v>12</v>
      </c>
    </row>
    <row r="261" spans="1:8">
      <c r="A261" s="3" t="s">
        <v>1054</v>
      </c>
      <c r="B261" s="4" t="s">
        <v>1385</v>
      </c>
      <c r="C261" s="4" t="s">
        <v>1386</v>
      </c>
      <c r="D261" s="4" t="s">
        <v>1727</v>
      </c>
      <c r="E261" s="4">
        <v>40</v>
      </c>
      <c r="F261" s="4">
        <v>3</v>
      </c>
      <c r="G261" s="4" t="s">
        <v>11</v>
      </c>
      <c r="H261" s="4" t="s">
        <v>12</v>
      </c>
    </row>
    <row r="262" spans="1:8">
      <c r="A262" s="3" t="s">
        <v>1200</v>
      </c>
      <c r="B262" s="4" t="s">
        <v>1595</v>
      </c>
      <c r="C262" s="4" t="s">
        <v>1596</v>
      </c>
      <c r="D262" s="4" t="s">
        <v>1727</v>
      </c>
      <c r="E262" s="4">
        <v>44</v>
      </c>
      <c r="F262" s="4">
        <v>3</v>
      </c>
      <c r="G262" s="4" t="s">
        <v>11</v>
      </c>
      <c r="H262" s="4" t="s">
        <v>12</v>
      </c>
    </row>
    <row r="263" spans="1:8">
      <c r="A263" s="3" t="s">
        <v>1200</v>
      </c>
      <c r="B263" s="4" t="s">
        <v>1205</v>
      </c>
      <c r="C263" s="4" t="s">
        <v>1206</v>
      </c>
      <c r="D263" s="4" t="s">
        <v>1727</v>
      </c>
      <c r="E263" s="4">
        <v>54</v>
      </c>
      <c r="F263" s="4">
        <v>3</v>
      </c>
      <c r="G263" s="4" t="s">
        <v>11</v>
      </c>
      <c r="H263" s="4" t="s">
        <v>12</v>
      </c>
    </row>
    <row r="264" spans="1:8">
      <c r="A264" s="3" t="s">
        <v>1200</v>
      </c>
      <c r="B264" s="4" t="s">
        <v>1207</v>
      </c>
      <c r="C264" s="4" t="s">
        <v>1208</v>
      </c>
      <c r="D264" s="4" t="s">
        <v>1727</v>
      </c>
      <c r="E264" s="4">
        <v>50</v>
      </c>
      <c r="F264" s="4">
        <v>3</v>
      </c>
      <c r="G264" s="4" t="s">
        <v>11</v>
      </c>
      <c r="H264" s="4" t="s">
        <v>12</v>
      </c>
    </row>
    <row r="265" spans="1:8">
      <c r="A265" s="3" t="s">
        <v>1200</v>
      </c>
      <c r="B265" s="4" t="s">
        <v>1728</v>
      </c>
      <c r="C265" s="4" t="s">
        <v>1729</v>
      </c>
      <c r="D265" s="4" t="s">
        <v>1727</v>
      </c>
      <c r="E265" s="4">
        <v>53</v>
      </c>
      <c r="F265" s="4">
        <v>3</v>
      </c>
      <c r="G265" s="4" t="s">
        <v>11</v>
      </c>
      <c r="H265" s="4" t="s">
        <v>12</v>
      </c>
    </row>
    <row r="266" spans="1:8">
      <c r="A266" s="3" t="s">
        <v>1200</v>
      </c>
      <c r="B266" s="4" t="s">
        <v>1301</v>
      </c>
      <c r="C266" s="4" t="s">
        <v>1302</v>
      </c>
      <c r="D266" s="4" t="s">
        <v>1727</v>
      </c>
      <c r="E266" s="4">
        <v>52</v>
      </c>
      <c r="F266" s="4">
        <v>3</v>
      </c>
      <c r="G266" s="4" t="s">
        <v>11</v>
      </c>
      <c r="H266" s="4" t="s">
        <v>12</v>
      </c>
    </row>
    <row r="267" spans="1:8">
      <c r="A267" s="3" t="s">
        <v>1200</v>
      </c>
      <c r="B267" s="4" t="s">
        <v>1730</v>
      </c>
      <c r="C267" s="4" t="s">
        <v>1731</v>
      </c>
      <c r="D267" s="4" t="s">
        <v>1727</v>
      </c>
      <c r="E267" s="4">
        <v>50</v>
      </c>
      <c r="F267" s="4">
        <v>3</v>
      </c>
      <c r="G267" s="4" t="s">
        <v>11</v>
      </c>
      <c r="H267" s="4" t="s">
        <v>12</v>
      </c>
    </row>
    <row r="268" spans="1:8">
      <c r="A268" s="3" t="s">
        <v>1184</v>
      </c>
      <c r="B268" s="4" t="s">
        <v>1570</v>
      </c>
      <c r="C268" s="4" t="s">
        <v>1571</v>
      </c>
      <c r="D268" s="4" t="s">
        <v>1727</v>
      </c>
      <c r="E268" s="4">
        <v>40</v>
      </c>
      <c r="F268" s="4">
        <v>3</v>
      </c>
      <c r="G268" s="4" t="s">
        <v>11</v>
      </c>
      <c r="H268" s="4" t="s">
        <v>12</v>
      </c>
    </row>
    <row r="269" spans="1:8">
      <c r="A269" s="3" t="s">
        <v>1184</v>
      </c>
      <c r="B269" s="4" t="s">
        <v>1387</v>
      </c>
      <c r="C269" s="4" t="s">
        <v>1388</v>
      </c>
      <c r="D269" s="4" t="s">
        <v>1727</v>
      </c>
      <c r="E269" s="4">
        <v>48</v>
      </c>
      <c r="F269" s="4">
        <v>3</v>
      </c>
      <c r="G269" s="4" t="s">
        <v>11</v>
      </c>
      <c r="H269" s="4" t="s">
        <v>12</v>
      </c>
    </row>
    <row r="270" spans="1:8">
      <c r="A270" s="3" t="s">
        <v>1184</v>
      </c>
      <c r="B270" s="4" t="s">
        <v>1389</v>
      </c>
      <c r="C270" s="4" t="s">
        <v>1390</v>
      </c>
      <c r="D270" s="4" t="s">
        <v>1727</v>
      </c>
      <c r="E270" s="4">
        <v>48</v>
      </c>
      <c r="F270" s="4">
        <v>3</v>
      </c>
      <c r="G270" s="4" t="s">
        <v>11</v>
      </c>
      <c r="H270" s="4" t="s">
        <v>12</v>
      </c>
    </row>
    <row r="271" spans="1:8">
      <c r="A271" s="3" t="s">
        <v>1184</v>
      </c>
      <c r="B271" s="4" t="s">
        <v>1517</v>
      </c>
      <c r="C271" s="4" t="s">
        <v>1518</v>
      </c>
      <c r="D271" s="4" t="s">
        <v>1727</v>
      </c>
      <c r="E271" s="4">
        <v>40</v>
      </c>
      <c r="F271" s="4">
        <v>3</v>
      </c>
      <c r="G271" s="4" t="s">
        <v>11</v>
      </c>
      <c r="H271" s="4" t="s">
        <v>12</v>
      </c>
    </row>
    <row r="272" spans="1:8">
      <c r="A272" s="3" t="s">
        <v>1184</v>
      </c>
      <c r="B272" s="4" t="s">
        <v>1519</v>
      </c>
      <c r="C272" s="4" t="s">
        <v>1520</v>
      </c>
      <c r="D272" s="4" t="s">
        <v>1727</v>
      </c>
      <c r="E272" s="4">
        <v>46</v>
      </c>
      <c r="F272" s="4">
        <v>3</v>
      </c>
      <c r="G272" s="4" t="s">
        <v>11</v>
      </c>
      <c r="H272" s="4" t="s">
        <v>12</v>
      </c>
    </row>
    <row r="273" spans="1:8">
      <c r="A273" s="3" t="s">
        <v>1184</v>
      </c>
      <c r="B273" s="4" t="s">
        <v>1185</v>
      </c>
      <c r="C273" s="4" t="s">
        <v>1186</v>
      </c>
      <c r="D273" s="4" t="s">
        <v>1727</v>
      </c>
      <c r="E273" s="4">
        <v>52</v>
      </c>
      <c r="F273" s="4">
        <v>3</v>
      </c>
      <c r="G273" s="4" t="s">
        <v>11</v>
      </c>
      <c r="H273" s="4" t="s">
        <v>12</v>
      </c>
    </row>
    <row r="274" spans="1:8">
      <c r="A274" s="3" t="s">
        <v>1184</v>
      </c>
      <c r="B274" s="4" t="s">
        <v>1521</v>
      </c>
      <c r="C274" s="4" t="s">
        <v>1522</v>
      </c>
      <c r="D274" s="4" t="s">
        <v>1727</v>
      </c>
      <c r="E274" s="4">
        <v>47</v>
      </c>
      <c r="F274" s="4">
        <v>3</v>
      </c>
      <c r="G274" s="4" t="s">
        <v>11</v>
      </c>
      <c r="H274" s="4" t="s">
        <v>12</v>
      </c>
    </row>
    <row r="275" spans="1:8">
      <c r="A275" s="3" t="s">
        <v>1184</v>
      </c>
      <c r="B275" s="4" t="s">
        <v>1391</v>
      </c>
      <c r="C275" s="4" t="s">
        <v>1392</v>
      </c>
      <c r="D275" s="4" t="s">
        <v>1727</v>
      </c>
      <c r="E275" s="4">
        <v>40</v>
      </c>
      <c r="F275" s="4">
        <v>3</v>
      </c>
      <c r="G275" s="4" t="s">
        <v>11</v>
      </c>
      <c r="H275" s="4" t="s">
        <v>12</v>
      </c>
    </row>
    <row r="276" spans="1:8">
      <c r="A276" s="3" t="s">
        <v>1184</v>
      </c>
      <c r="B276" s="4" t="s">
        <v>1732</v>
      </c>
      <c r="C276" s="4" t="s">
        <v>1733</v>
      </c>
      <c r="D276" s="4" t="s">
        <v>1727</v>
      </c>
      <c r="E276" s="4">
        <v>49</v>
      </c>
      <c r="F276" s="4">
        <v>3</v>
      </c>
      <c r="G276" s="4" t="s">
        <v>11</v>
      </c>
      <c r="H276" s="4" t="s">
        <v>12</v>
      </c>
    </row>
    <row r="277" spans="1:8">
      <c r="A277" s="3" t="s">
        <v>1184</v>
      </c>
      <c r="B277" s="4" t="s">
        <v>1523</v>
      </c>
      <c r="C277" s="4" t="s">
        <v>1524</v>
      </c>
      <c r="D277" s="4" t="s">
        <v>1727</v>
      </c>
      <c r="E277" s="4">
        <v>40</v>
      </c>
      <c r="F277" s="4">
        <v>3</v>
      </c>
      <c r="G277" s="4" t="s">
        <v>11</v>
      </c>
      <c r="H277" s="4" t="s">
        <v>12</v>
      </c>
    </row>
    <row r="278" spans="1:8">
      <c r="A278" s="3" t="s">
        <v>1184</v>
      </c>
      <c r="B278" s="4" t="s">
        <v>1461</v>
      </c>
      <c r="C278" s="4" t="s">
        <v>1462</v>
      </c>
      <c r="D278" s="4" t="s">
        <v>1727</v>
      </c>
      <c r="E278" s="4">
        <v>50</v>
      </c>
      <c r="F278" s="4">
        <v>3</v>
      </c>
      <c r="G278" s="4" t="s">
        <v>11</v>
      </c>
      <c r="H278" s="4" t="s">
        <v>12</v>
      </c>
    </row>
    <row r="279" spans="1:8">
      <c r="A279" s="3" t="s">
        <v>1054</v>
      </c>
      <c r="B279" s="4" t="s">
        <v>1483</v>
      </c>
      <c r="C279" s="4" t="s">
        <v>1484</v>
      </c>
      <c r="D279" s="4" t="s">
        <v>1695</v>
      </c>
      <c r="E279" s="4">
        <v>40</v>
      </c>
      <c r="F279" s="4">
        <v>3</v>
      </c>
      <c r="G279" s="4" t="s">
        <v>11</v>
      </c>
      <c r="H279" s="4" t="s">
        <v>12</v>
      </c>
    </row>
    <row r="280" spans="1:8">
      <c r="A280" s="3" t="s">
        <v>1054</v>
      </c>
      <c r="B280" s="4" t="s">
        <v>1718</v>
      </c>
      <c r="C280" s="4" t="s">
        <v>1719</v>
      </c>
      <c r="D280" s="4" t="s">
        <v>1695</v>
      </c>
      <c r="E280" s="4">
        <v>40</v>
      </c>
      <c r="F280" s="4">
        <v>3</v>
      </c>
      <c r="G280" s="4" t="s">
        <v>11</v>
      </c>
      <c r="H280" s="4" t="s">
        <v>12</v>
      </c>
    </row>
    <row r="281" spans="1:8">
      <c r="A281" s="3" t="s">
        <v>1054</v>
      </c>
      <c r="B281" s="4" t="s">
        <v>1369</v>
      </c>
      <c r="C281" s="4" t="s">
        <v>1370</v>
      </c>
      <c r="D281" s="4" t="s">
        <v>1695</v>
      </c>
      <c r="E281" s="4">
        <v>58</v>
      </c>
      <c r="F281" s="4">
        <v>3</v>
      </c>
      <c r="G281" s="4" t="s">
        <v>11</v>
      </c>
      <c r="H281" s="4" t="s">
        <v>12</v>
      </c>
    </row>
    <row r="282" spans="1:8">
      <c r="A282" s="3" t="s">
        <v>1054</v>
      </c>
      <c r="B282" s="4" t="s">
        <v>1371</v>
      </c>
      <c r="C282" s="4" t="s">
        <v>1372</v>
      </c>
      <c r="D282" s="4" t="s">
        <v>1695</v>
      </c>
      <c r="E282" s="4">
        <v>41</v>
      </c>
      <c r="F282" s="4">
        <v>3</v>
      </c>
      <c r="G282" s="4" t="s">
        <v>11</v>
      </c>
      <c r="H282" s="4" t="s">
        <v>12</v>
      </c>
    </row>
    <row r="283" spans="1:8">
      <c r="A283" s="3" t="s">
        <v>1054</v>
      </c>
      <c r="B283" s="4" t="s">
        <v>1720</v>
      </c>
      <c r="C283" s="4" t="s">
        <v>1600</v>
      </c>
      <c r="D283" s="4" t="s">
        <v>1695</v>
      </c>
      <c r="E283" s="4">
        <v>56</v>
      </c>
      <c r="F283" s="4">
        <v>3</v>
      </c>
      <c r="G283" s="4" t="s">
        <v>11</v>
      </c>
      <c r="H283" s="4" t="s">
        <v>12</v>
      </c>
    </row>
    <row r="284" spans="1:8">
      <c r="A284" s="3" t="s">
        <v>1054</v>
      </c>
      <c r="B284" s="4" t="s">
        <v>1375</v>
      </c>
      <c r="C284" s="4" t="s">
        <v>1376</v>
      </c>
      <c r="D284" s="4" t="s">
        <v>1695</v>
      </c>
      <c r="E284" s="4">
        <v>53</v>
      </c>
      <c r="F284" s="4">
        <v>3</v>
      </c>
      <c r="G284" s="4" t="s">
        <v>11</v>
      </c>
      <c r="H284" s="4" t="s">
        <v>12</v>
      </c>
    </row>
    <row r="285" spans="1:8">
      <c r="A285" s="3" t="s">
        <v>1054</v>
      </c>
      <c r="B285" s="4" t="s">
        <v>1721</v>
      </c>
      <c r="C285" s="4" t="s">
        <v>1722</v>
      </c>
      <c r="D285" s="4" t="s">
        <v>1695</v>
      </c>
      <c r="E285" s="4">
        <v>47</v>
      </c>
      <c r="F285" s="4">
        <v>3</v>
      </c>
      <c r="G285" s="4" t="s">
        <v>11</v>
      </c>
      <c r="H285" s="4" t="s">
        <v>12</v>
      </c>
    </row>
    <row r="286" spans="1:8">
      <c r="A286" s="3" t="s">
        <v>1054</v>
      </c>
      <c r="B286" s="4" t="s">
        <v>1377</v>
      </c>
      <c r="C286" s="4" t="s">
        <v>1378</v>
      </c>
      <c r="D286" s="4" t="s">
        <v>1695</v>
      </c>
      <c r="E286" s="4">
        <v>56</v>
      </c>
      <c r="F286" s="4">
        <v>3</v>
      </c>
      <c r="G286" s="4" t="s">
        <v>11</v>
      </c>
      <c r="H286" s="4" t="s">
        <v>12</v>
      </c>
    </row>
    <row r="287" spans="1:8">
      <c r="A287" s="3" t="s">
        <v>1054</v>
      </c>
      <c r="B287" s="4" t="s">
        <v>1057</v>
      </c>
      <c r="C287" s="4" t="s">
        <v>1058</v>
      </c>
      <c r="D287" s="4" t="s">
        <v>1695</v>
      </c>
      <c r="E287" s="4">
        <v>51</v>
      </c>
      <c r="F287" s="4">
        <v>3</v>
      </c>
      <c r="G287" s="4" t="s">
        <v>11</v>
      </c>
      <c r="H287" s="4" t="s">
        <v>12</v>
      </c>
    </row>
    <row r="288" spans="1:8">
      <c r="A288" s="3" t="s">
        <v>1054</v>
      </c>
      <c r="B288" s="4" t="s">
        <v>1723</v>
      </c>
      <c r="C288" s="4" t="s">
        <v>1724</v>
      </c>
      <c r="D288" s="4" t="s">
        <v>1695</v>
      </c>
      <c r="E288" s="4">
        <v>41</v>
      </c>
      <c r="F288" s="4">
        <v>3</v>
      </c>
      <c r="G288" s="4" t="s">
        <v>11</v>
      </c>
      <c r="H288" s="4" t="s">
        <v>12</v>
      </c>
    </row>
    <row r="289" spans="1:8">
      <c r="A289" s="3" t="s">
        <v>1054</v>
      </c>
      <c r="B289" s="4" t="s">
        <v>1381</v>
      </c>
      <c r="C289" s="4" t="s">
        <v>1382</v>
      </c>
      <c r="D289" s="4" t="s">
        <v>1695</v>
      </c>
      <c r="E289" s="4">
        <v>46</v>
      </c>
      <c r="F289" s="4">
        <v>3</v>
      </c>
      <c r="G289" s="4" t="s">
        <v>11</v>
      </c>
      <c r="H289" s="4" t="s">
        <v>12</v>
      </c>
    </row>
    <row r="290" spans="1:8">
      <c r="A290" s="3" t="s">
        <v>1054</v>
      </c>
      <c r="B290" s="4" t="s">
        <v>1725</v>
      </c>
      <c r="C290" s="4" t="s">
        <v>1726</v>
      </c>
      <c r="D290" s="4" t="s">
        <v>1695</v>
      </c>
      <c r="E290" s="4">
        <v>45</v>
      </c>
      <c r="F290" s="4">
        <v>3</v>
      </c>
      <c r="G290" s="4" t="s">
        <v>11</v>
      </c>
      <c r="H290" s="4" t="s">
        <v>12</v>
      </c>
    </row>
    <row r="291" spans="1:8">
      <c r="A291" s="3" t="s">
        <v>1054</v>
      </c>
      <c r="B291" s="4" t="s">
        <v>1383</v>
      </c>
      <c r="C291" s="4" t="s">
        <v>1384</v>
      </c>
      <c r="D291" s="4" t="s">
        <v>1695</v>
      </c>
      <c r="E291" s="4">
        <v>51</v>
      </c>
      <c r="F291" s="4">
        <v>3</v>
      </c>
      <c r="G291" s="4" t="s">
        <v>11</v>
      </c>
      <c r="H291" s="4" t="s">
        <v>12</v>
      </c>
    </row>
    <row r="292" spans="1:8">
      <c r="A292" s="3" t="s">
        <v>1054</v>
      </c>
      <c r="B292" s="4" t="s">
        <v>1459</v>
      </c>
      <c r="C292" s="4" t="s">
        <v>1460</v>
      </c>
      <c r="D292" s="4" t="s">
        <v>1695</v>
      </c>
      <c r="E292" s="4">
        <v>49</v>
      </c>
      <c r="F292" s="4">
        <v>3</v>
      </c>
      <c r="G292" s="4" t="s">
        <v>11</v>
      </c>
      <c r="H292" s="4" t="s">
        <v>12</v>
      </c>
    </row>
    <row r="293" spans="1:8">
      <c r="A293" s="3" t="s">
        <v>1200</v>
      </c>
      <c r="B293" s="4" t="s">
        <v>1595</v>
      </c>
      <c r="C293" s="4" t="s">
        <v>1596</v>
      </c>
      <c r="D293" s="4" t="s">
        <v>1695</v>
      </c>
      <c r="E293" s="4">
        <v>52</v>
      </c>
      <c r="F293" s="4">
        <v>3</v>
      </c>
      <c r="G293" s="4" t="s">
        <v>11</v>
      </c>
      <c r="H293" s="4" t="s">
        <v>12</v>
      </c>
    </row>
    <row r="294" spans="1:8">
      <c r="A294" s="3" t="s">
        <v>1200</v>
      </c>
      <c r="B294" s="4" t="s">
        <v>1441</v>
      </c>
      <c r="C294" s="4" t="s">
        <v>1442</v>
      </c>
      <c r="D294" s="4" t="s">
        <v>1695</v>
      </c>
      <c r="E294" s="4">
        <v>56</v>
      </c>
      <c r="F294" s="4">
        <v>3</v>
      </c>
      <c r="G294" s="4" t="s">
        <v>11</v>
      </c>
      <c r="H294" s="4" t="s">
        <v>12</v>
      </c>
    </row>
    <row r="295" spans="1:8">
      <c r="A295" s="3" t="s">
        <v>1200</v>
      </c>
      <c r="B295" s="4" t="s">
        <v>1201</v>
      </c>
      <c r="C295" s="4" t="s">
        <v>1202</v>
      </c>
      <c r="D295" s="4" t="s">
        <v>1695</v>
      </c>
      <c r="E295" s="4">
        <v>46</v>
      </c>
      <c r="F295" s="4">
        <v>3</v>
      </c>
      <c r="G295" s="4" t="s">
        <v>11</v>
      </c>
      <c r="H295" s="4" t="s">
        <v>12</v>
      </c>
    </row>
    <row r="296" spans="1:8">
      <c r="A296" s="3" t="s">
        <v>1200</v>
      </c>
      <c r="B296" s="4" t="s">
        <v>1203</v>
      </c>
      <c r="C296" s="4" t="s">
        <v>1204</v>
      </c>
      <c r="D296" s="4" t="s">
        <v>1695</v>
      </c>
      <c r="E296" s="4">
        <v>49</v>
      </c>
      <c r="F296" s="4">
        <v>3</v>
      </c>
      <c r="G296" s="4" t="s">
        <v>11</v>
      </c>
      <c r="H296" s="4" t="s">
        <v>12</v>
      </c>
    </row>
    <row r="297" spans="1:8">
      <c r="A297" s="3" t="s">
        <v>1200</v>
      </c>
      <c r="B297" s="4" t="s">
        <v>1211</v>
      </c>
      <c r="C297" s="4" t="s">
        <v>1212</v>
      </c>
      <c r="D297" s="4" t="s">
        <v>1695</v>
      </c>
      <c r="E297" s="4">
        <v>50</v>
      </c>
      <c r="F297" s="4">
        <v>3</v>
      </c>
      <c r="G297" s="4" t="s">
        <v>11</v>
      </c>
      <c r="H297" s="4" t="s">
        <v>12</v>
      </c>
    </row>
    <row r="298" spans="1:8">
      <c r="A298" s="3" t="s">
        <v>1200</v>
      </c>
      <c r="B298" s="4" t="s">
        <v>1301</v>
      </c>
      <c r="C298" s="4" t="s">
        <v>1302</v>
      </c>
      <c r="D298" s="4" t="s">
        <v>1695</v>
      </c>
      <c r="E298" s="4">
        <v>55</v>
      </c>
      <c r="F298" s="4">
        <v>3</v>
      </c>
      <c r="G298" s="4" t="s">
        <v>11</v>
      </c>
      <c r="H298" s="4" t="s">
        <v>12</v>
      </c>
    </row>
    <row r="299" spans="1:8">
      <c r="A299" s="3" t="s">
        <v>1184</v>
      </c>
      <c r="B299" s="4" t="s">
        <v>1704</v>
      </c>
      <c r="C299" s="4" t="s">
        <v>1705</v>
      </c>
      <c r="D299" s="4" t="s">
        <v>1695</v>
      </c>
      <c r="E299" s="4">
        <v>50</v>
      </c>
      <c r="F299" s="4">
        <v>3</v>
      </c>
      <c r="G299" s="4" t="s">
        <v>11</v>
      </c>
      <c r="H299" s="4" t="s">
        <v>12</v>
      </c>
    </row>
    <row r="300" spans="1:8">
      <c r="A300" s="3" t="s">
        <v>1184</v>
      </c>
      <c r="B300" s="4" t="s">
        <v>1570</v>
      </c>
      <c r="C300" s="4" t="s">
        <v>1571</v>
      </c>
      <c r="D300" s="4" t="s">
        <v>1695</v>
      </c>
      <c r="E300" s="4">
        <v>45</v>
      </c>
      <c r="F300" s="4">
        <v>3</v>
      </c>
      <c r="G300" s="4" t="s">
        <v>11</v>
      </c>
      <c r="H300" s="4" t="s">
        <v>12</v>
      </c>
    </row>
    <row r="301" spans="1:8">
      <c r="A301" s="3" t="s">
        <v>1184</v>
      </c>
      <c r="B301" s="4" t="s">
        <v>1185</v>
      </c>
      <c r="C301" s="4" t="s">
        <v>1186</v>
      </c>
      <c r="D301" s="4" t="s">
        <v>1695</v>
      </c>
      <c r="E301" s="4">
        <v>44</v>
      </c>
      <c r="F301" s="4">
        <v>3</v>
      </c>
      <c r="G301" s="4" t="s">
        <v>11</v>
      </c>
      <c r="H301" s="4" t="s">
        <v>12</v>
      </c>
    </row>
    <row r="302" spans="1:8">
      <c r="A302" s="3" t="s">
        <v>1184</v>
      </c>
      <c r="B302" s="4" t="s">
        <v>1521</v>
      </c>
      <c r="C302" s="4" t="s">
        <v>1522</v>
      </c>
      <c r="D302" s="4" t="s">
        <v>1695</v>
      </c>
      <c r="E302" s="4">
        <v>55</v>
      </c>
      <c r="F302" s="4">
        <v>3</v>
      </c>
      <c r="G302" s="4" t="s">
        <v>11</v>
      </c>
      <c r="H302" s="4" t="s">
        <v>12</v>
      </c>
    </row>
    <row r="303" spans="1:8">
      <c r="A303" s="3" t="s">
        <v>1184</v>
      </c>
      <c r="B303" s="4" t="s">
        <v>1706</v>
      </c>
      <c r="C303" s="4" t="s">
        <v>1707</v>
      </c>
      <c r="D303" s="4" t="s">
        <v>1695</v>
      </c>
      <c r="E303" s="4">
        <v>41</v>
      </c>
      <c r="F303" s="4">
        <v>3</v>
      </c>
      <c r="G303" s="4" t="s">
        <v>11</v>
      </c>
      <c r="H303" s="4" t="s">
        <v>12</v>
      </c>
    </row>
    <row r="304" spans="1:8">
      <c r="A304" s="3" t="s">
        <v>1184</v>
      </c>
      <c r="B304" s="4" t="s">
        <v>1189</v>
      </c>
      <c r="C304" s="4" t="s">
        <v>1190</v>
      </c>
      <c r="D304" s="4" t="s">
        <v>1695</v>
      </c>
      <c r="E304" s="4">
        <v>44</v>
      </c>
      <c r="F304" s="4">
        <v>3</v>
      </c>
      <c r="G304" s="4" t="s">
        <v>11</v>
      </c>
      <c r="H304" s="4" t="s">
        <v>12</v>
      </c>
    </row>
    <row r="305" spans="1:8">
      <c r="A305" s="3" t="s">
        <v>1184</v>
      </c>
      <c r="B305" s="4" t="s">
        <v>1708</v>
      </c>
      <c r="C305" s="4" t="s">
        <v>1709</v>
      </c>
      <c r="D305" s="4" t="s">
        <v>1695</v>
      </c>
      <c r="E305" s="4">
        <v>55</v>
      </c>
      <c r="F305" s="4">
        <v>3</v>
      </c>
      <c r="G305" s="4" t="s">
        <v>11</v>
      </c>
      <c r="H305" s="4" t="s">
        <v>12</v>
      </c>
    </row>
    <row r="306" spans="1:8">
      <c r="A306" s="3" t="s">
        <v>1184</v>
      </c>
      <c r="B306" s="4" t="s">
        <v>1710</v>
      </c>
      <c r="C306" s="4" t="s">
        <v>1711</v>
      </c>
      <c r="D306" s="4" t="s">
        <v>1695</v>
      </c>
      <c r="E306" s="4">
        <v>58</v>
      </c>
      <c r="F306" s="4">
        <v>3</v>
      </c>
      <c r="G306" s="4" t="s">
        <v>11</v>
      </c>
      <c r="H306" s="4" t="s">
        <v>12</v>
      </c>
    </row>
    <row r="307" spans="1:8">
      <c r="A307" s="3" t="s">
        <v>1184</v>
      </c>
      <c r="B307" s="4" t="s">
        <v>1712</v>
      </c>
      <c r="C307" s="4" t="s">
        <v>1713</v>
      </c>
      <c r="D307" s="4" t="s">
        <v>1695</v>
      </c>
      <c r="E307" s="4">
        <v>50</v>
      </c>
      <c r="F307" s="4">
        <v>3</v>
      </c>
      <c r="G307" s="4" t="s">
        <v>11</v>
      </c>
      <c r="H307" s="4" t="s">
        <v>12</v>
      </c>
    </row>
    <row r="308" spans="1:8">
      <c r="A308" s="3" t="s">
        <v>1184</v>
      </c>
      <c r="B308" s="4" t="s">
        <v>1714</v>
      </c>
      <c r="C308" s="4" t="s">
        <v>1715</v>
      </c>
      <c r="D308" s="4" t="s">
        <v>1695</v>
      </c>
      <c r="E308" s="4">
        <v>49</v>
      </c>
      <c r="F308" s="4">
        <v>3</v>
      </c>
      <c r="G308" s="4" t="s">
        <v>11</v>
      </c>
      <c r="H308" s="4" t="s">
        <v>12</v>
      </c>
    </row>
    <row r="309" spans="1:8">
      <c r="A309" s="3" t="s">
        <v>1184</v>
      </c>
      <c r="B309" s="4" t="s">
        <v>1716</v>
      </c>
      <c r="C309" s="4" t="s">
        <v>1717</v>
      </c>
      <c r="D309" s="4" t="s">
        <v>1695</v>
      </c>
      <c r="E309" s="4">
        <v>50</v>
      </c>
      <c r="F309" s="4">
        <v>3</v>
      </c>
      <c r="G309" s="4" t="s">
        <v>11</v>
      </c>
      <c r="H309" s="4" t="s">
        <v>12</v>
      </c>
    </row>
    <row r="310" spans="1:8">
      <c r="A310" s="3" t="s">
        <v>1184</v>
      </c>
      <c r="B310" s="4" t="s">
        <v>1393</v>
      </c>
      <c r="C310" s="4" t="s">
        <v>1394</v>
      </c>
      <c r="D310" s="4" t="s">
        <v>1695</v>
      </c>
      <c r="E310" s="4">
        <v>48</v>
      </c>
      <c r="F310" s="4">
        <v>3</v>
      </c>
      <c r="G310" s="4" t="s">
        <v>11</v>
      </c>
      <c r="H310" s="4" t="s">
        <v>12</v>
      </c>
    </row>
    <row r="311" spans="1:8">
      <c r="A311" s="3" t="s">
        <v>1083</v>
      </c>
      <c r="B311" s="4" t="s">
        <v>1693</v>
      </c>
      <c r="C311" s="4" t="s">
        <v>1694</v>
      </c>
      <c r="D311" s="4" t="s">
        <v>1695</v>
      </c>
      <c r="E311" s="4">
        <v>54</v>
      </c>
      <c r="F311" s="4">
        <v>3</v>
      </c>
      <c r="G311" s="4" t="s">
        <v>11</v>
      </c>
      <c r="H311" s="4" t="s">
        <v>12</v>
      </c>
    </row>
    <row r="312" spans="1:8">
      <c r="A312" s="3" t="s">
        <v>1083</v>
      </c>
      <c r="B312" s="4" t="s">
        <v>1696</v>
      </c>
      <c r="C312" s="4" t="s">
        <v>1697</v>
      </c>
      <c r="D312" s="4" t="s">
        <v>1695</v>
      </c>
      <c r="E312" s="4">
        <v>57</v>
      </c>
      <c r="F312" s="4">
        <v>3</v>
      </c>
      <c r="G312" s="4" t="s">
        <v>11</v>
      </c>
      <c r="H312" s="4" t="s">
        <v>12</v>
      </c>
    </row>
    <row r="313" spans="1:8">
      <c r="A313" s="3" t="s">
        <v>1083</v>
      </c>
      <c r="B313" s="4" t="s">
        <v>1698</v>
      </c>
      <c r="C313" s="4" t="s">
        <v>1699</v>
      </c>
      <c r="D313" s="4" t="s">
        <v>1695</v>
      </c>
      <c r="E313" s="4">
        <v>58</v>
      </c>
      <c r="F313" s="4">
        <v>3</v>
      </c>
      <c r="G313" s="4" t="s">
        <v>11</v>
      </c>
      <c r="H313" s="4" t="s">
        <v>12</v>
      </c>
    </row>
    <row r="314" spans="1:8">
      <c r="A314" s="3" t="s">
        <v>1083</v>
      </c>
      <c r="B314" s="4" t="s">
        <v>1700</v>
      </c>
      <c r="C314" s="4" t="s">
        <v>1701</v>
      </c>
      <c r="D314" s="4" t="s">
        <v>1695</v>
      </c>
      <c r="E314" s="4">
        <v>56</v>
      </c>
      <c r="F314" s="4">
        <v>3</v>
      </c>
      <c r="G314" s="4" t="s">
        <v>11</v>
      </c>
      <c r="H314" s="4" t="s">
        <v>12</v>
      </c>
    </row>
    <row r="315" spans="1:8">
      <c r="A315" s="3" t="s">
        <v>1083</v>
      </c>
      <c r="B315" s="4" t="s">
        <v>1399</v>
      </c>
      <c r="C315" s="4" t="s">
        <v>954</v>
      </c>
      <c r="D315" s="4" t="s">
        <v>1695</v>
      </c>
      <c r="E315" s="4">
        <v>57</v>
      </c>
      <c r="F315" s="4">
        <v>3</v>
      </c>
      <c r="G315" s="4" t="s">
        <v>11</v>
      </c>
      <c r="H315" s="4" t="s">
        <v>12</v>
      </c>
    </row>
    <row r="316" spans="1:8">
      <c r="A316" s="3" t="s">
        <v>1083</v>
      </c>
      <c r="B316" s="4" t="s">
        <v>1702</v>
      </c>
      <c r="C316" s="4" t="s">
        <v>1703</v>
      </c>
      <c r="D316" s="4" t="s">
        <v>1695</v>
      </c>
      <c r="E316" s="4">
        <v>51</v>
      </c>
      <c r="F316" s="4">
        <v>3</v>
      </c>
      <c r="G316" s="4" t="s">
        <v>11</v>
      </c>
      <c r="H316" s="4" t="s">
        <v>12</v>
      </c>
    </row>
    <row r="317" spans="1:8">
      <c r="A317" s="3" t="s">
        <v>1428</v>
      </c>
      <c r="B317" s="4" t="s">
        <v>1473</v>
      </c>
      <c r="C317" s="4" t="s">
        <v>1474</v>
      </c>
      <c r="D317" s="4" t="s">
        <v>1766</v>
      </c>
      <c r="E317" s="4">
        <v>48</v>
      </c>
      <c r="F317" s="4">
        <v>4</v>
      </c>
      <c r="G317" s="4" t="s">
        <v>11</v>
      </c>
      <c r="H317" s="4" t="s">
        <v>12</v>
      </c>
    </row>
    <row r="318" spans="1:8">
      <c r="A318" s="3" t="s">
        <v>1135</v>
      </c>
      <c r="B318" s="4" t="s">
        <v>1457</v>
      </c>
      <c r="C318" s="4" t="s">
        <v>1458</v>
      </c>
      <c r="D318" s="4" t="s">
        <v>920</v>
      </c>
      <c r="E318" s="4">
        <v>50</v>
      </c>
      <c r="F318" s="4">
        <v>2</v>
      </c>
      <c r="G318" s="4" t="s">
        <v>11</v>
      </c>
      <c r="H318" s="4" t="s">
        <v>12</v>
      </c>
    </row>
    <row r="319" spans="1:8">
      <c r="A319" s="3" t="s">
        <v>1135</v>
      </c>
      <c r="B319" s="4" t="s">
        <v>1755</v>
      </c>
      <c r="C319" s="4" t="s">
        <v>1756</v>
      </c>
      <c r="D319" s="4" t="s">
        <v>920</v>
      </c>
      <c r="E319" s="4">
        <v>58</v>
      </c>
      <c r="F319" s="4">
        <v>2</v>
      </c>
      <c r="G319" s="4" t="s">
        <v>11</v>
      </c>
      <c r="H319" s="4" t="s">
        <v>12</v>
      </c>
    </row>
    <row r="320" spans="1:8">
      <c r="A320" s="3" t="s">
        <v>1135</v>
      </c>
      <c r="B320" s="4" t="s">
        <v>1341</v>
      </c>
      <c r="C320" s="4" t="s">
        <v>1342</v>
      </c>
      <c r="D320" s="4" t="s">
        <v>920</v>
      </c>
      <c r="E320" s="4">
        <v>59</v>
      </c>
      <c r="F320" s="4">
        <v>2</v>
      </c>
      <c r="G320" s="4" t="s">
        <v>11</v>
      </c>
      <c r="H320" s="4" t="s">
        <v>12</v>
      </c>
    </row>
    <row r="321" spans="1:8">
      <c r="A321" s="3" t="s">
        <v>1135</v>
      </c>
      <c r="B321" s="4" t="s">
        <v>1757</v>
      </c>
      <c r="C321" s="4" t="s">
        <v>1758</v>
      </c>
      <c r="D321" s="4" t="s">
        <v>920</v>
      </c>
      <c r="E321" s="4">
        <v>54</v>
      </c>
      <c r="F321" s="4">
        <v>2</v>
      </c>
      <c r="G321" s="4" t="s">
        <v>11</v>
      </c>
      <c r="H321" s="4" t="s">
        <v>12</v>
      </c>
    </row>
    <row r="322" spans="1:8">
      <c r="A322" s="3" t="s">
        <v>1135</v>
      </c>
      <c r="B322" s="4" t="s">
        <v>1759</v>
      </c>
      <c r="C322" s="4" t="s">
        <v>1760</v>
      </c>
      <c r="D322" s="4" t="s">
        <v>920</v>
      </c>
      <c r="E322" s="4">
        <v>57</v>
      </c>
      <c r="F322" s="4">
        <v>2</v>
      </c>
      <c r="G322" s="4" t="s">
        <v>11</v>
      </c>
      <c r="H322" s="4" t="s">
        <v>12</v>
      </c>
    </row>
    <row r="323" spans="1:8">
      <c r="A323" s="3" t="s">
        <v>1135</v>
      </c>
      <c r="B323" s="4" t="s">
        <v>1347</v>
      </c>
      <c r="C323" s="4" t="s">
        <v>1348</v>
      </c>
      <c r="D323" s="4" t="s">
        <v>920</v>
      </c>
      <c r="E323" s="4">
        <v>57</v>
      </c>
      <c r="F323" s="4">
        <v>2</v>
      </c>
      <c r="G323" s="4" t="s">
        <v>11</v>
      </c>
      <c r="H323" s="4" t="s">
        <v>12</v>
      </c>
    </row>
    <row r="324" spans="1:8">
      <c r="A324" s="3" t="s">
        <v>1135</v>
      </c>
      <c r="B324" s="4" t="s">
        <v>1349</v>
      </c>
      <c r="C324" s="4" t="s">
        <v>1350</v>
      </c>
      <c r="D324" s="4" t="s">
        <v>920</v>
      </c>
      <c r="E324" s="4">
        <v>52</v>
      </c>
      <c r="F324" s="4">
        <v>2</v>
      </c>
      <c r="G324" s="4" t="s">
        <v>11</v>
      </c>
      <c r="H324" s="4" t="s">
        <v>12</v>
      </c>
    </row>
    <row r="325" spans="1:8">
      <c r="A325" s="3" t="s">
        <v>1428</v>
      </c>
      <c r="B325" s="4" t="s">
        <v>1749</v>
      </c>
      <c r="C325" s="4" t="s">
        <v>1750</v>
      </c>
      <c r="D325" s="4" t="s">
        <v>920</v>
      </c>
      <c r="E325" s="4">
        <v>57</v>
      </c>
      <c r="F325" s="4">
        <v>2</v>
      </c>
      <c r="G325" s="4" t="s">
        <v>11</v>
      </c>
      <c r="H325" s="4" t="s">
        <v>12</v>
      </c>
    </row>
    <row r="326" spans="1:8">
      <c r="A326" s="3" t="s">
        <v>1428</v>
      </c>
      <c r="B326" s="4" t="s">
        <v>1751</v>
      </c>
      <c r="C326" s="4" t="s">
        <v>1752</v>
      </c>
      <c r="D326" s="4" t="s">
        <v>920</v>
      </c>
      <c r="E326" s="4">
        <v>58</v>
      </c>
      <c r="F326" s="4">
        <v>2</v>
      </c>
      <c r="G326" s="4" t="s">
        <v>11</v>
      </c>
      <c r="H326" s="4" t="s">
        <v>12</v>
      </c>
    </row>
    <row r="327" spans="1:8">
      <c r="A327" s="3" t="s">
        <v>1428</v>
      </c>
      <c r="B327" s="4" t="s">
        <v>1471</v>
      </c>
      <c r="C327" s="4" t="s">
        <v>1472</v>
      </c>
      <c r="D327" s="4" t="s">
        <v>920</v>
      </c>
      <c r="E327" s="4">
        <v>40</v>
      </c>
      <c r="F327" s="4">
        <v>2</v>
      </c>
      <c r="G327" s="4" t="s">
        <v>11</v>
      </c>
      <c r="H327" s="4" t="s">
        <v>12</v>
      </c>
    </row>
    <row r="328" spans="1:8">
      <c r="A328" s="3" t="s">
        <v>1428</v>
      </c>
      <c r="B328" s="4" t="s">
        <v>1753</v>
      </c>
      <c r="C328" s="4" t="s">
        <v>1754</v>
      </c>
      <c r="D328" s="4" t="s">
        <v>920</v>
      </c>
      <c r="E328" s="4">
        <v>56</v>
      </c>
      <c r="F328" s="4">
        <v>2</v>
      </c>
      <c r="G328" s="4" t="s">
        <v>11</v>
      </c>
      <c r="H328" s="4" t="s">
        <v>12</v>
      </c>
    </row>
    <row r="329" spans="1:8">
      <c r="A329" s="3" t="s">
        <v>971</v>
      </c>
      <c r="B329" s="4" t="s">
        <v>978</v>
      </c>
      <c r="C329" s="4" t="s">
        <v>979</v>
      </c>
      <c r="D329" s="4" t="s">
        <v>1590</v>
      </c>
      <c r="E329" s="4">
        <v>50</v>
      </c>
      <c r="F329" s="4">
        <v>1</v>
      </c>
      <c r="G329" s="4" t="s">
        <v>11</v>
      </c>
      <c r="H329" s="4" t="s">
        <v>12</v>
      </c>
    </row>
    <row r="330" spans="1:8">
      <c r="A330" s="3" t="s">
        <v>971</v>
      </c>
      <c r="B330" s="4" t="s">
        <v>1285</v>
      </c>
      <c r="C330" s="4" t="s">
        <v>1286</v>
      </c>
      <c r="D330" s="4" t="s">
        <v>1590</v>
      </c>
      <c r="E330" s="4">
        <v>57</v>
      </c>
      <c r="F330" s="4">
        <v>1</v>
      </c>
      <c r="G330" s="4" t="s">
        <v>11</v>
      </c>
      <c r="H330" s="4" t="s">
        <v>12</v>
      </c>
    </row>
    <row r="331" spans="1:8">
      <c r="A331" s="3" t="s">
        <v>971</v>
      </c>
      <c r="B331" s="4" t="s">
        <v>986</v>
      </c>
      <c r="C331" s="4" t="s">
        <v>987</v>
      </c>
      <c r="D331" s="4" t="s">
        <v>1590</v>
      </c>
      <c r="E331" s="4">
        <v>48</v>
      </c>
      <c r="F331" s="4">
        <v>1</v>
      </c>
      <c r="G331" s="4" t="s">
        <v>11</v>
      </c>
      <c r="H331" s="4" t="s">
        <v>12</v>
      </c>
    </row>
    <row r="332" spans="1:8">
      <c r="A332" s="3" t="s">
        <v>971</v>
      </c>
      <c r="B332" s="4" t="s">
        <v>1287</v>
      </c>
      <c r="C332" s="4" t="s">
        <v>1288</v>
      </c>
      <c r="D332" s="4" t="s">
        <v>1590</v>
      </c>
      <c r="E332" s="4">
        <v>44</v>
      </c>
      <c r="F332" s="4">
        <v>1</v>
      </c>
      <c r="G332" s="4" t="s">
        <v>11</v>
      </c>
      <c r="H332" s="4" t="s">
        <v>12</v>
      </c>
    </row>
    <row r="333" spans="1:8">
      <c r="A333" s="3" t="s">
        <v>1171</v>
      </c>
      <c r="B333" s="4" t="s">
        <v>1174</v>
      </c>
      <c r="C333" s="4" t="s">
        <v>1175</v>
      </c>
      <c r="D333" s="4" t="s">
        <v>1590</v>
      </c>
      <c r="E333" s="4">
        <v>51</v>
      </c>
      <c r="F333" s="4">
        <v>1</v>
      </c>
      <c r="G333" s="4" t="s">
        <v>11</v>
      </c>
      <c r="H333" s="4" t="s">
        <v>12</v>
      </c>
    </row>
    <row r="334" spans="1:8">
      <c r="A334" s="3" t="s">
        <v>1171</v>
      </c>
      <c r="B334" s="4" t="s">
        <v>1591</v>
      </c>
      <c r="C334" s="4" t="s">
        <v>1592</v>
      </c>
      <c r="D334" s="4" t="s">
        <v>1590</v>
      </c>
      <c r="E334" s="4">
        <v>54</v>
      </c>
      <c r="F334" s="4">
        <v>1</v>
      </c>
      <c r="G334" s="4" t="s">
        <v>11</v>
      </c>
      <c r="H334" s="4" t="s">
        <v>12</v>
      </c>
    </row>
    <row r="335" spans="1:8">
      <c r="A335" s="3" t="s">
        <v>1171</v>
      </c>
      <c r="B335" s="4" t="s">
        <v>1178</v>
      </c>
      <c r="C335" s="4" t="s">
        <v>1179</v>
      </c>
      <c r="D335" s="4" t="s">
        <v>1590</v>
      </c>
      <c r="E335" s="4">
        <v>52</v>
      </c>
      <c r="F335" s="4">
        <v>1</v>
      </c>
      <c r="G335" s="4" t="s">
        <v>11</v>
      </c>
      <c r="H335" s="4" t="s">
        <v>12</v>
      </c>
    </row>
    <row r="336" spans="1:8">
      <c r="A336" s="3" t="s">
        <v>1171</v>
      </c>
      <c r="B336" s="4" t="s">
        <v>1481</v>
      </c>
      <c r="C336" s="4" t="s">
        <v>1482</v>
      </c>
      <c r="D336" s="4" t="s">
        <v>1590</v>
      </c>
      <c r="E336" s="4">
        <v>54</v>
      </c>
      <c r="F336" s="4">
        <v>1</v>
      </c>
      <c r="G336" s="4" t="s">
        <v>11</v>
      </c>
      <c r="H336" s="4" t="s">
        <v>12</v>
      </c>
    </row>
    <row r="337" spans="1:8">
      <c r="A337" s="3" t="s">
        <v>1171</v>
      </c>
      <c r="B337" s="4" t="s">
        <v>1182</v>
      </c>
      <c r="C337" s="4" t="s">
        <v>1183</v>
      </c>
      <c r="D337" s="4" t="s">
        <v>1590</v>
      </c>
      <c r="E337" s="4">
        <v>55</v>
      </c>
      <c r="F337" s="4">
        <v>1</v>
      </c>
      <c r="G337" s="4" t="s">
        <v>11</v>
      </c>
      <c r="H337" s="4" t="s">
        <v>12</v>
      </c>
    </row>
    <row r="338" spans="1:8">
      <c r="A338" s="3" t="s">
        <v>1064</v>
      </c>
      <c r="B338" s="4" t="s">
        <v>1073</v>
      </c>
      <c r="C338" s="4" t="s">
        <v>1074</v>
      </c>
      <c r="D338" s="4" t="s">
        <v>1590</v>
      </c>
      <c r="E338" s="4">
        <v>53</v>
      </c>
      <c r="F338" s="4">
        <v>1</v>
      </c>
      <c r="G338" s="4" t="s">
        <v>11</v>
      </c>
      <c r="H338" s="4" t="s">
        <v>12</v>
      </c>
    </row>
    <row r="339" spans="1:8">
      <c r="A339" s="3" t="s">
        <v>1020</v>
      </c>
      <c r="B339" s="4" t="s">
        <v>1543</v>
      </c>
      <c r="C339" s="4" t="s">
        <v>1544</v>
      </c>
      <c r="D339" s="4" t="s">
        <v>1590</v>
      </c>
      <c r="E339" s="4">
        <v>57</v>
      </c>
      <c r="F339" s="4">
        <v>1</v>
      </c>
      <c r="G339" s="4" t="s">
        <v>11</v>
      </c>
      <c r="H339" s="4" t="s">
        <v>12</v>
      </c>
    </row>
    <row r="340" spans="1:8">
      <c r="A340" s="3" t="s">
        <v>1020</v>
      </c>
      <c r="B340" s="4" t="s">
        <v>1021</v>
      </c>
      <c r="C340" s="4" t="s">
        <v>1022</v>
      </c>
      <c r="D340" s="4" t="s">
        <v>1590</v>
      </c>
      <c r="E340" s="4">
        <v>50</v>
      </c>
      <c r="F340" s="4">
        <v>1</v>
      </c>
      <c r="G340" s="4" t="s">
        <v>11</v>
      </c>
      <c r="H340" s="4" t="s">
        <v>12</v>
      </c>
    </row>
    <row r="341" spans="1:8">
      <c r="A341" s="3" t="s">
        <v>1020</v>
      </c>
      <c r="B341" s="4" t="s">
        <v>1261</v>
      </c>
      <c r="C341" s="4" t="s">
        <v>1262</v>
      </c>
      <c r="D341" s="4" t="s">
        <v>1590</v>
      </c>
      <c r="E341" s="4">
        <v>50</v>
      </c>
      <c r="F341" s="4">
        <v>1</v>
      </c>
      <c r="G341" s="4" t="s">
        <v>11</v>
      </c>
      <c r="H341" s="4" t="s">
        <v>12</v>
      </c>
    </row>
    <row r="342" spans="1:8">
      <c r="A342" s="3" t="s">
        <v>1020</v>
      </c>
      <c r="B342" s="4" t="s">
        <v>1545</v>
      </c>
      <c r="C342" s="4" t="s">
        <v>1546</v>
      </c>
      <c r="D342" s="4" t="s">
        <v>1590</v>
      </c>
      <c r="E342" s="4">
        <v>47</v>
      </c>
      <c r="F342" s="4">
        <v>1</v>
      </c>
      <c r="G342" s="4" t="s">
        <v>11</v>
      </c>
      <c r="H342" s="4" t="s">
        <v>12</v>
      </c>
    </row>
    <row r="343" spans="1:8">
      <c r="A343" s="3" t="s">
        <v>1020</v>
      </c>
      <c r="B343" s="4" t="s">
        <v>1269</v>
      </c>
      <c r="C343" s="4" t="s">
        <v>1270</v>
      </c>
      <c r="D343" s="4" t="s">
        <v>1590</v>
      </c>
      <c r="E343" s="4">
        <v>51</v>
      </c>
      <c r="F343" s="4">
        <v>1</v>
      </c>
      <c r="G343" s="4" t="s">
        <v>11</v>
      </c>
      <c r="H343" s="4" t="s">
        <v>12</v>
      </c>
    </row>
    <row r="344" spans="1:8">
      <c r="A344" s="3" t="s">
        <v>1144</v>
      </c>
      <c r="B344" s="4" t="s">
        <v>1159</v>
      </c>
      <c r="C344" s="4" t="s">
        <v>1160</v>
      </c>
      <c r="D344" s="4" t="s">
        <v>1590</v>
      </c>
      <c r="E344" s="4">
        <v>55</v>
      </c>
      <c r="F344" s="4">
        <v>1</v>
      </c>
      <c r="G344" s="4" t="s">
        <v>11</v>
      </c>
      <c r="H344" s="4" t="s">
        <v>12</v>
      </c>
    </row>
    <row r="345" spans="1:8">
      <c r="A345" s="3" t="s">
        <v>1144</v>
      </c>
      <c r="B345" s="4" t="s">
        <v>1169</v>
      </c>
      <c r="C345" s="4" t="s">
        <v>1170</v>
      </c>
      <c r="D345" s="4" t="s">
        <v>1590</v>
      </c>
      <c r="E345" s="4">
        <v>51</v>
      </c>
      <c r="F345" s="4">
        <v>1</v>
      </c>
      <c r="G345" s="4" t="s">
        <v>11</v>
      </c>
      <c r="H345" s="4" t="s">
        <v>12</v>
      </c>
    </row>
    <row r="346" spans="1:8">
      <c r="A346" s="3" t="s">
        <v>1054</v>
      </c>
      <c r="B346" s="4" t="s">
        <v>1593</v>
      </c>
      <c r="C346" s="4" t="s">
        <v>1594</v>
      </c>
      <c r="D346" s="4" t="s">
        <v>1590</v>
      </c>
      <c r="E346" s="4">
        <v>57</v>
      </c>
      <c r="F346" s="4">
        <v>1</v>
      </c>
      <c r="G346" s="4" t="s">
        <v>11</v>
      </c>
      <c r="H346" s="4" t="s">
        <v>12</v>
      </c>
    </row>
    <row r="347" spans="1:8">
      <c r="A347" s="3" t="s">
        <v>1200</v>
      </c>
      <c r="B347" s="4" t="s">
        <v>1595</v>
      </c>
      <c r="C347" s="4" t="s">
        <v>1596</v>
      </c>
      <c r="D347" s="4" t="s">
        <v>1590</v>
      </c>
      <c r="E347" s="4">
        <v>50</v>
      </c>
      <c r="F347" s="4">
        <v>1</v>
      </c>
      <c r="G347" s="4" t="s">
        <v>11</v>
      </c>
      <c r="H347" s="4" t="s">
        <v>12</v>
      </c>
    </row>
    <row r="348" spans="1:8">
      <c r="A348" s="3" t="s">
        <v>1200</v>
      </c>
      <c r="B348" s="4" t="s">
        <v>1597</v>
      </c>
      <c r="C348" s="4" t="s">
        <v>1598</v>
      </c>
      <c r="D348" s="4" t="s">
        <v>1590</v>
      </c>
      <c r="E348" s="4">
        <v>57</v>
      </c>
      <c r="F348" s="4">
        <v>1</v>
      </c>
      <c r="G348" s="4" t="s">
        <v>11</v>
      </c>
      <c r="H348" s="4" t="s">
        <v>12</v>
      </c>
    </row>
    <row r="349" spans="1:8">
      <c r="A349" s="3" t="s">
        <v>1200</v>
      </c>
      <c r="B349" s="4" t="s">
        <v>1207</v>
      </c>
      <c r="C349" s="4" t="s">
        <v>1208</v>
      </c>
      <c r="D349" s="4" t="s">
        <v>1590</v>
      </c>
      <c r="E349" s="4">
        <v>45</v>
      </c>
      <c r="F349" s="4">
        <v>1</v>
      </c>
      <c r="G349" s="4" t="s">
        <v>11</v>
      </c>
      <c r="H349" s="4" t="s">
        <v>12</v>
      </c>
    </row>
    <row r="350" spans="1:8">
      <c r="A350" s="3" t="s">
        <v>1217</v>
      </c>
      <c r="B350" s="4" t="s">
        <v>1599</v>
      </c>
      <c r="C350" s="4" t="s">
        <v>1600</v>
      </c>
      <c r="D350" s="4" t="s">
        <v>1590</v>
      </c>
      <c r="E350" s="4">
        <v>51</v>
      </c>
      <c r="F350" s="4">
        <v>1</v>
      </c>
      <c r="G350" s="4" t="s">
        <v>11</v>
      </c>
      <c r="H350" s="4" t="s">
        <v>12</v>
      </c>
    </row>
    <row r="351" spans="1:8">
      <c r="A351" s="3" t="s">
        <v>1217</v>
      </c>
      <c r="B351" s="4" t="s">
        <v>1561</v>
      </c>
      <c r="C351" s="4" t="s">
        <v>1562</v>
      </c>
      <c r="D351" s="4" t="s">
        <v>1590</v>
      </c>
      <c r="E351" s="4">
        <v>51</v>
      </c>
      <c r="F351" s="4">
        <v>1</v>
      </c>
      <c r="G351" s="4" t="s">
        <v>11</v>
      </c>
      <c r="H351" s="4" t="s">
        <v>12</v>
      </c>
    </row>
    <row r="352" spans="1:8">
      <c r="A352" s="3" t="s">
        <v>1217</v>
      </c>
      <c r="B352" s="4" t="s">
        <v>1410</v>
      </c>
      <c r="C352" s="4" t="s">
        <v>1411</v>
      </c>
      <c r="D352" s="4" t="s">
        <v>1590</v>
      </c>
      <c r="E352" s="4">
        <v>50</v>
      </c>
      <c r="F352" s="4">
        <v>1</v>
      </c>
      <c r="G352" s="4" t="s">
        <v>11</v>
      </c>
      <c r="H352" s="4" t="s">
        <v>12</v>
      </c>
    </row>
    <row r="353" spans="1:8">
      <c r="A353" s="3" t="s">
        <v>998</v>
      </c>
      <c r="B353" s="4" t="s">
        <v>1003</v>
      </c>
      <c r="C353" s="4" t="s">
        <v>1004</v>
      </c>
      <c r="D353" s="4" t="s">
        <v>1590</v>
      </c>
      <c r="E353" s="4">
        <v>52</v>
      </c>
      <c r="F353" s="4">
        <v>1</v>
      </c>
      <c r="G353" s="4" t="s">
        <v>11</v>
      </c>
      <c r="H353" s="4" t="s">
        <v>12</v>
      </c>
    </row>
    <row r="354" spans="1:8">
      <c r="A354" s="3" t="s">
        <v>998</v>
      </c>
      <c r="B354" s="4" t="s">
        <v>1601</v>
      </c>
      <c r="C354" s="4" t="s">
        <v>1602</v>
      </c>
      <c r="D354" s="4" t="s">
        <v>1590</v>
      </c>
      <c r="E354" s="4">
        <v>54</v>
      </c>
      <c r="F354" s="4">
        <v>1</v>
      </c>
      <c r="G354" s="4" t="s">
        <v>11</v>
      </c>
      <c r="H354" s="4" t="s">
        <v>12</v>
      </c>
    </row>
    <row r="355" spans="1:8">
      <c r="A355" s="3" t="s">
        <v>998</v>
      </c>
      <c r="B355" s="4" t="s">
        <v>1603</v>
      </c>
      <c r="C355" s="4" t="s">
        <v>1604</v>
      </c>
      <c r="D355" s="4" t="s">
        <v>1590</v>
      </c>
      <c r="E355" s="4">
        <v>54</v>
      </c>
      <c r="F355" s="4">
        <v>1</v>
      </c>
      <c r="G355" s="4" t="s">
        <v>11</v>
      </c>
      <c r="H355" s="4" t="s">
        <v>12</v>
      </c>
    </row>
    <row r="356" spans="1:8">
      <c r="A356" s="3" t="s">
        <v>998</v>
      </c>
      <c r="B356" s="4" t="s">
        <v>1578</v>
      </c>
      <c r="C356" s="4" t="s">
        <v>1579</v>
      </c>
      <c r="D356" s="4" t="s">
        <v>1590</v>
      </c>
      <c r="E356" s="4">
        <v>50</v>
      </c>
      <c r="F356" s="4">
        <v>1</v>
      </c>
      <c r="G356" s="4" t="s">
        <v>11</v>
      </c>
      <c r="H356" s="4" t="s">
        <v>12</v>
      </c>
    </row>
    <row r="357" spans="1:8">
      <c r="A357" s="3" t="s">
        <v>1191</v>
      </c>
      <c r="B357" s="4" t="s">
        <v>1192</v>
      </c>
      <c r="C357" s="4" t="s">
        <v>1193</v>
      </c>
      <c r="D357" s="4" t="s">
        <v>1590</v>
      </c>
      <c r="E357" s="4">
        <v>50</v>
      </c>
      <c r="F357" s="4">
        <v>1</v>
      </c>
      <c r="G357" s="4" t="s">
        <v>11</v>
      </c>
      <c r="H357" s="4" t="s">
        <v>12</v>
      </c>
    </row>
    <row r="358" spans="1:8">
      <c r="A358" s="3" t="s">
        <v>1191</v>
      </c>
      <c r="B358" s="4" t="s">
        <v>1329</v>
      </c>
      <c r="C358" s="4" t="s">
        <v>1330</v>
      </c>
      <c r="D358" s="4" t="s">
        <v>1590</v>
      </c>
      <c r="E358" s="4">
        <v>58</v>
      </c>
      <c r="F358" s="4">
        <v>1</v>
      </c>
      <c r="G358" s="4" t="s">
        <v>11</v>
      </c>
      <c r="H358" s="4" t="s">
        <v>12</v>
      </c>
    </row>
    <row r="359" spans="1:8">
      <c r="A359" s="3" t="s">
        <v>1231</v>
      </c>
      <c r="B359" s="4" t="s">
        <v>1238</v>
      </c>
      <c r="C359" s="4" t="s">
        <v>1239</v>
      </c>
      <c r="D359" s="4" t="s">
        <v>1590</v>
      </c>
      <c r="E359" s="4">
        <v>57</v>
      </c>
      <c r="F359" s="4">
        <v>1</v>
      </c>
      <c r="G359" s="4" t="s">
        <v>11</v>
      </c>
      <c r="H359" s="4" t="s">
        <v>12</v>
      </c>
    </row>
    <row r="360" spans="1:8">
      <c r="A360" s="3" t="s">
        <v>1102</v>
      </c>
      <c r="B360" s="4" t="s">
        <v>1129</v>
      </c>
      <c r="C360" s="4" t="s">
        <v>1130</v>
      </c>
      <c r="D360" s="4" t="s">
        <v>1590</v>
      </c>
      <c r="E360" s="4">
        <v>54</v>
      </c>
      <c r="F360" s="4">
        <v>1</v>
      </c>
      <c r="G360" s="4" t="s">
        <v>11</v>
      </c>
      <c r="H360" s="4" t="s">
        <v>12</v>
      </c>
    </row>
    <row r="361" spans="1:8">
      <c r="A361" s="3" t="s">
        <v>1135</v>
      </c>
      <c r="B361" s="4" t="s">
        <v>1140</v>
      </c>
      <c r="C361" s="4" t="s">
        <v>1141</v>
      </c>
      <c r="D361" s="4" t="s">
        <v>1590</v>
      </c>
      <c r="E361" s="4">
        <v>54</v>
      </c>
      <c r="F361" s="4">
        <v>1</v>
      </c>
      <c r="G361" s="4" t="s">
        <v>11</v>
      </c>
      <c r="H361" s="4" t="s">
        <v>12</v>
      </c>
    </row>
    <row r="362" spans="1:8">
      <c r="A362" s="3" t="s">
        <v>1009</v>
      </c>
      <c r="B362" s="4" t="s">
        <v>1018</v>
      </c>
      <c r="C362" s="4" t="s">
        <v>1019</v>
      </c>
      <c r="D362" s="4" t="s">
        <v>1590</v>
      </c>
      <c r="E362" s="4">
        <v>56</v>
      </c>
      <c r="F362" s="4">
        <v>1</v>
      </c>
      <c r="G362" s="4" t="s">
        <v>11</v>
      </c>
      <c r="H362" s="4" t="s">
        <v>12</v>
      </c>
    </row>
    <row r="363" spans="1:8">
      <c r="A363" s="3" t="s">
        <v>1009</v>
      </c>
      <c r="B363" s="4" t="s">
        <v>1605</v>
      </c>
      <c r="C363" s="4" t="s">
        <v>1606</v>
      </c>
      <c r="D363" s="4" t="s">
        <v>1590</v>
      </c>
      <c r="E363" s="4">
        <v>52</v>
      </c>
      <c r="F363" s="4">
        <v>1</v>
      </c>
      <c r="G363" s="4" t="s">
        <v>11</v>
      </c>
      <c r="H363" s="4" t="s">
        <v>12</v>
      </c>
    </row>
    <row r="364" spans="1:8">
      <c r="A364" s="3" t="s">
        <v>1059</v>
      </c>
      <c r="B364" s="4" t="s">
        <v>1607</v>
      </c>
      <c r="C364" s="4" t="s">
        <v>1608</v>
      </c>
      <c r="D364" s="4" t="s">
        <v>1590</v>
      </c>
      <c r="E364" s="4">
        <v>58</v>
      </c>
      <c r="F364" s="4">
        <v>1</v>
      </c>
      <c r="G364" s="4" t="s">
        <v>11</v>
      </c>
      <c r="H364" s="4" t="s">
        <v>12</v>
      </c>
    </row>
    <row r="365" spans="1:8">
      <c r="A365" s="3" t="s">
        <v>1059</v>
      </c>
      <c r="B365" s="4" t="s">
        <v>1609</v>
      </c>
      <c r="C365" s="4" t="s">
        <v>1610</v>
      </c>
      <c r="D365" s="4" t="s">
        <v>1590</v>
      </c>
      <c r="E365" s="4">
        <v>57</v>
      </c>
      <c r="F365" s="4">
        <v>1</v>
      </c>
      <c r="G365" s="4" t="s">
        <v>11</v>
      </c>
      <c r="H365" s="4" t="s">
        <v>12</v>
      </c>
    </row>
    <row r="366" spans="1:8">
      <c r="A366" s="3" t="s">
        <v>1059</v>
      </c>
      <c r="B366" s="4" t="s">
        <v>1611</v>
      </c>
      <c r="C366" s="4" t="s">
        <v>1612</v>
      </c>
      <c r="D366" s="4" t="s">
        <v>1590</v>
      </c>
      <c r="E366" s="4">
        <v>56</v>
      </c>
      <c r="F366" s="4">
        <v>1</v>
      </c>
      <c r="G366" s="4" t="s">
        <v>11</v>
      </c>
      <c r="H366" s="4" t="s">
        <v>12</v>
      </c>
    </row>
    <row r="367" spans="1:8">
      <c r="A367" s="3" t="s">
        <v>968</v>
      </c>
      <c r="B367" s="4" t="s">
        <v>1624</v>
      </c>
      <c r="C367" s="4" t="s">
        <v>1625</v>
      </c>
      <c r="D367" s="4" t="s">
        <v>1626</v>
      </c>
      <c r="E367" s="4">
        <v>52</v>
      </c>
      <c r="F367" s="4">
        <v>4</v>
      </c>
      <c r="G367" s="4" t="s">
        <v>11</v>
      </c>
      <c r="H367" s="4" t="s">
        <v>12</v>
      </c>
    </row>
    <row r="368" spans="1:8">
      <c r="A368" s="3" t="s">
        <v>968</v>
      </c>
      <c r="B368" s="4" t="s">
        <v>1624</v>
      </c>
      <c r="C368" s="4" t="s">
        <v>1625</v>
      </c>
      <c r="D368" s="4" t="s">
        <v>835</v>
      </c>
      <c r="E368" s="4">
        <v>52</v>
      </c>
      <c r="F368" s="4">
        <v>2</v>
      </c>
      <c r="G368" s="4" t="s">
        <v>583</v>
      </c>
      <c r="H368" s="4" t="s">
        <v>12</v>
      </c>
    </row>
    <row r="369" spans="1:8">
      <c r="A369" s="3" t="s">
        <v>968</v>
      </c>
      <c r="B369" s="4" t="s">
        <v>1624</v>
      </c>
      <c r="C369" s="4" t="s">
        <v>1625</v>
      </c>
      <c r="D369" s="4" t="s">
        <v>833</v>
      </c>
      <c r="E369" s="4">
        <v>52</v>
      </c>
      <c r="F369" s="4">
        <v>4</v>
      </c>
      <c r="G369" s="4" t="s">
        <v>11</v>
      </c>
      <c r="H369" s="4" t="s">
        <v>12</v>
      </c>
    </row>
    <row r="370" spans="1:8">
      <c r="A370" s="3" t="s">
        <v>968</v>
      </c>
      <c r="B370" s="4" t="s">
        <v>969</v>
      </c>
      <c r="C370" s="4" t="s">
        <v>970</v>
      </c>
      <c r="D370" s="4" t="s">
        <v>10</v>
      </c>
      <c r="E370" s="4">
        <v>48</v>
      </c>
      <c r="F370" s="4">
        <v>3</v>
      </c>
      <c r="G370" s="4" t="s">
        <v>11</v>
      </c>
      <c r="H370" s="4" t="s">
        <v>12</v>
      </c>
    </row>
    <row r="371" spans="1:8">
      <c r="A371" s="3" t="s">
        <v>971</v>
      </c>
      <c r="B371" s="4" t="s">
        <v>972</v>
      </c>
      <c r="C371" s="4" t="s">
        <v>973</v>
      </c>
      <c r="D371" s="4" t="s">
        <v>10</v>
      </c>
      <c r="E371" s="4">
        <v>56</v>
      </c>
      <c r="F371" s="4">
        <v>3</v>
      </c>
      <c r="G371" s="4" t="s">
        <v>11</v>
      </c>
      <c r="H371" s="4" t="s">
        <v>12</v>
      </c>
    </row>
    <row r="372" spans="1:8">
      <c r="A372" s="3" t="s">
        <v>971</v>
      </c>
      <c r="B372" s="4" t="s">
        <v>974</v>
      </c>
      <c r="C372" s="4" t="s">
        <v>975</v>
      </c>
      <c r="D372" s="4" t="s">
        <v>10</v>
      </c>
      <c r="E372" s="4">
        <v>53</v>
      </c>
      <c r="F372" s="4">
        <v>3</v>
      </c>
      <c r="G372" s="4" t="s">
        <v>11</v>
      </c>
      <c r="H372" s="4" t="s">
        <v>12</v>
      </c>
    </row>
    <row r="373" spans="1:8">
      <c r="A373" s="3" t="s">
        <v>971</v>
      </c>
      <c r="B373" s="4" t="s">
        <v>976</v>
      </c>
      <c r="C373" s="4" t="s">
        <v>977</v>
      </c>
      <c r="D373" s="4" t="s">
        <v>10</v>
      </c>
      <c r="E373" s="4">
        <v>54</v>
      </c>
      <c r="F373" s="4">
        <v>3</v>
      </c>
      <c r="G373" s="4" t="s">
        <v>11</v>
      </c>
      <c r="H373" s="4" t="s">
        <v>12</v>
      </c>
    </row>
    <row r="374" spans="1:8">
      <c r="A374" s="3" t="s">
        <v>971</v>
      </c>
      <c r="B374" s="4" t="s">
        <v>978</v>
      </c>
      <c r="C374" s="4" t="s">
        <v>979</v>
      </c>
      <c r="D374" s="4" t="s">
        <v>10</v>
      </c>
      <c r="E374" s="4">
        <v>40</v>
      </c>
      <c r="F374" s="4">
        <v>3</v>
      </c>
      <c r="G374" s="4" t="s">
        <v>11</v>
      </c>
      <c r="H374" s="4" t="s">
        <v>12</v>
      </c>
    </row>
    <row r="375" spans="1:8">
      <c r="A375" s="3" t="s">
        <v>971</v>
      </c>
      <c r="B375" s="4" t="s">
        <v>980</v>
      </c>
      <c r="C375" s="4" t="s">
        <v>981</v>
      </c>
      <c r="D375" s="4" t="s">
        <v>10</v>
      </c>
      <c r="E375" s="4">
        <v>53</v>
      </c>
      <c r="F375" s="4">
        <v>3</v>
      </c>
      <c r="G375" s="4" t="s">
        <v>11</v>
      </c>
      <c r="H375" s="4" t="s">
        <v>12</v>
      </c>
    </row>
    <row r="376" spans="1:8">
      <c r="A376" s="3" t="s">
        <v>971</v>
      </c>
      <c r="B376" s="4" t="s">
        <v>982</v>
      </c>
      <c r="C376" s="4" t="s">
        <v>983</v>
      </c>
      <c r="D376" s="4" t="s">
        <v>10</v>
      </c>
      <c r="E376" s="4">
        <v>47</v>
      </c>
      <c r="F376" s="4">
        <v>3</v>
      </c>
      <c r="G376" s="4" t="s">
        <v>11</v>
      </c>
      <c r="H376" s="4" t="s">
        <v>12</v>
      </c>
    </row>
    <row r="377" spans="1:8">
      <c r="A377" s="3" t="s">
        <v>971</v>
      </c>
      <c r="B377" s="4" t="s">
        <v>984</v>
      </c>
      <c r="C377" s="4" t="s">
        <v>985</v>
      </c>
      <c r="D377" s="4" t="s">
        <v>10</v>
      </c>
      <c r="E377" s="4">
        <v>52</v>
      </c>
      <c r="F377" s="4">
        <v>3</v>
      </c>
      <c r="G377" s="4" t="s">
        <v>11</v>
      </c>
      <c r="H377" s="4" t="s">
        <v>12</v>
      </c>
    </row>
    <row r="378" spans="1:8">
      <c r="A378" s="3" t="s">
        <v>971</v>
      </c>
      <c r="B378" s="4" t="s">
        <v>986</v>
      </c>
      <c r="C378" s="4" t="s">
        <v>987</v>
      </c>
      <c r="D378" s="4" t="s">
        <v>10</v>
      </c>
      <c r="E378" s="4">
        <v>56</v>
      </c>
      <c r="F378" s="4">
        <v>3</v>
      </c>
      <c r="G378" s="4" t="s">
        <v>11</v>
      </c>
      <c r="H378" s="4" t="s">
        <v>12</v>
      </c>
    </row>
    <row r="379" spans="1:8">
      <c r="A379" s="3" t="s">
        <v>971</v>
      </c>
      <c r="B379" s="4" t="s">
        <v>988</v>
      </c>
      <c r="C379" s="4" t="s">
        <v>989</v>
      </c>
      <c r="D379" s="4" t="s">
        <v>10</v>
      </c>
      <c r="E379" s="4">
        <v>51</v>
      </c>
      <c r="F379" s="4">
        <v>3</v>
      </c>
      <c r="G379" s="4" t="s">
        <v>11</v>
      </c>
      <c r="H379" s="4" t="s">
        <v>12</v>
      </c>
    </row>
    <row r="380" spans="1:8">
      <c r="A380" s="3" t="s">
        <v>971</v>
      </c>
      <c r="B380" s="4" t="s">
        <v>990</v>
      </c>
      <c r="C380" s="4" t="s">
        <v>991</v>
      </c>
      <c r="D380" s="4" t="s">
        <v>10</v>
      </c>
      <c r="E380" s="4">
        <v>52</v>
      </c>
      <c r="F380" s="4">
        <v>3</v>
      </c>
      <c r="G380" s="4" t="s">
        <v>11</v>
      </c>
      <c r="H380" s="4" t="s">
        <v>12</v>
      </c>
    </row>
    <row r="381" spans="1:8">
      <c r="A381" s="3" t="s">
        <v>971</v>
      </c>
      <c r="B381" s="4" t="s">
        <v>992</v>
      </c>
      <c r="C381" s="4" t="s">
        <v>993</v>
      </c>
      <c r="D381" s="4" t="s">
        <v>10</v>
      </c>
      <c r="E381" s="4">
        <v>50</v>
      </c>
      <c r="F381" s="4">
        <v>3</v>
      </c>
      <c r="G381" s="4" t="s">
        <v>11</v>
      </c>
      <c r="H381" s="4" t="s">
        <v>12</v>
      </c>
    </row>
    <row r="382" spans="1:8">
      <c r="A382" s="3" t="s">
        <v>971</v>
      </c>
      <c r="B382" s="4" t="s">
        <v>994</v>
      </c>
      <c r="C382" s="4" t="s">
        <v>995</v>
      </c>
      <c r="D382" s="4" t="s">
        <v>10</v>
      </c>
      <c r="E382" s="4">
        <v>54</v>
      </c>
      <c r="F382" s="4">
        <v>3</v>
      </c>
      <c r="G382" s="4" t="s">
        <v>11</v>
      </c>
      <c r="H382" s="4" t="s">
        <v>12</v>
      </c>
    </row>
    <row r="383" spans="1:8">
      <c r="A383" s="3" t="s">
        <v>971</v>
      </c>
      <c r="B383" s="4" t="s">
        <v>996</v>
      </c>
      <c r="C383" s="4" t="s">
        <v>997</v>
      </c>
      <c r="D383" s="4" t="s">
        <v>10</v>
      </c>
      <c r="E383" s="4">
        <v>47</v>
      </c>
      <c r="F383" s="4">
        <v>3</v>
      </c>
      <c r="G383" s="4" t="s">
        <v>11</v>
      </c>
      <c r="H383" s="4" t="s">
        <v>12</v>
      </c>
    </row>
    <row r="384" spans="1:8">
      <c r="A384" s="3" t="s">
        <v>1171</v>
      </c>
      <c r="B384" s="4" t="s">
        <v>1172</v>
      </c>
      <c r="C384" s="4" t="s">
        <v>1173</v>
      </c>
      <c r="D384" s="4" t="s">
        <v>10</v>
      </c>
      <c r="E384" s="4">
        <v>54</v>
      </c>
      <c r="F384" s="4">
        <v>3</v>
      </c>
      <c r="G384" s="4" t="s">
        <v>11</v>
      </c>
      <c r="H384" s="4" t="s">
        <v>12</v>
      </c>
    </row>
    <row r="385" spans="1:8">
      <c r="A385" s="3" t="s">
        <v>1171</v>
      </c>
      <c r="B385" s="4" t="s">
        <v>1174</v>
      </c>
      <c r="C385" s="4" t="s">
        <v>1175</v>
      </c>
      <c r="D385" s="4" t="s">
        <v>10</v>
      </c>
      <c r="E385" s="4">
        <v>56</v>
      </c>
      <c r="F385" s="4">
        <v>3</v>
      </c>
      <c r="G385" s="4" t="s">
        <v>11</v>
      </c>
      <c r="H385" s="4" t="s">
        <v>12</v>
      </c>
    </row>
    <row r="386" spans="1:8">
      <c r="A386" s="3" t="s">
        <v>1171</v>
      </c>
      <c r="B386" s="4" t="s">
        <v>1176</v>
      </c>
      <c r="C386" s="4" t="s">
        <v>1177</v>
      </c>
      <c r="D386" s="4" t="s">
        <v>10</v>
      </c>
      <c r="E386" s="4">
        <v>53</v>
      </c>
      <c r="F386" s="4">
        <v>3</v>
      </c>
      <c r="G386" s="4" t="s">
        <v>11</v>
      </c>
      <c r="H386" s="4" t="s">
        <v>12</v>
      </c>
    </row>
    <row r="387" spans="1:8">
      <c r="A387" s="3" t="s">
        <v>1171</v>
      </c>
      <c r="B387" s="4" t="s">
        <v>1178</v>
      </c>
      <c r="C387" s="4" t="s">
        <v>1179</v>
      </c>
      <c r="D387" s="4" t="s">
        <v>10</v>
      </c>
      <c r="E387" s="4">
        <v>40</v>
      </c>
      <c r="F387" s="4">
        <v>3</v>
      </c>
      <c r="G387" s="4" t="s">
        <v>11</v>
      </c>
      <c r="H387" s="4" t="s">
        <v>12</v>
      </c>
    </row>
    <row r="388" spans="1:8">
      <c r="A388" s="3" t="s">
        <v>1171</v>
      </c>
      <c r="B388" s="4" t="s">
        <v>1180</v>
      </c>
      <c r="C388" s="4" t="s">
        <v>1181</v>
      </c>
      <c r="D388" s="4" t="s">
        <v>10</v>
      </c>
      <c r="E388" s="4">
        <v>40</v>
      </c>
      <c r="F388" s="4">
        <v>3</v>
      </c>
      <c r="G388" s="4" t="s">
        <v>11</v>
      </c>
      <c r="H388" s="4" t="s">
        <v>12</v>
      </c>
    </row>
    <row r="389" spans="1:8">
      <c r="A389" s="3" t="s">
        <v>1171</v>
      </c>
      <c r="B389" s="4" t="s">
        <v>1182</v>
      </c>
      <c r="C389" s="4" t="s">
        <v>1183</v>
      </c>
      <c r="D389" s="4" t="s">
        <v>10</v>
      </c>
      <c r="E389" s="4">
        <v>52</v>
      </c>
      <c r="F389" s="4">
        <v>3</v>
      </c>
      <c r="G389" s="4" t="s">
        <v>11</v>
      </c>
      <c r="H389" s="4" t="s">
        <v>12</v>
      </c>
    </row>
    <row r="390" spans="1:8">
      <c r="A390" s="3" t="s">
        <v>1064</v>
      </c>
      <c r="B390" s="4" t="s">
        <v>1065</v>
      </c>
      <c r="C390" s="4" t="s">
        <v>1066</v>
      </c>
      <c r="D390" s="4" t="s">
        <v>10</v>
      </c>
      <c r="E390" s="4">
        <v>40</v>
      </c>
      <c r="F390" s="4">
        <v>3</v>
      </c>
      <c r="G390" s="4" t="s">
        <v>11</v>
      </c>
      <c r="H390" s="4" t="s">
        <v>12</v>
      </c>
    </row>
    <row r="391" spans="1:8">
      <c r="A391" s="3" t="s">
        <v>1064</v>
      </c>
      <c r="B391" s="4" t="s">
        <v>1067</v>
      </c>
      <c r="C391" s="4" t="s">
        <v>1068</v>
      </c>
      <c r="D391" s="4" t="s">
        <v>10</v>
      </c>
      <c r="E391" s="4">
        <v>57</v>
      </c>
      <c r="F391" s="4">
        <v>3</v>
      </c>
      <c r="G391" s="4" t="s">
        <v>11</v>
      </c>
      <c r="H391" s="4" t="s">
        <v>12</v>
      </c>
    </row>
    <row r="392" spans="1:8">
      <c r="A392" s="3" t="s">
        <v>1064</v>
      </c>
      <c r="B392" s="4" t="s">
        <v>1069</v>
      </c>
      <c r="C392" s="4" t="s">
        <v>1070</v>
      </c>
      <c r="D392" s="4" t="s">
        <v>10</v>
      </c>
      <c r="E392" s="4">
        <v>40</v>
      </c>
      <c r="F392" s="4">
        <v>3</v>
      </c>
      <c r="G392" s="4" t="s">
        <v>11</v>
      </c>
      <c r="H392" s="4" t="s">
        <v>12</v>
      </c>
    </row>
    <row r="393" spans="1:8">
      <c r="A393" s="3" t="s">
        <v>1064</v>
      </c>
      <c r="B393" s="4" t="s">
        <v>1071</v>
      </c>
      <c r="C393" s="4" t="s">
        <v>1072</v>
      </c>
      <c r="D393" s="4" t="s">
        <v>10</v>
      </c>
      <c r="E393" s="4">
        <v>55</v>
      </c>
      <c r="F393" s="4">
        <v>3</v>
      </c>
      <c r="G393" s="4" t="s">
        <v>11</v>
      </c>
      <c r="H393" s="4" t="s">
        <v>12</v>
      </c>
    </row>
    <row r="394" spans="1:8">
      <c r="A394" s="3" t="s">
        <v>1064</v>
      </c>
      <c r="B394" s="4" t="s">
        <v>1073</v>
      </c>
      <c r="C394" s="4" t="s">
        <v>1074</v>
      </c>
      <c r="D394" s="4" t="s">
        <v>10</v>
      </c>
      <c r="E394" s="4">
        <v>40</v>
      </c>
      <c r="F394" s="4">
        <v>3</v>
      </c>
      <c r="G394" s="4" t="s">
        <v>11</v>
      </c>
      <c r="H394" s="4" t="s">
        <v>12</v>
      </c>
    </row>
    <row r="395" spans="1:8">
      <c r="A395" s="3" t="s">
        <v>1064</v>
      </c>
      <c r="B395" s="4" t="s">
        <v>1075</v>
      </c>
      <c r="C395" s="4" t="s">
        <v>1076</v>
      </c>
      <c r="D395" s="4" t="s">
        <v>10</v>
      </c>
      <c r="E395" s="4">
        <v>40</v>
      </c>
      <c r="F395" s="4">
        <v>3</v>
      </c>
      <c r="G395" s="4" t="s">
        <v>11</v>
      </c>
      <c r="H395" s="4" t="s">
        <v>12</v>
      </c>
    </row>
    <row r="396" spans="1:8">
      <c r="A396" s="3" t="s">
        <v>1064</v>
      </c>
      <c r="B396" s="4" t="s">
        <v>1077</v>
      </c>
      <c r="C396" s="4" t="s">
        <v>1078</v>
      </c>
      <c r="D396" s="4" t="s">
        <v>10</v>
      </c>
      <c r="E396" s="4">
        <v>52</v>
      </c>
      <c r="F396" s="4">
        <v>3</v>
      </c>
      <c r="G396" s="4" t="s">
        <v>11</v>
      </c>
      <c r="H396" s="4" t="s">
        <v>12</v>
      </c>
    </row>
    <row r="397" spans="1:8">
      <c r="A397" s="3" t="s">
        <v>1064</v>
      </c>
      <c r="B397" s="4" t="s">
        <v>1079</v>
      </c>
      <c r="C397" s="4" t="s">
        <v>1080</v>
      </c>
      <c r="D397" s="4" t="s">
        <v>10</v>
      </c>
      <c r="E397" s="4">
        <v>40</v>
      </c>
      <c r="F397" s="4">
        <v>3</v>
      </c>
      <c r="G397" s="4" t="s">
        <v>11</v>
      </c>
      <c r="H397" s="4" t="s">
        <v>12</v>
      </c>
    </row>
    <row r="398" spans="1:8">
      <c r="A398" s="3" t="s">
        <v>1064</v>
      </c>
      <c r="B398" s="4" t="s">
        <v>1081</v>
      </c>
      <c r="C398" s="4" t="s">
        <v>1082</v>
      </c>
      <c r="D398" s="4" t="s">
        <v>10</v>
      </c>
      <c r="E398" s="4">
        <v>57</v>
      </c>
      <c r="F398" s="4">
        <v>3</v>
      </c>
      <c r="G398" s="4" t="s">
        <v>11</v>
      </c>
      <c r="H398" s="4" t="s">
        <v>12</v>
      </c>
    </row>
    <row r="399" spans="1:8">
      <c r="A399" s="3" t="s">
        <v>1020</v>
      </c>
      <c r="B399" s="4" t="s">
        <v>1021</v>
      </c>
      <c r="C399" s="4" t="s">
        <v>1022</v>
      </c>
      <c r="D399" s="4" t="s">
        <v>10</v>
      </c>
      <c r="E399" s="4">
        <v>49</v>
      </c>
      <c r="F399" s="4">
        <v>3</v>
      </c>
      <c r="G399" s="4" t="s">
        <v>11</v>
      </c>
      <c r="H399" s="4" t="s">
        <v>12</v>
      </c>
    </row>
    <row r="400" spans="1:8">
      <c r="A400" s="3" t="s">
        <v>1020</v>
      </c>
      <c r="B400" s="4" t="s">
        <v>1023</v>
      </c>
      <c r="C400" s="4" t="s">
        <v>1024</v>
      </c>
      <c r="D400" s="4" t="s">
        <v>10</v>
      </c>
      <c r="E400" s="4">
        <v>49</v>
      </c>
      <c r="F400" s="4">
        <v>3</v>
      </c>
      <c r="G400" s="4" t="s">
        <v>11</v>
      </c>
      <c r="H400" s="4" t="s">
        <v>12</v>
      </c>
    </row>
    <row r="401" spans="1:8">
      <c r="A401" s="3" t="s">
        <v>1020</v>
      </c>
      <c r="B401" s="4" t="s">
        <v>1025</v>
      </c>
      <c r="C401" s="4" t="s">
        <v>1026</v>
      </c>
      <c r="D401" s="4" t="s">
        <v>10</v>
      </c>
      <c r="E401" s="4">
        <v>50</v>
      </c>
      <c r="F401" s="4">
        <v>3</v>
      </c>
      <c r="G401" s="4" t="s">
        <v>11</v>
      </c>
      <c r="H401" s="4" t="s">
        <v>12</v>
      </c>
    </row>
    <row r="402" spans="1:8">
      <c r="A402" s="3" t="s">
        <v>1020</v>
      </c>
      <c r="B402" s="4" t="s">
        <v>1027</v>
      </c>
      <c r="C402" s="4" t="s">
        <v>1028</v>
      </c>
      <c r="D402" s="4" t="s">
        <v>10</v>
      </c>
      <c r="E402" s="4">
        <v>54</v>
      </c>
      <c r="F402" s="4">
        <v>3</v>
      </c>
      <c r="G402" s="4" t="s">
        <v>11</v>
      </c>
      <c r="H402" s="4" t="s">
        <v>12</v>
      </c>
    </row>
    <row r="403" spans="1:8">
      <c r="A403" s="3" t="s">
        <v>1020</v>
      </c>
      <c r="B403" s="4" t="s">
        <v>1029</v>
      </c>
      <c r="C403" s="4" t="s">
        <v>1030</v>
      </c>
      <c r="D403" s="4" t="s">
        <v>10</v>
      </c>
      <c r="E403" s="4">
        <v>49</v>
      </c>
      <c r="F403" s="4">
        <v>3</v>
      </c>
      <c r="G403" s="4" t="s">
        <v>11</v>
      </c>
      <c r="H403" s="4" t="s">
        <v>12</v>
      </c>
    </row>
    <row r="404" spans="1:8">
      <c r="A404" s="3" t="s">
        <v>1020</v>
      </c>
      <c r="B404" s="4" t="s">
        <v>1031</v>
      </c>
      <c r="C404" s="4" t="s">
        <v>1032</v>
      </c>
      <c r="D404" s="4" t="s">
        <v>10</v>
      </c>
      <c r="E404" s="4">
        <v>51</v>
      </c>
      <c r="F404" s="4">
        <v>3</v>
      </c>
      <c r="G404" s="4" t="s">
        <v>11</v>
      </c>
      <c r="H404" s="4" t="s">
        <v>12</v>
      </c>
    </row>
    <row r="405" spans="1:8">
      <c r="A405" s="3" t="s">
        <v>1020</v>
      </c>
      <c r="B405" s="4" t="s">
        <v>1033</v>
      </c>
      <c r="C405" s="4" t="s">
        <v>1034</v>
      </c>
      <c r="D405" s="4" t="s">
        <v>10</v>
      </c>
      <c r="E405" s="4">
        <v>40</v>
      </c>
      <c r="F405" s="4">
        <v>3</v>
      </c>
      <c r="G405" s="4" t="s">
        <v>11</v>
      </c>
      <c r="H405" s="4" t="s">
        <v>12</v>
      </c>
    </row>
    <row r="406" spans="1:8">
      <c r="A406" s="3" t="s">
        <v>1035</v>
      </c>
      <c r="B406" s="4" t="s">
        <v>1036</v>
      </c>
      <c r="C406" s="4" t="s">
        <v>1037</v>
      </c>
      <c r="D406" s="4" t="s">
        <v>10</v>
      </c>
      <c r="E406" s="4">
        <v>57</v>
      </c>
      <c r="F406" s="4">
        <v>3</v>
      </c>
      <c r="G406" s="4" t="s">
        <v>11</v>
      </c>
      <c r="H406" s="4" t="s">
        <v>12</v>
      </c>
    </row>
    <row r="407" spans="1:8">
      <c r="A407" s="3" t="s">
        <v>1035</v>
      </c>
      <c r="B407" s="4" t="s">
        <v>1038</v>
      </c>
      <c r="C407" s="4" t="s">
        <v>1039</v>
      </c>
      <c r="D407" s="4" t="s">
        <v>10</v>
      </c>
      <c r="E407" s="4">
        <v>53</v>
      </c>
      <c r="F407" s="4">
        <v>3</v>
      </c>
      <c r="G407" s="4" t="s">
        <v>11</v>
      </c>
      <c r="H407" s="4" t="s">
        <v>12</v>
      </c>
    </row>
    <row r="408" spans="1:8">
      <c r="A408" s="3" t="s">
        <v>1035</v>
      </c>
      <c r="B408" s="4" t="s">
        <v>1040</v>
      </c>
      <c r="C408" s="4" t="s">
        <v>1041</v>
      </c>
      <c r="D408" s="4" t="s">
        <v>10</v>
      </c>
      <c r="E408" s="4">
        <v>56</v>
      </c>
      <c r="F408" s="4">
        <v>3</v>
      </c>
      <c r="G408" s="4" t="s">
        <v>11</v>
      </c>
      <c r="H408" s="4" t="s">
        <v>12</v>
      </c>
    </row>
    <row r="409" spans="1:8">
      <c r="A409" s="3" t="s">
        <v>1035</v>
      </c>
      <c r="B409" s="4" t="s">
        <v>1042</v>
      </c>
      <c r="C409" s="4" t="s">
        <v>1043</v>
      </c>
      <c r="D409" s="4" t="s">
        <v>10</v>
      </c>
      <c r="E409" s="4">
        <v>52</v>
      </c>
      <c r="F409" s="4">
        <v>3</v>
      </c>
      <c r="G409" s="4" t="s">
        <v>11</v>
      </c>
      <c r="H409" s="4" t="s">
        <v>12</v>
      </c>
    </row>
    <row r="410" spans="1:8">
      <c r="A410" s="3" t="s">
        <v>1035</v>
      </c>
      <c r="B410" s="4" t="s">
        <v>1044</v>
      </c>
      <c r="C410" s="4" t="s">
        <v>1045</v>
      </c>
      <c r="D410" s="4" t="s">
        <v>10</v>
      </c>
      <c r="E410" s="4">
        <v>56</v>
      </c>
      <c r="F410" s="4">
        <v>3</v>
      </c>
      <c r="G410" s="4" t="s">
        <v>11</v>
      </c>
      <c r="H410" s="4" t="s">
        <v>12</v>
      </c>
    </row>
    <row r="411" spans="1:8">
      <c r="A411" s="3" t="s">
        <v>1035</v>
      </c>
      <c r="B411" s="4" t="s">
        <v>1046</v>
      </c>
      <c r="C411" s="4" t="s">
        <v>1047</v>
      </c>
      <c r="D411" s="4" t="s">
        <v>10</v>
      </c>
      <c r="E411" s="4">
        <v>54</v>
      </c>
      <c r="F411" s="4">
        <v>3</v>
      </c>
      <c r="G411" s="4" t="s">
        <v>11</v>
      </c>
      <c r="H411" s="4" t="s">
        <v>12</v>
      </c>
    </row>
    <row r="412" spans="1:8">
      <c r="A412" s="3" t="s">
        <v>1035</v>
      </c>
      <c r="B412" s="4" t="s">
        <v>1048</v>
      </c>
      <c r="C412" s="4" t="s">
        <v>1049</v>
      </c>
      <c r="D412" s="4" t="s">
        <v>10</v>
      </c>
      <c r="E412" s="4">
        <v>55</v>
      </c>
      <c r="F412" s="4">
        <v>3</v>
      </c>
      <c r="G412" s="4" t="s">
        <v>11</v>
      </c>
      <c r="H412" s="4" t="s">
        <v>12</v>
      </c>
    </row>
    <row r="413" spans="1:8">
      <c r="A413" s="3" t="s">
        <v>1035</v>
      </c>
      <c r="B413" s="4" t="s">
        <v>1050</v>
      </c>
      <c r="C413" s="4" t="s">
        <v>1051</v>
      </c>
      <c r="D413" s="4" t="s">
        <v>10</v>
      </c>
      <c r="E413" s="4">
        <v>55</v>
      </c>
      <c r="F413" s="4">
        <v>3</v>
      </c>
      <c r="G413" s="4" t="s">
        <v>11</v>
      </c>
      <c r="H413" s="4" t="s">
        <v>12</v>
      </c>
    </row>
    <row r="414" spans="1:8">
      <c r="A414" s="3" t="s">
        <v>1035</v>
      </c>
      <c r="B414" s="4" t="s">
        <v>1052</v>
      </c>
      <c r="C414" s="4" t="s">
        <v>1053</v>
      </c>
      <c r="D414" s="4" t="s">
        <v>10</v>
      </c>
      <c r="E414" s="4">
        <v>51</v>
      </c>
      <c r="F414" s="4">
        <v>3</v>
      </c>
      <c r="G414" s="4" t="s">
        <v>11</v>
      </c>
      <c r="H414" s="4" t="s">
        <v>12</v>
      </c>
    </row>
    <row r="415" spans="1:8">
      <c r="A415" s="3" t="s">
        <v>1144</v>
      </c>
      <c r="B415" s="4" t="s">
        <v>1145</v>
      </c>
      <c r="C415" s="4" t="s">
        <v>1146</v>
      </c>
      <c r="D415" s="4" t="s">
        <v>10</v>
      </c>
      <c r="E415" s="4">
        <v>54</v>
      </c>
      <c r="F415" s="4">
        <v>3</v>
      </c>
      <c r="G415" s="4" t="s">
        <v>11</v>
      </c>
      <c r="H415" s="4" t="s">
        <v>12</v>
      </c>
    </row>
    <row r="416" spans="1:8">
      <c r="A416" s="3" t="s">
        <v>1144</v>
      </c>
      <c r="B416" s="4" t="s">
        <v>1147</v>
      </c>
      <c r="C416" s="4" t="s">
        <v>1148</v>
      </c>
      <c r="D416" s="4" t="s">
        <v>10</v>
      </c>
      <c r="E416" s="4">
        <v>46</v>
      </c>
      <c r="F416" s="4">
        <v>3</v>
      </c>
      <c r="G416" s="4" t="s">
        <v>11</v>
      </c>
      <c r="H416" s="4" t="s">
        <v>12</v>
      </c>
    </row>
    <row r="417" spans="1:8">
      <c r="A417" s="3" t="s">
        <v>1144</v>
      </c>
      <c r="B417" s="4" t="s">
        <v>1149</v>
      </c>
      <c r="C417" s="4" t="s">
        <v>1150</v>
      </c>
      <c r="D417" s="4" t="s">
        <v>10</v>
      </c>
      <c r="E417" s="4">
        <v>40</v>
      </c>
      <c r="F417" s="4">
        <v>3</v>
      </c>
      <c r="G417" s="4" t="s">
        <v>11</v>
      </c>
      <c r="H417" s="4" t="s">
        <v>12</v>
      </c>
    </row>
    <row r="418" spans="1:8">
      <c r="A418" s="3" t="s">
        <v>1144</v>
      </c>
      <c r="B418" s="4" t="s">
        <v>1151</v>
      </c>
      <c r="C418" s="4" t="s">
        <v>1152</v>
      </c>
      <c r="D418" s="4" t="s">
        <v>10</v>
      </c>
      <c r="E418" s="4">
        <v>40</v>
      </c>
      <c r="F418" s="4">
        <v>3</v>
      </c>
      <c r="G418" s="4" t="s">
        <v>11</v>
      </c>
      <c r="H418" s="4" t="s">
        <v>12</v>
      </c>
    </row>
    <row r="419" spans="1:8">
      <c r="A419" s="3" t="s">
        <v>1144</v>
      </c>
      <c r="B419" s="4" t="s">
        <v>1153</v>
      </c>
      <c r="C419" s="4" t="s">
        <v>1154</v>
      </c>
      <c r="D419" s="4" t="s">
        <v>10</v>
      </c>
      <c r="E419" s="4">
        <v>50</v>
      </c>
      <c r="F419" s="4">
        <v>3</v>
      </c>
      <c r="G419" s="4" t="s">
        <v>11</v>
      </c>
      <c r="H419" s="4" t="s">
        <v>12</v>
      </c>
    </row>
    <row r="420" spans="1:8">
      <c r="A420" s="3" t="s">
        <v>1144</v>
      </c>
      <c r="B420" s="4" t="s">
        <v>1155</v>
      </c>
      <c r="C420" s="4" t="s">
        <v>1156</v>
      </c>
      <c r="D420" s="4" t="s">
        <v>10</v>
      </c>
      <c r="E420" s="4">
        <v>44</v>
      </c>
      <c r="F420" s="4">
        <v>3</v>
      </c>
      <c r="G420" s="4" t="s">
        <v>11</v>
      </c>
      <c r="H420" s="4" t="s">
        <v>12</v>
      </c>
    </row>
    <row r="421" spans="1:8">
      <c r="A421" s="3" t="s">
        <v>1144</v>
      </c>
      <c r="B421" s="4" t="s">
        <v>1157</v>
      </c>
      <c r="C421" s="4" t="s">
        <v>1158</v>
      </c>
      <c r="D421" s="4" t="s">
        <v>10</v>
      </c>
      <c r="E421" s="4">
        <v>40</v>
      </c>
      <c r="F421" s="4">
        <v>3</v>
      </c>
      <c r="G421" s="4" t="s">
        <v>11</v>
      </c>
      <c r="H421" s="4" t="s">
        <v>12</v>
      </c>
    </row>
    <row r="422" spans="1:8">
      <c r="A422" s="3" t="s">
        <v>1144</v>
      </c>
      <c r="B422" s="4" t="s">
        <v>1159</v>
      </c>
      <c r="C422" s="4" t="s">
        <v>1160</v>
      </c>
      <c r="D422" s="4" t="s">
        <v>10</v>
      </c>
      <c r="E422" s="4">
        <v>40</v>
      </c>
      <c r="F422" s="4">
        <v>3</v>
      </c>
      <c r="G422" s="4" t="s">
        <v>11</v>
      </c>
      <c r="H422" s="4" t="s">
        <v>12</v>
      </c>
    </row>
    <row r="423" spans="1:8">
      <c r="A423" s="3" t="s">
        <v>1144</v>
      </c>
      <c r="B423" s="4" t="s">
        <v>1161</v>
      </c>
      <c r="C423" s="4" t="s">
        <v>1162</v>
      </c>
      <c r="D423" s="4" t="s">
        <v>10</v>
      </c>
      <c r="E423" s="4">
        <v>52</v>
      </c>
      <c r="F423" s="4">
        <v>3</v>
      </c>
      <c r="G423" s="4" t="s">
        <v>11</v>
      </c>
      <c r="H423" s="4" t="s">
        <v>12</v>
      </c>
    </row>
    <row r="424" spans="1:8">
      <c r="A424" s="3" t="s">
        <v>1144</v>
      </c>
      <c r="B424" s="4" t="s">
        <v>1163</v>
      </c>
      <c r="C424" s="4" t="s">
        <v>1164</v>
      </c>
      <c r="D424" s="4" t="s">
        <v>10</v>
      </c>
      <c r="E424" s="4">
        <v>47</v>
      </c>
      <c r="F424" s="4">
        <v>3</v>
      </c>
      <c r="G424" s="4" t="s">
        <v>11</v>
      </c>
      <c r="H424" s="4" t="s">
        <v>12</v>
      </c>
    </row>
    <row r="425" spans="1:8">
      <c r="A425" s="3" t="s">
        <v>1144</v>
      </c>
      <c r="B425" s="4" t="s">
        <v>1165</v>
      </c>
      <c r="C425" s="4" t="s">
        <v>1166</v>
      </c>
      <c r="D425" s="4" t="s">
        <v>10</v>
      </c>
      <c r="E425" s="4">
        <v>41</v>
      </c>
      <c r="F425" s="4">
        <v>3</v>
      </c>
      <c r="G425" s="4" t="s">
        <v>11</v>
      </c>
      <c r="H425" s="4" t="s">
        <v>12</v>
      </c>
    </row>
    <row r="426" spans="1:8">
      <c r="A426" s="3" t="s">
        <v>1144</v>
      </c>
      <c r="B426" s="4" t="s">
        <v>1167</v>
      </c>
      <c r="C426" s="4" t="s">
        <v>1168</v>
      </c>
      <c r="D426" s="4" t="s">
        <v>10</v>
      </c>
      <c r="E426" s="4">
        <v>40</v>
      </c>
      <c r="F426" s="4">
        <v>3</v>
      </c>
      <c r="G426" s="4" t="s">
        <v>11</v>
      </c>
      <c r="H426" s="4" t="s">
        <v>12</v>
      </c>
    </row>
    <row r="427" spans="1:8">
      <c r="A427" s="3" t="s">
        <v>1144</v>
      </c>
      <c r="B427" s="4" t="s">
        <v>1169</v>
      </c>
      <c r="C427" s="4" t="s">
        <v>1170</v>
      </c>
      <c r="D427" s="4" t="s">
        <v>10</v>
      </c>
      <c r="E427" s="4">
        <v>48</v>
      </c>
      <c r="F427" s="4">
        <v>3</v>
      </c>
      <c r="G427" s="4" t="s">
        <v>11</v>
      </c>
      <c r="H427" s="4" t="s">
        <v>12</v>
      </c>
    </row>
    <row r="428" spans="1:8">
      <c r="A428" s="3" t="s">
        <v>1054</v>
      </c>
      <c r="B428" s="4" t="s">
        <v>1055</v>
      </c>
      <c r="C428" s="4" t="s">
        <v>1056</v>
      </c>
      <c r="D428" s="4" t="s">
        <v>10</v>
      </c>
      <c r="E428" s="4">
        <v>50</v>
      </c>
      <c r="F428" s="4">
        <v>3</v>
      </c>
      <c r="G428" s="4" t="s">
        <v>11</v>
      </c>
      <c r="H428" s="4" t="s">
        <v>12</v>
      </c>
    </row>
    <row r="429" spans="1:8">
      <c r="A429" s="3" t="s">
        <v>1054</v>
      </c>
      <c r="B429" s="4" t="s">
        <v>1057</v>
      </c>
      <c r="C429" s="4" t="s">
        <v>1058</v>
      </c>
      <c r="D429" s="4" t="s">
        <v>10</v>
      </c>
      <c r="E429" s="4">
        <v>48</v>
      </c>
      <c r="F429" s="4">
        <v>3</v>
      </c>
      <c r="G429" s="4" t="s">
        <v>11</v>
      </c>
      <c r="H429" s="4" t="s">
        <v>12</v>
      </c>
    </row>
    <row r="430" spans="1:8">
      <c r="A430" s="3" t="s">
        <v>1200</v>
      </c>
      <c r="B430" s="4" t="s">
        <v>1201</v>
      </c>
      <c r="C430" s="4" t="s">
        <v>1202</v>
      </c>
      <c r="D430" s="4" t="s">
        <v>10</v>
      </c>
      <c r="E430" s="4">
        <v>57</v>
      </c>
      <c r="F430" s="4">
        <v>3</v>
      </c>
      <c r="G430" s="4" t="s">
        <v>11</v>
      </c>
      <c r="H430" s="4" t="s">
        <v>12</v>
      </c>
    </row>
    <row r="431" spans="1:8">
      <c r="A431" s="3" t="s">
        <v>1200</v>
      </c>
      <c r="B431" s="4" t="s">
        <v>1203</v>
      </c>
      <c r="C431" s="4" t="s">
        <v>1204</v>
      </c>
      <c r="D431" s="4" t="s">
        <v>10</v>
      </c>
      <c r="E431" s="4">
        <v>40</v>
      </c>
      <c r="F431" s="4">
        <v>3</v>
      </c>
      <c r="G431" s="4" t="s">
        <v>11</v>
      </c>
      <c r="H431" s="4" t="s">
        <v>12</v>
      </c>
    </row>
    <row r="432" spans="1:8">
      <c r="A432" s="3" t="s">
        <v>1200</v>
      </c>
      <c r="B432" s="4" t="s">
        <v>1205</v>
      </c>
      <c r="C432" s="4" t="s">
        <v>1206</v>
      </c>
      <c r="D432" s="4" t="s">
        <v>10</v>
      </c>
      <c r="E432" s="4">
        <v>55</v>
      </c>
      <c r="F432" s="4">
        <v>3</v>
      </c>
      <c r="G432" s="4" t="s">
        <v>11</v>
      </c>
      <c r="H432" s="4" t="s">
        <v>12</v>
      </c>
    </row>
    <row r="433" spans="1:8">
      <c r="A433" s="3" t="s">
        <v>1200</v>
      </c>
      <c r="B433" s="4" t="s">
        <v>1207</v>
      </c>
      <c r="C433" s="4" t="s">
        <v>1208</v>
      </c>
      <c r="D433" s="4" t="s">
        <v>10</v>
      </c>
      <c r="E433" s="4">
        <v>53</v>
      </c>
      <c r="F433" s="4">
        <v>3</v>
      </c>
      <c r="G433" s="4" t="s">
        <v>11</v>
      </c>
      <c r="H433" s="4" t="s">
        <v>12</v>
      </c>
    </row>
    <row r="434" spans="1:8">
      <c r="A434" s="3" t="s">
        <v>1200</v>
      </c>
      <c r="B434" s="4" t="s">
        <v>1209</v>
      </c>
      <c r="C434" s="4" t="s">
        <v>1210</v>
      </c>
      <c r="D434" s="4" t="s">
        <v>10</v>
      </c>
      <c r="E434" s="4">
        <v>56</v>
      </c>
      <c r="F434" s="4">
        <v>3</v>
      </c>
      <c r="G434" s="4" t="s">
        <v>11</v>
      </c>
      <c r="H434" s="4" t="s">
        <v>12</v>
      </c>
    </row>
    <row r="435" spans="1:8">
      <c r="A435" s="3" t="s">
        <v>1200</v>
      </c>
      <c r="B435" s="4" t="s">
        <v>1211</v>
      </c>
      <c r="C435" s="4" t="s">
        <v>1212</v>
      </c>
      <c r="D435" s="4" t="s">
        <v>10</v>
      </c>
      <c r="E435" s="4">
        <v>51</v>
      </c>
      <c r="F435" s="4">
        <v>3</v>
      </c>
      <c r="G435" s="4" t="s">
        <v>11</v>
      </c>
      <c r="H435" s="4" t="s">
        <v>12</v>
      </c>
    </row>
    <row r="436" spans="1:8">
      <c r="A436" s="3" t="s">
        <v>1200</v>
      </c>
      <c r="B436" s="4" t="s">
        <v>1213</v>
      </c>
      <c r="C436" s="4" t="s">
        <v>1214</v>
      </c>
      <c r="D436" s="4" t="s">
        <v>10</v>
      </c>
      <c r="E436" s="4">
        <v>45</v>
      </c>
      <c r="F436" s="4">
        <v>3</v>
      </c>
      <c r="G436" s="4" t="s">
        <v>11</v>
      </c>
      <c r="H436" s="4" t="s">
        <v>12</v>
      </c>
    </row>
    <row r="437" spans="1:8">
      <c r="A437" s="3" t="s">
        <v>1200</v>
      </c>
      <c r="B437" s="4" t="s">
        <v>1215</v>
      </c>
      <c r="C437" s="4" t="s">
        <v>1216</v>
      </c>
      <c r="D437" s="4" t="s">
        <v>10</v>
      </c>
      <c r="E437" s="4">
        <v>57</v>
      </c>
      <c r="F437" s="4">
        <v>3</v>
      </c>
      <c r="G437" s="4" t="s">
        <v>11</v>
      </c>
      <c r="H437" s="4" t="s">
        <v>12</v>
      </c>
    </row>
    <row r="438" spans="1:8">
      <c r="A438" s="3" t="s">
        <v>1184</v>
      </c>
      <c r="B438" s="4" t="s">
        <v>1185</v>
      </c>
      <c r="C438" s="4" t="s">
        <v>1186</v>
      </c>
      <c r="D438" s="4" t="s">
        <v>10</v>
      </c>
      <c r="E438" s="4">
        <v>51</v>
      </c>
      <c r="F438" s="4">
        <v>3</v>
      </c>
      <c r="G438" s="4" t="s">
        <v>11</v>
      </c>
      <c r="H438" s="4" t="s">
        <v>12</v>
      </c>
    </row>
    <row r="439" spans="1:8">
      <c r="A439" s="3" t="s">
        <v>1184</v>
      </c>
      <c r="B439" s="4" t="s">
        <v>1187</v>
      </c>
      <c r="C439" s="4" t="s">
        <v>1188</v>
      </c>
      <c r="D439" s="4" t="s">
        <v>10</v>
      </c>
      <c r="E439" s="4">
        <v>53</v>
      </c>
      <c r="F439" s="4">
        <v>3</v>
      </c>
      <c r="G439" s="4" t="s">
        <v>11</v>
      </c>
      <c r="H439" s="4" t="s">
        <v>12</v>
      </c>
    </row>
    <row r="440" spans="1:8">
      <c r="A440" s="3" t="s">
        <v>1184</v>
      </c>
      <c r="B440" s="4" t="s">
        <v>1189</v>
      </c>
      <c r="C440" s="4" t="s">
        <v>1190</v>
      </c>
      <c r="D440" s="4" t="s">
        <v>10</v>
      </c>
      <c r="E440" s="4">
        <v>54</v>
      </c>
      <c r="F440" s="4">
        <v>3</v>
      </c>
      <c r="G440" s="4" t="s">
        <v>11</v>
      </c>
      <c r="H440" s="4" t="s">
        <v>12</v>
      </c>
    </row>
    <row r="441" spans="1:8">
      <c r="A441" s="3" t="s">
        <v>1083</v>
      </c>
      <c r="B441" s="4" t="s">
        <v>1084</v>
      </c>
      <c r="C441" s="4" t="s">
        <v>1085</v>
      </c>
      <c r="D441" s="4" t="s">
        <v>10</v>
      </c>
      <c r="E441" s="4">
        <v>42</v>
      </c>
      <c r="F441" s="4">
        <v>3</v>
      </c>
      <c r="G441" s="4" t="s">
        <v>11</v>
      </c>
      <c r="H441" s="4" t="s">
        <v>12</v>
      </c>
    </row>
    <row r="442" spans="1:8">
      <c r="A442" s="3" t="s">
        <v>1083</v>
      </c>
      <c r="B442" s="4" t="s">
        <v>1086</v>
      </c>
      <c r="C442" s="4" t="s">
        <v>1087</v>
      </c>
      <c r="D442" s="4" t="s">
        <v>10</v>
      </c>
      <c r="E442" s="4">
        <v>54</v>
      </c>
      <c r="F442" s="4">
        <v>3</v>
      </c>
      <c r="G442" s="4" t="s">
        <v>11</v>
      </c>
      <c r="H442" s="4" t="s">
        <v>12</v>
      </c>
    </row>
    <row r="443" spans="1:8">
      <c r="A443" s="3" t="s">
        <v>1083</v>
      </c>
      <c r="B443" s="4" t="s">
        <v>1088</v>
      </c>
      <c r="C443" s="4" t="s">
        <v>1089</v>
      </c>
      <c r="D443" s="4" t="s">
        <v>10</v>
      </c>
      <c r="E443" s="4">
        <v>59</v>
      </c>
      <c r="F443" s="4">
        <v>3</v>
      </c>
      <c r="G443" s="4" t="s">
        <v>11</v>
      </c>
      <c r="H443" s="4" t="s">
        <v>12</v>
      </c>
    </row>
    <row r="444" spans="1:8">
      <c r="A444" s="3" t="s">
        <v>1083</v>
      </c>
      <c r="B444" s="4" t="s">
        <v>1090</v>
      </c>
      <c r="C444" s="4" t="s">
        <v>1091</v>
      </c>
      <c r="D444" s="4" t="s">
        <v>10</v>
      </c>
      <c r="E444" s="4">
        <v>56</v>
      </c>
      <c r="F444" s="4">
        <v>3</v>
      </c>
      <c r="G444" s="4" t="s">
        <v>11</v>
      </c>
      <c r="H444" s="4" t="s">
        <v>12</v>
      </c>
    </row>
    <row r="445" spans="1:8">
      <c r="A445" s="3" t="s">
        <v>1083</v>
      </c>
      <c r="B445" s="4" t="s">
        <v>1092</v>
      </c>
      <c r="C445" s="4" t="s">
        <v>1093</v>
      </c>
      <c r="D445" s="4" t="s">
        <v>10</v>
      </c>
      <c r="E445" s="4">
        <v>53</v>
      </c>
      <c r="F445" s="4">
        <v>3</v>
      </c>
      <c r="G445" s="4" t="s">
        <v>11</v>
      </c>
      <c r="H445" s="4" t="s">
        <v>12</v>
      </c>
    </row>
    <row r="446" spans="1:8">
      <c r="A446" s="3" t="s">
        <v>1083</v>
      </c>
      <c r="B446" s="4" t="s">
        <v>1094</v>
      </c>
      <c r="C446" s="4" t="s">
        <v>1095</v>
      </c>
      <c r="D446" s="4" t="s">
        <v>10</v>
      </c>
      <c r="E446" s="4">
        <v>57</v>
      </c>
      <c r="F446" s="4">
        <v>3</v>
      </c>
      <c r="G446" s="4" t="s">
        <v>11</v>
      </c>
      <c r="H446" s="4" t="s">
        <v>12</v>
      </c>
    </row>
    <row r="447" spans="1:8">
      <c r="A447" s="3" t="s">
        <v>1083</v>
      </c>
      <c r="B447" s="4" t="s">
        <v>1096</v>
      </c>
      <c r="C447" s="4" t="s">
        <v>1097</v>
      </c>
      <c r="D447" s="4" t="s">
        <v>10</v>
      </c>
      <c r="E447" s="4">
        <v>51</v>
      </c>
      <c r="F447" s="4">
        <v>3</v>
      </c>
      <c r="G447" s="4" t="s">
        <v>11</v>
      </c>
      <c r="H447" s="4" t="s">
        <v>12</v>
      </c>
    </row>
    <row r="448" spans="1:8">
      <c r="A448" s="3" t="s">
        <v>1083</v>
      </c>
      <c r="B448" s="4" t="s">
        <v>1098</v>
      </c>
      <c r="C448" s="4" t="s">
        <v>1099</v>
      </c>
      <c r="D448" s="4" t="s">
        <v>10</v>
      </c>
      <c r="E448" s="4">
        <v>45</v>
      </c>
      <c r="F448" s="4">
        <v>3</v>
      </c>
      <c r="G448" s="4" t="s">
        <v>11</v>
      </c>
      <c r="H448" s="4" t="s">
        <v>12</v>
      </c>
    </row>
    <row r="449" spans="1:8">
      <c r="A449" s="3" t="s">
        <v>1083</v>
      </c>
      <c r="B449" s="4" t="s">
        <v>1100</v>
      </c>
      <c r="C449" s="4" t="s">
        <v>1101</v>
      </c>
      <c r="D449" s="4" t="s">
        <v>10</v>
      </c>
      <c r="E449" s="4">
        <v>45</v>
      </c>
      <c r="F449" s="4">
        <v>3</v>
      </c>
      <c r="G449" s="4" t="s">
        <v>11</v>
      </c>
      <c r="H449" s="4" t="s">
        <v>12</v>
      </c>
    </row>
    <row r="450" spans="1:8">
      <c r="A450" s="3" t="s">
        <v>1217</v>
      </c>
      <c r="B450" s="4" t="s">
        <v>1218</v>
      </c>
      <c r="C450" s="4" t="s">
        <v>1219</v>
      </c>
      <c r="D450" s="4" t="s">
        <v>10</v>
      </c>
      <c r="E450" s="4">
        <v>56</v>
      </c>
      <c r="F450" s="4">
        <v>3</v>
      </c>
      <c r="G450" s="4" t="s">
        <v>11</v>
      </c>
      <c r="H450" s="4" t="s">
        <v>12</v>
      </c>
    </row>
    <row r="451" spans="1:8">
      <c r="A451" s="3" t="s">
        <v>1217</v>
      </c>
      <c r="B451" s="4" t="s">
        <v>1220</v>
      </c>
      <c r="C451" s="4" t="s">
        <v>1221</v>
      </c>
      <c r="D451" s="4" t="s">
        <v>10</v>
      </c>
      <c r="E451" s="4">
        <v>54</v>
      </c>
      <c r="F451" s="4">
        <v>3</v>
      </c>
      <c r="G451" s="4" t="s">
        <v>11</v>
      </c>
      <c r="H451" s="4" t="s">
        <v>12</v>
      </c>
    </row>
    <row r="452" spans="1:8">
      <c r="A452" s="3" t="s">
        <v>1217</v>
      </c>
      <c r="B452" s="4" t="s">
        <v>1222</v>
      </c>
      <c r="C452" s="4" t="s">
        <v>1223</v>
      </c>
      <c r="D452" s="4" t="s">
        <v>10</v>
      </c>
      <c r="E452" s="4">
        <v>40</v>
      </c>
      <c r="F452" s="4">
        <v>3</v>
      </c>
      <c r="G452" s="4" t="s">
        <v>11</v>
      </c>
      <c r="H452" s="4" t="s">
        <v>12</v>
      </c>
    </row>
    <row r="453" spans="1:8">
      <c r="A453" s="3" t="s">
        <v>1217</v>
      </c>
      <c r="B453" s="4" t="s">
        <v>1224</v>
      </c>
      <c r="C453" s="4" t="s">
        <v>1225</v>
      </c>
      <c r="D453" s="4" t="s">
        <v>10</v>
      </c>
      <c r="E453" s="4">
        <v>56</v>
      </c>
      <c r="F453" s="4">
        <v>3</v>
      </c>
      <c r="G453" s="4" t="s">
        <v>11</v>
      </c>
      <c r="H453" s="4" t="s">
        <v>12</v>
      </c>
    </row>
    <row r="454" spans="1:8">
      <c r="A454" s="3" t="s">
        <v>1217</v>
      </c>
      <c r="B454" s="4" t="s">
        <v>1226</v>
      </c>
      <c r="C454" s="4" t="s">
        <v>1227</v>
      </c>
      <c r="D454" s="4" t="s">
        <v>10</v>
      </c>
      <c r="E454" s="4">
        <v>41</v>
      </c>
      <c r="F454" s="4">
        <v>3</v>
      </c>
      <c r="G454" s="4" t="s">
        <v>11</v>
      </c>
      <c r="H454" s="4" t="s">
        <v>12</v>
      </c>
    </row>
    <row r="455" spans="1:8">
      <c r="A455" s="3" t="s">
        <v>1217</v>
      </c>
      <c r="B455" s="4" t="s">
        <v>1228</v>
      </c>
      <c r="C455" s="4" t="s">
        <v>954</v>
      </c>
      <c r="D455" s="4" t="s">
        <v>10</v>
      </c>
      <c r="E455" s="4">
        <v>40</v>
      </c>
      <c r="F455" s="4">
        <v>3</v>
      </c>
      <c r="G455" s="4" t="s">
        <v>11</v>
      </c>
      <c r="H455" s="4" t="s">
        <v>12</v>
      </c>
    </row>
    <row r="456" spans="1:8">
      <c r="A456" s="3" t="s">
        <v>1217</v>
      </c>
      <c r="B456" s="4" t="s">
        <v>1229</v>
      </c>
      <c r="C456" s="4" t="s">
        <v>1230</v>
      </c>
      <c r="D456" s="4" t="s">
        <v>10</v>
      </c>
      <c r="E456" s="4">
        <v>50</v>
      </c>
      <c r="F456" s="4">
        <v>3</v>
      </c>
      <c r="G456" s="4" t="s">
        <v>11</v>
      </c>
      <c r="H456" s="4" t="s">
        <v>12</v>
      </c>
    </row>
    <row r="457" spans="1:8">
      <c r="A457" s="3" t="s">
        <v>998</v>
      </c>
      <c r="B457" s="4" t="s">
        <v>999</v>
      </c>
      <c r="C457" s="4" t="s">
        <v>1000</v>
      </c>
      <c r="D457" s="4" t="s">
        <v>10</v>
      </c>
      <c r="E457" s="4">
        <v>41</v>
      </c>
      <c r="F457" s="4">
        <v>3</v>
      </c>
      <c r="G457" s="4" t="s">
        <v>11</v>
      </c>
      <c r="H457" s="4" t="s">
        <v>12</v>
      </c>
    </row>
    <row r="458" spans="1:8">
      <c r="A458" s="3" t="s">
        <v>998</v>
      </c>
      <c r="B458" s="4" t="s">
        <v>1001</v>
      </c>
      <c r="C458" s="4" t="s">
        <v>1002</v>
      </c>
      <c r="D458" s="4" t="s">
        <v>10</v>
      </c>
      <c r="E458" s="4">
        <v>53</v>
      </c>
      <c r="F458" s="4">
        <v>3</v>
      </c>
      <c r="G458" s="4" t="s">
        <v>11</v>
      </c>
      <c r="H458" s="4" t="s">
        <v>12</v>
      </c>
    </row>
    <row r="459" spans="1:8">
      <c r="A459" s="3" t="s">
        <v>998</v>
      </c>
      <c r="B459" s="4" t="s">
        <v>1003</v>
      </c>
      <c r="C459" s="4" t="s">
        <v>1004</v>
      </c>
      <c r="D459" s="4" t="s">
        <v>10</v>
      </c>
      <c r="E459" s="4">
        <v>48</v>
      </c>
      <c r="F459" s="4">
        <v>3</v>
      </c>
      <c r="G459" s="4" t="s">
        <v>11</v>
      </c>
      <c r="H459" s="4" t="s">
        <v>12</v>
      </c>
    </row>
    <row r="460" spans="1:8">
      <c r="A460" s="3" t="s">
        <v>998</v>
      </c>
      <c r="B460" s="4" t="s">
        <v>1005</v>
      </c>
      <c r="C460" s="4" t="s">
        <v>1006</v>
      </c>
      <c r="D460" s="4" t="s">
        <v>10</v>
      </c>
      <c r="E460" s="4">
        <v>52</v>
      </c>
      <c r="F460" s="4">
        <v>3</v>
      </c>
      <c r="G460" s="4" t="s">
        <v>11</v>
      </c>
      <c r="H460" s="4" t="s">
        <v>12</v>
      </c>
    </row>
    <row r="461" spans="1:8">
      <c r="A461" s="3" t="s">
        <v>998</v>
      </c>
      <c r="B461" s="4" t="s">
        <v>1007</v>
      </c>
      <c r="C461" s="4" t="s">
        <v>1008</v>
      </c>
      <c r="D461" s="4" t="s">
        <v>10</v>
      </c>
      <c r="E461" s="4">
        <v>54</v>
      </c>
      <c r="F461" s="4">
        <v>3</v>
      </c>
      <c r="G461" s="4" t="s">
        <v>11</v>
      </c>
      <c r="H461" s="4" t="s">
        <v>12</v>
      </c>
    </row>
    <row r="462" spans="1:8">
      <c r="A462" s="3" t="s">
        <v>1191</v>
      </c>
      <c r="B462" s="4" t="s">
        <v>1192</v>
      </c>
      <c r="C462" s="4" t="s">
        <v>1193</v>
      </c>
      <c r="D462" s="4" t="s">
        <v>10</v>
      </c>
      <c r="E462" s="4">
        <v>55</v>
      </c>
      <c r="F462" s="4">
        <v>3</v>
      </c>
      <c r="G462" s="4" t="s">
        <v>11</v>
      </c>
      <c r="H462" s="4" t="s">
        <v>12</v>
      </c>
    </row>
    <row r="463" spans="1:8">
      <c r="A463" s="3" t="s">
        <v>1191</v>
      </c>
      <c r="B463" s="4" t="s">
        <v>1194</v>
      </c>
      <c r="C463" s="4" t="s">
        <v>1195</v>
      </c>
      <c r="D463" s="4" t="s">
        <v>10</v>
      </c>
      <c r="E463" s="4">
        <v>41</v>
      </c>
      <c r="F463" s="4">
        <v>3</v>
      </c>
      <c r="G463" s="4" t="s">
        <v>11</v>
      </c>
      <c r="H463" s="4" t="s">
        <v>12</v>
      </c>
    </row>
    <row r="464" spans="1:8">
      <c r="A464" s="3" t="s">
        <v>1191</v>
      </c>
      <c r="B464" s="4" t="s">
        <v>1196</v>
      </c>
      <c r="C464" s="4" t="s">
        <v>1197</v>
      </c>
      <c r="D464" s="4" t="s">
        <v>10</v>
      </c>
      <c r="E464" s="4">
        <v>49</v>
      </c>
      <c r="F464" s="4">
        <v>3</v>
      </c>
      <c r="G464" s="4" t="s">
        <v>11</v>
      </c>
      <c r="H464" s="4" t="s">
        <v>12</v>
      </c>
    </row>
    <row r="465" spans="1:8">
      <c r="A465" s="3" t="s">
        <v>1191</v>
      </c>
      <c r="B465" s="4" t="s">
        <v>1198</v>
      </c>
      <c r="C465" s="4" t="s">
        <v>1199</v>
      </c>
      <c r="D465" s="4" t="s">
        <v>10</v>
      </c>
      <c r="E465" s="4">
        <v>42</v>
      </c>
      <c r="F465" s="4">
        <v>3</v>
      </c>
      <c r="G465" s="4" t="s">
        <v>11</v>
      </c>
      <c r="H465" s="4" t="s">
        <v>12</v>
      </c>
    </row>
    <row r="466" spans="1:8">
      <c r="A466" s="3" t="s">
        <v>1231</v>
      </c>
      <c r="B466" s="4" t="s">
        <v>1232</v>
      </c>
      <c r="C466" s="4" t="s">
        <v>1233</v>
      </c>
      <c r="D466" s="4" t="s">
        <v>10</v>
      </c>
      <c r="E466" s="4">
        <v>55</v>
      </c>
      <c r="F466" s="4">
        <v>3</v>
      </c>
      <c r="G466" s="4" t="s">
        <v>11</v>
      </c>
      <c r="H466" s="4" t="s">
        <v>12</v>
      </c>
    </row>
    <row r="467" spans="1:8">
      <c r="A467" s="3" t="s">
        <v>1231</v>
      </c>
      <c r="B467" s="4" t="s">
        <v>1234</v>
      </c>
      <c r="C467" s="4" t="s">
        <v>1235</v>
      </c>
      <c r="D467" s="4" t="s">
        <v>10</v>
      </c>
      <c r="E467" s="4">
        <v>55</v>
      </c>
      <c r="F467" s="4">
        <v>3</v>
      </c>
      <c r="G467" s="4" t="s">
        <v>11</v>
      </c>
      <c r="H467" s="4" t="s">
        <v>12</v>
      </c>
    </row>
    <row r="468" spans="1:8">
      <c r="A468" s="3" t="s">
        <v>1231</v>
      </c>
      <c r="B468" s="4" t="s">
        <v>1236</v>
      </c>
      <c r="C468" s="4" t="s">
        <v>1237</v>
      </c>
      <c r="D468" s="4" t="s">
        <v>10</v>
      </c>
      <c r="E468" s="4">
        <v>54</v>
      </c>
      <c r="F468" s="4">
        <v>3</v>
      </c>
      <c r="G468" s="4" t="s">
        <v>11</v>
      </c>
      <c r="H468" s="4" t="s">
        <v>12</v>
      </c>
    </row>
    <row r="469" spans="1:8">
      <c r="A469" s="3" t="s">
        <v>1231</v>
      </c>
      <c r="B469" s="4" t="s">
        <v>1238</v>
      </c>
      <c r="C469" s="4" t="s">
        <v>1239</v>
      </c>
      <c r="D469" s="4" t="s">
        <v>10</v>
      </c>
      <c r="E469" s="4">
        <v>44</v>
      </c>
      <c r="F469" s="4">
        <v>3</v>
      </c>
      <c r="G469" s="4" t="s">
        <v>11</v>
      </c>
      <c r="H469" s="4" t="s">
        <v>12</v>
      </c>
    </row>
    <row r="470" spans="1:8">
      <c r="A470" s="3" t="s">
        <v>1231</v>
      </c>
      <c r="B470" s="4" t="s">
        <v>1240</v>
      </c>
      <c r="C470" s="4" t="s">
        <v>157</v>
      </c>
      <c r="D470" s="4" t="s">
        <v>10</v>
      </c>
      <c r="E470" s="4">
        <v>55</v>
      </c>
      <c r="F470" s="4">
        <v>3</v>
      </c>
      <c r="G470" s="4" t="s">
        <v>11</v>
      </c>
      <c r="H470" s="4" t="s">
        <v>12</v>
      </c>
    </row>
    <row r="471" spans="1:8">
      <c r="A471" s="3" t="s">
        <v>1231</v>
      </c>
      <c r="B471" s="4" t="s">
        <v>1241</v>
      </c>
      <c r="C471" s="4" t="s">
        <v>1242</v>
      </c>
      <c r="D471" s="4" t="s">
        <v>10</v>
      </c>
      <c r="E471" s="4">
        <v>44</v>
      </c>
      <c r="F471" s="4">
        <v>3</v>
      </c>
      <c r="G471" s="4" t="s">
        <v>11</v>
      </c>
      <c r="H471" s="4" t="s">
        <v>12</v>
      </c>
    </row>
    <row r="472" spans="1:8">
      <c r="A472" s="3" t="s">
        <v>1102</v>
      </c>
      <c r="B472" s="4" t="s">
        <v>1103</v>
      </c>
      <c r="C472" s="4" t="s">
        <v>1104</v>
      </c>
      <c r="D472" s="4" t="s">
        <v>10</v>
      </c>
      <c r="E472" s="4">
        <v>58</v>
      </c>
      <c r="F472" s="4">
        <v>3</v>
      </c>
      <c r="G472" s="4" t="s">
        <v>11</v>
      </c>
      <c r="H472" s="4" t="s">
        <v>12</v>
      </c>
    </row>
    <row r="473" spans="1:8">
      <c r="A473" s="3" t="s">
        <v>1102</v>
      </c>
      <c r="B473" s="4" t="s">
        <v>1105</v>
      </c>
      <c r="C473" s="4" t="s">
        <v>1106</v>
      </c>
      <c r="D473" s="4" t="s">
        <v>10</v>
      </c>
      <c r="E473" s="4">
        <v>45</v>
      </c>
      <c r="F473" s="4">
        <v>3</v>
      </c>
      <c r="G473" s="4" t="s">
        <v>11</v>
      </c>
      <c r="H473" s="4" t="s">
        <v>12</v>
      </c>
    </row>
    <row r="474" spans="1:8">
      <c r="A474" s="3" t="s">
        <v>1102</v>
      </c>
      <c r="B474" s="4" t="s">
        <v>1107</v>
      </c>
      <c r="C474" s="4" t="s">
        <v>1108</v>
      </c>
      <c r="D474" s="4" t="s">
        <v>10</v>
      </c>
      <c r="E474" s="4">
        <v>49</v>
      </c>
      <c r="F474" s="4">
        <v>3</v>
      </c>
      <c r="G474" s="4" t="s">
        <v>11</v>
      </c>
      <c r="H474" s="4" t="s">
        <v>12</v>
      </c>
    </row>
    <row r="475" spans="1:8">
      <c r="A475" s="3" t="s">
        <v>1102</v>
      </c>
      <c r="B475" s="4" t="s">
        <v>1109</v>
      </c>
      <c r="C475" s="4" t="s">
        <v>1110</v>
      </c>
      <c r="D475" s="4" t="s">
        <v>10</v>
      </c>
      <c r="E475" s="4">
        <v>52</v>
      </c>
      <c r="F475" s="4">
        <v>3</v>
      </c>
      <c r="G475" s="4" t="s">
        <v>11</v>
      </c>
      <c r="H475" s="4" t="s">
        <v>12</v>
      </c>
    </row>
    <row r="476" spans="1:8">
      <c r="A476" s="3" t="s">
        <v>1102</v>
      </c>
      <c r="B476" s="4" t="s">
        <v>1111</v>
      </c>
      <c r="C476" s="4" t="s">
        <v>1112</v>
      </c>
      <c r="D476" s="4" t="s">
        <v>10</v>
      </c>
      <c r="E476" s="4">
        <v>58</v>
      </c>
      <c r="F476" s="4">
        <v>3</v>
      </c>
      <c r="G476" s="4" t="s">
        <v>11</v>
      </c>
      <c r="H476" s="4" t="s">
        <v>12</v>
      </c>
    </row>
    <row r="477" spans="1:8">
      <c r="A477" s="3" t="s">
        <v>1102</v>
      </c>
      <c r="B477" s="4" t="s">
        <v>1113</v>
      </c>
      <c r="C477" s="4" t="s">
        <v>1114</v>
      </c>
      <c r="D477" s="4" t="s">
        <v>10</v>
      </c>
      <c r="E477" s="4">
        <v>53</v>
      </c>
      <c r="F477" s="4">
        <v>3</v>
      </c>
      <c r="G477" s="4" t="s">
        <v>11</v>
      </c>
      <c r="H477" s="4" t="s">
        <v>12</v>
      </c>
    </row>
    <row r="478" spans="1:8">
      <c r="A478" s="3" t="s">
        <v>1102</v>
      </c>
      <c r="B478" s="4" t="s">
        <v>1115</v>
      </c>
      <c r="C478" s="4" t="s">
        <v>1116</v>
      </c>
      <c r="D478" s="4" t="s">
        <v>10</v>
      </c>
      <c r="E478" s="4">
        <v>43</v>
      </c>
      <c r="F478" s="4">
        <v>3</v>
      </c>
      <c r="G478" s="4" t="s">
        <v>11</v>
      </c>
      <c r="H478" s="4" t="s">
        <v>12</v>
      </c>
    </row>
    <row r="479" spans="1:8">
      <c r="A479" s="3" t="s">
        <v>1102</v>
      </c>
      <c r="B479" s="4" t="s">
        <v>1117</v>
      </c>
      <c r="C479" s="4" t="s">
        <v>1118</v>
      </c>
      <c r="D479" s="4" t="s">
        <v>10</v>
      </c>
      <c r="E479" s="4">
        <v>40</v>
      </c>
      <c r="F479" s="4">
        <v>3</v>
      </c>
      <c r="G479" s="4" t="s">
        <v>11</v>
      </c>
      <c r="H479" s="4" t="s">
        <v>12</v>
      </c>
    </row>
    <row r="480" spans="1:8">
      <c r="A480" s="3" t="s">
        <v>1102</v>
      </c>
      <c r="B480" s="4" t="s">
        <v>1119</v>
      </c>
      <c r="C480" s="4" t="s">
        <v>1120</v>
      </c>
      <c r="D480" s="4" t="s">
        <v>10</v>
      </c>
      <c r="E480" s="4">
        <v>45</v>
      </c>
      <c r="F480" s="4">
        <v>3</v>
      </c>
      <c r="G480" s="4" t="s">
        <v>11</v>
      </c>
      <c r="H480" s="4" t="s">
        <v>12</v>
      </c>
    </row>
    <row r="481" spans="1:8">
      <c r="A481" s="3" t="s">
        <v>1102</v>
      </c>
      <c r="B481" s="4" t="s">
        <v>1121</v>
      </c>
      <c r="C481" s="4" t="s">
        <v>1122</v>
      </c>
      <c r="D481" s="4" t="s">
        <v>10</v>
      </c>
      <c r="E481" s="4">
        <v>50</v>
      </c>
      <c r="F481" s="4">
        <v>3</v>
      </c>
      <c r="G481" s="4" t="s">
        <v>11</v>
      </c>
      <c r="H481" s="4" t="s">
        <v>12</v>
      </c>
    </row>
    <row r="482" spans="1:8">
      <c r="A482" s="3" t="s">
        <v>1102</v>
      </c>
      <c r="B482" s="4" t="s">
        <v>1123</v>
      </c>
      <c r="C482" s="4" t="s">
        <v>1124</v>
      </c>
      <c r="D482" s="4" t="s">
        <v>10</v>
      </c>
      <c r="E482" s="4">
        <v>43</v>
      </c>
      <c r="F482" s="4">
        <v>3</v>
      </c>
      <c r="G482" s="4" t="s">
        <v>11</v>
      </c>
      <c r="H482" s="4" t="s">
        <v>12</v>
      </c>
    </row>
    <row r="483" spans="1:8">
      <c r="A483" s="3" t="s">
        <v>1102</v>
      </c>
      <c r="B483" s="4" t="s">
        <v>1125</v>
      </c>
      <c r="C483" s="4" t="s">
        <v>1126</v>
      </c>
      <c r="D483" s="4" t="s">
        <v>10</v>
      </c>
      <c r="E483" s="4">
        <v>56</v>
      </c>
      <c r="F483" s="4">
        <v>3</v>
      </c>
      <c r="G483" s="4" t="s">
        <v>11</v>
      </c>
      <c r="H483" s="4" t="s">
        <v>12</v>
      </c>
    </row>
    <row r="484" spans="1:8">
      <c r="A484" s="3" t="s">
        <v>1102</v>
      </c>
      <c r="B484" s="4" t="s">
        <v>1127</v>
      </c>
      <c r="C484" s="4" t="s">
        <v>1128</v>
      </c>
      <c r="D484" s="4" t="s">
        <v>10</v>
      </c>
      <c r="E484" s="4">
        <v>52</v>
      </c>
      <c r="F484" s="4">
        <v>3</v>
      </c>
      <c r="G484" s="4" t="s">
        <v>11</v>
      </c>
      <c r="H484" s="4" t="s">
        <v>12</v>
      </c>
    </row>
    <row r="485" spans="1:8">
      <c r="A485" s="3" t="s">
        <v>1102</v>
      </c>
      <c r="B485" s="4" t="s">
        <v>1129</v>
      </c>
      <c r="C485" s="4" t="s">
        <v>1130</v>
      </c>
      <c r="D485" s="4" t="s">
        <v>10</v>
      </c>
      <c r="E485" s="4">
        <v>43</v>
      </c>
      <c r="F485" s="4">
        <v>3</v>
      </c>
      <c r="G485" s="4" t="s">
        <v>11</v>
      </c>
      <c r="H485" s="4" t="s">
        <v>12</v>
      </c>
    </row>
    <row r="486" spans="1:8">
      <c r="A486" s="3" t="s">
        <v>1102</v>
      </c>
      <c r="B486" s="4" t="s">
        <v>1131</v>
      </c>
      <c r="C486" s="4" t="s">
        <v>1132</v>
      </c>
      <c r="D486" s="4" t="s">
        <v>10</v>
      </c>
      <c r="E486" s="4">
        <v>53</v>
      </c>
      <c r="F486" s="4">
        <v>3</v>
      </c>
      <c r="G486" s="4" t="s">
        <v>11</v>
      </c>
      <c r="H486" s="4" t="s">
        <v>12</v>
      </c>
    </row>
    <row r="487" spans="1:8">
      <c r="A487" s="3" t="s">
        <v>1102</v>
      </c>
      <c r="B487" s="4" t="s">
        <v>1133</v>
      </c>
      <c r="C487" s="4" t="s">
        <v>1134</v>
      </c>
      <c r="D487" s="4" t="s">
        <v>10</v>
      </c>
      <c r="E487" s="4">
        <v>55</v>
      </c>
      <c r="F487" s="4">
        <v>3</v>
      </c>
      <c r="G487" s="4" t="s">
        <v>11</v>
      </c>
      <c r="H487" s="4" t="s">
        <v>12</v>
      </c>
    </row>
    <row r="488" spans="1:8">
      <c r="A488" s="3" t="s">
        <v>1135</v>
      </c>
      <c r="B488" s="4" t="s">
        <v>1136</v>
      </c>
      <c r="C488" s="4" t="s">
        <v>1137</v>
      </c>
      <c r="D488" s="4" t="s">
        <v>10</v>
      </c>
      <c r="E488" s="4">
        <v>52</v>
      </c>
      <c r="F488" s="4">
        <v>3</v>
      </c>
      <c r="G488" s="4" t="s">
        <v>11</v>
      </c>
      <c r="H488" s="4" t="s">
        <v>12</v>
      </c>
    </row>
    <row r="489" spans="1:8">
      <c r="A489" s="3" t="s">
        <v>1135</v>
      </c>
      <c r="B489" s="4" t="s">
        <v>1138</v>
      </c>
      <c r="C489" s="4" t="s">
        <v>1139</v>
      </c>
      <c r="D489" s="4" t="s">
        <v>10</v>
      </c>
      <c r="E489" s="4">
        <v>52</v>
      </c>
      <c r="F489" s="4">
        <v>3</v>
      </c>
      <c r="G489" s="4" t="s">
        <v>11</v>
      </c>
      <c r="H489" s="4" t="s">
        <v>12</v>
      </c>
    </row>
    <row r="490" spans="1:8">
      <c r="A490" s="3" t="s">
        <v>1135</v>
      </c>
      <c r="B490" s="4" t="s">
        <v>1140</v>
      </c>
      <c r="C490" s="4" t="s">
        <v>1141</v>
      </c>
      <c r="D490" s="4" t="s">
        <v>10</v>
      </c>
      <c r="E490" s="4">
        <v>58</v>
      </c>
      <c r="F490" s="4">
        <v>3</v>
      </c>
      <c r="G490" s="4" t="s">
        <v>11</v>
      </c>
      <c r="H490" s="4" t="s">
        <v>12</v>
      </c>
    </row>
    <row r="491" spans="1:8">
      <c r="A491" s="3" t="s">
        <v>1135</v>
      </c>
      <c r="B491" s="4" t="s">
        <v>1142</v>
      </c>
      <c r="C491" s="4" t="s">
        <v>1143</v>
      </c>
      <c r="D491" s="4" t="s">
        <v>10</v>
      </c>
      <c r="E491" s="4">
        <v>54</v>
      </c>
      <c r="F491" s="4">
        <v>3</v>
      </c>
      <c r="G491" s="4" t="s">
        <v>11</v>
      </c>
      <c r="H491" s="4" t="s">
        <v>12</v>
      </c>
    </row>
    <row r="492" spans="1:8">
      <c r="A492" s="3" t="s">
        <v>1009</v>
      </c>
      <c r="B492" s="4" t="s">
        <v>1010</v>
      </c>
      <c r="C492" s="4" t="s">
        <v>1011</v>
      </c>
      <c r="D492" s="4" t="s">
        <v>10</v>
      </c>
      <c r="E492" s="4">
        <v>53</v>
      </c>
      <c r="F492" s="4">
        <v>3</v>
      </c>
      <c r="G492" s="4" t="s">
        <v>11</v>
      </c>
      <c r="H492" s="4" t="s">
        <v>12</v>
      </c>
    </row>
    <row r="493" spans="1:8">
      <c r="A493" s="3" t="s">
        <v>1009</v>
      </c>
      <c r="B493" s="4" t="s">
        <v>1012</v>
      </c>
      <c r="C493" s="4" t="s">
        <v>1013</v>
      </c>
      <c r="D493" s="4" t="s">
        <v>10</v>
      </c>
      <c r="E493" s="4">
        <v>45</v>
      </c>
      <c r="F493" s="4">
        <v>3</v>
      </c>
      <c r="G493" s="4" t="s">
        <v>11</v>
      </c>
      <c r="H493" s="4" t="s">
        <v>12</v>
      </c>
    </row>
    <row r="494" spans="1:8">
      <c r="A494" s="3" t="s">
        <v>1009</v>
      </c>
      <c r="B494" s="4" t="s">
        <v>1014</v>
      </c>
      <c r="C494" s="4" t="s">
        <v>1015</v>
      </c>
      <c r="D494" s="4" t="s">
        <v>10</v>
      </c>
      <c r="E494" s="4">
        <v>58</v>
      </c>
      <c r="F494" s="4">
        <v>3</v>
      </c>
      <c r="G494" s="4" t="s">
        <v>11</v>
      </c>
      <c r="H494" s="4" t="s">
        <v>12</v>
      </c>
    </row>
    <row r="495" spans="1:8">
      <c r="A495" s="3" t="s">
        <v>1009</v>
      </c>
      <c r="B495" s="4" t="s">
        <v>1016</v>
      </c>
      <c r="C495" s="4" t="s">
        <v>1017</v>
      </c>
      <c r="D495" s="4" t="s">
        <v>10</v>
      </c>
      <c r="E495" s="4">
        <v>59</v>
      </c>
      <c r="F495" s="4">
        <v>3</v>
      </c>
      <c r="G495" s="4" t="s">
        <v>11</v>
      </c>
      <c r="H495" s="4" t="s">
        <v>12</v>
      </c>
    </row>
    <row r="496" spans="1:8">
      <c r="A496" s="3" t="s">
        <v>1009</v>
      </c>
      <c r="B496" s="4" t="s">
        <v>1018</v>
      </c>
      <c r="C496" s="4" t="s">
        <v>1019</v>
      </c>
      <c r="D496" s="4" t="s">
        <v>10</v>
      </c>
      <c r="E496" s="4">
        <v>54</v>
      </c>
      <c r="F496" s="4">
        <v>3</v>
      </c>
      <c r="G496" s="4" t="s">
        <v>11</v>
      </c>
      <c r="H496" s="4" t="s">
        <v>12</v>
      </c>
    </row>
    <row r="497" spans="1:8">
      <c r="A497" s="3" t="s">
        <v>1059</v>
      </c>
      <c r="B497" s="4" t="s">
        <v>1060</v>
      </c>
      <c r="C497" s="4" t="s">
        <v>1061</v>
      </c>
      <c r="D497" s="4" t="s">
        <v>10</v>
      </c>
      <c r="E497" s="4">
        <v>49</v>
      </c>
      <c r="F497" s="4">
        <v>3</v>
      </c>
      <c r="G497" s="4" t="s">
        <v>11</v>
      </c>
      <c r="H497" s="4" t="s">
        <v>12</v>
      </c>
    </row>
    <row r="498" spans="1:8">
      <c r="A498" s="3" t="s">
        <v>1059</v>
      </c>
      <c r="B498" s="4" t="s">
        <v>1062</v>
      </c>
      <c r="C498" s="4" t="s">
        <v>1063</v>
      </c>
      <c r="D498" s="4" t="s">
        <v>10</v>
      </c>
      <c r="E498" s="4">
        <v>53</v>
      </c>
      <c r="F498" s="4">
        <v>3</v>
      </c>
      <c r="G498" s="4" t="s">
        <v>11</v>
      </c>
      <c r="H498" s="4" t="s">
        <v>12</v>
      </c>
    </row>
    <row r="499" spans="1:8">
      <c r="A499" s="3" t="s">
        <v>968</v>
      </c>
      <c r="B499" s="4" t="s">
        <v>1271</v>
      </c>
      <c r="C499" s="4" t="s">
        <v>1272</v>
      </c>
      <c r="D499" s="4" t="s">
        <v>340</v>
      </c>
      <c r="E499" s="4">
        <v>42</v>
      </c>
      <c r="F499" s="4">
        <v>2</v>
      </c>
      <c r="G499" s="4" t="s">
        <v>11</v>
      </c>
      <c r="H499" s="4" t="s">
        <v>12</v>
      </c>
    </row>
    <row r="500" spans="1:8">
      <c r="A500" s="3" t="s">
        <v>968</v>
      </c>
      <c r="B500" s="4" t="s">
        <v>1273</v>
      </c>
      <c r="C500" s="4" t="s">
        <v>1274</v>
      </c>
      <c r="D500" s="4" t="s">
        <v>340</v>
      </c>
      <c r="E500" s="4">
        <v>54</v>
      </c>
      <c r="F500" s="4">
        <v>2</v>
      </c>
      <c r="G500" s="4" t="s">
        <v>11</v>
      </c>
      <c r="H500" s="4" t="s">
        <v>12</v>
      </c>
    </row>
    <row r="501" spans="1:8">
      <c r="A501" s="3" t="s">
        <v>968</v>
      </c>
      <c r="B501" s="4" t="s">
        <v>1275</v>
      </c>
      <c r="C501" s="4" t="s">
        <v>1276</v>
      </c>
      <c r="D501" s="4" t="s">
        <v>340</v>
      </c>
      <c r="E501" s="4">
        <v>41</v>
      </c>
      <c r="F501" s="4">
        <v>2</v>
      </c>
      <c r="G501" s="4" t="s">
        <v>11</v>
      </c>
      <c r="H501" s="4" t="s">
        <v>12</v>
      </c>
    </row>
    <row r="502" spans="1:8">
      <c r="A502" s="3" t="s">
        <v>968</v>
      </c>
      <c r="B502" s="4" t="s">
        <v>1277</v>
      </c>
      <c r="C502" s="4" t="s">
        <v>1278</v>
      </c>
      <c r="D502" s="4" t="s">
        <v>340</v>
      </c>
      <c r="E502" s="4">
        <v>41</v>
      </c>
      <c r="F502" s="4">
        <v>2</v>
      </c>
      <c r="G502" s="4" t="s">
        <v>11</v>
      </c>
      <c r="H502" s="4" t="s">
        <v>12</v>
      </c>
    </row>
    <row r="503" spans="1:8">
      <c r="A503" s="3" t="s">
        <v>968</v>
      </c>
      <c r="B503" s="4" t="s">
        <v>1279</v>
      </c>
      <c r="C503" s="4" t="s">
        <v>1280</v>
      </c>
      <c r="D503" s="4" t="s">
        <v>340</v>
      </c>
      <c r="E503" s="4">
        <v>41</v>
      </c>
      <c r="F503" s="4">
        <v>2</v>
      </c>
      <c r="G503" s="4" t="s">
        <v>11</v>
      </c>
      <c r="H503" s="4" t="s">
        <v>12</v>
      </c>
    </row>
    <row r="504" spans="1:8">
      <c r="A504" s="3" t="s">
        <v>968</v>
      </c>
      <c r="B504" s="4" t="s">
        <v>969</v>
      </c>
      <c r="C504" s="4" t="s">
        <v>970</v>
      </c>
      <c r="D504" s="4" t="s">
        <v>340</v>
      </c>
      <c r="E504" s="4">
        <v>41</v>
      </c>
      <c r="F504" s="4">
        <v>2</v>
      </c>
      <c r="G504" s="4" t="s">
        <v>11</v>
      </c>
      <c r="H504" s="4" t="s">
        <v>12</v>
      </c>
    </row>
    <row r="505" spans="1:8">
      <c r="A505" s="3" t="s">
        <v>971</v>
      </c>
      <c r="B505" s="4" t="s">
        <v>1281</v>
      </c>
      <c r="C505" s="4" t="s">
        <v>1282</v>
      </c>
      <c r="D505" s="4" t="s">
        <v>340</v>
      </c>
      <c r="E505" s="4">
        <v>54</v>
      </c>
      <c r="F505" s="4">
        <v>2</v>
      </c>
      <c r="G505" s="4" t="s">
        <v>11</v>
      </c>
      <c r="H505" s="4" t="s">
        <v>12</v>
      </c>
    </row>
    <row r="506" spans="1:8">
      <c r="A506" s="3" t="s">
        <v>971</v>
      </c>
      <c r="B506" s="4" t="s">
        <v>1283</v>
      </c>
      <c r="C506" s="4" t="s">
        <v>1284</v>
      </c>
      <c r="D506" s="4" t="s">
        <v>340</v>
      </c>
      <c r="E506" s="4">
        <v>46</v>
      </c>
      <c r="F506" s="4">
        <v>2</v>
      </c>
      <c r="G506" s="4" t="s">
        <v>11</v>
      </c>
      <c r="H506" s="4" t="s">
        <v>12</v>
      </c>
    </row>
    <row r="507" spans="1:8">
      <c r="A507" s="3" t="s">
        <v>971</v>
      </c>
      <c r="B507" s="4" t="s">
        <v>1285</v>
      </c>
      <c r="C507" s="4" t="s">
        <v>1286</v>
      </c>
      <c r="D507" s="4" t="s">
        <v>340</v>
      </c>
      <c r="E507" s="4">
        <v>48</v>
      </c>
      <c r="F507" s="4">
        <v>2</v>
      </c>
      <c r="G507" s="4" t="s">
        <v>11</v>
      </c>
      <c r="H507" s="4" t="s">
        <v>12</v>
      </c>
    </row>
    <row r="508" spans="1:8">
      <c r="A508" s="3" t="s">
        <v>971</v>
      </c>
      <c r="B508" s="4" t="s">
        <v>980</v>
      </c>
      <c r="C508" s="4" t="s">
        <v>981</v>
      </c>
      <c r="D508" s="4" t="s">
        <v>340</v>
      </c>
      <c r="E508" s="4">
        <v>42</v>
      </c>
      <c r="F508" s="4">
        <v>2</v>
      </c>
      <c r="G508" s="4" t="s">
        <v>11</v>
      </c>
      <c r="H508" s="4" t="s">
        <v>12</v>
      </c>
    </row>
    <row r="509" spans="1:8">
      <c r="A509" s="3" t="s">
        <v>971</v>
      </c>
      <c r="B509" s="4" t="s">
        <v>988</v>
      </c>
      <c r="C509" s="4" t="s">
        <v>989</v>
      </c>
      <c r="D509" s="4" t="s">
        <v>340</v>
      </c>
      <c r="E509" s="4">
        <v>54</v>
      </c>
      <c r="F509" s="4">
        <v>2</v>
      </c>
      <c r="G509" s="4" t="s">
        <v>11</v>
      </c>
      <c r="H509" s="4" t="s">
        <v>12</v>
      </c>
    </row>
    <row r="510" spans="1:8">
      <c r="A510" s="3" t="s">
        <v>971</v>
      </c>
      <c r="B510" s="4" t="s">
        <v>990</v>
      </c>
      <c r="C510" s="4" t="s">
        <v>991</v>
      </c>
      <c r="D510" s="4" t="s">
        <v>340</v>
      </c>
      <c r="E510" s="4">
        <v>47</v>
      </c>
      <c r="F510" s="4">
        <v>2</v>
      </c>
      <c r="G510" s="4" t="s">
        <v>11</v>
      </c>
      <c r="H510" s="4" t="s">
        <v>12</v>
      </c>
    </row>
    <row r="511" spans="1:8">
      <c r="A511" s="3" t="s">
        <v>971</v>
      </c>
      <c r="B511" s="4" t="s">
        <v>1287</v>
      </c>
      <c r="C511" s="4" t="s">
        <v>1288</v>
      </c>
      <c r="D511" s="4" t="s">
        <v>340</v>
      </c>
      <c r="E511" s="4">
        <v>41</v>
      </c>
      <c r="F511" s="4">
        <v>2</v>
      </c>
      <c r="G511" s="4" t="s">
        <v>11</v>
      </c>
      <c r="H511" s="4" t="s">
        <v>12</v>
      </c>
    </row>
    <row r="512" spans="1:8">
      <c r="A512" s="3" t="s">
        <v>971</v>
      </c>
      <c r="B512" s="4" t="s">
        <v>1289</v>
      </c>
      <c r="C512" s="4" t="s">
        <v>1290</v>
      </c>
      <c r="D512" s="4" t="s">
        <v>340</v>
      </c>
      <c r="E512" s="4">
        <v>42</v>
      </c>
      <c r="F512" s="4">
        <v>2</v>
      </c>
      <c r="G512" s="4" t="s">
        <v>11</v>
      </c>
      <c r="H512" s="4" t="s">
        <v>12</v>
      </c>
    </row>
    <row r="513" spans="1:8">
      <c r="A513" s="3" t="s">
        <v>1171</v>
      </c>
      <c r="B513" s="4" t="s">
        <v>1243</v>
      </c>
      <c r="C513" s="4" t="s">
        <v>1244</v>
      </c>
      <c r="D513" s="4" t="s">
        <v>340</v>
      </c>
      <c r="E513" s="4">
        <v>40</v>
      </c>
      <c r="F513" s="4">
        <v>2</v>
      </c>
      <c r="G513" s="4" t="s">
        <v>11</v>
      </c>
      <c r="H513" s="4" t="s">
        <v>12</v>
      </c>
    </row>
    <row r="514" spans="1:8">
      <c r="A514" s="3" t="s">
        <v>1171</v>
      </c>
      <c r="B514" s="4" t="s">
        <v>1245</v>
      </c>
      <c r="C514" s="4" t="s">
        <v>1246</v>
      </c>
      <c r="D514" s="4" t="s">
        <v>340</v>
      </c>
      <c r="E514" s="4">
        <v>40</v>
      </c>
      <c r="F514" s="4">
        <v>2</v>
      </c>
      <c r="G514" s="4" t="s">
        <v>11</v>
      </c>
      <c r="H514" s="4" t="s">
        <v>12</v>
      </c>
    </row>
    <row r="515" spans="1:8">
      <c r="A515" s="3" t="s">
        <v>1171</v>
      </c>
      <c r="B515" s="4" t="s">
        <v>1247</v>
      </c>
      <c r="C515" s="4" t="s">
        <v>1248</v>
      </c>
      <c r="D515" s="4" t="s">
        <v>340</v>
      </c>
      <c r="E515" s="4">
        <v>41</v>
      </c>
      <c r="F515" s="4">
        <v>2</v>
      </c>
      <c r="G515" s="4" t="s">
        <v>11</v>
      </c>
      <c r="H515" s="4" t="s">
        <v>12</v>
      </c>
    </row>
    <row r="516" spans="1:8">
      <c r="A516" s="3" t="s">
        <v>1171</v>
      </c>
      <c r="B516" s="4" t="s">
        <v>1176</v>
      </c>
      <c r="C516" s="4" t="s">
        <v>1177</v>
      </c>
      <c r="D516" s="4" t="s">
        <v>340</v>
      </c>
      <c r="E516" s="4">
        <v>53</v>
      </c>
      <c r="F516" s="4">
        <v>2</v>
      </c>
      <c r="G516" s="4" t="s">
        <v>11</v>
      </c>
      <c r="H516" s="4" t="s">
        <v>12</v>
      </c>
    </row>
    <row r="517" spans="1:8">
      <c r="A517" s="3" t="s">
        <v>1171</v>
      </c>
      <c r="B517" s="4" t="s">
        <v>1249</v>
      </c>
      <c r="C517" s="4" t="s">
        <v>1250</v>
      </c>
      <c r="D517" s="4" t="s">
        <v>340</v>
      </c>
      <c r="E517" s="4">
        <v>51</v>
      </c>
      <c r="F517" s="4">
        <v>2</v>
      </c>
      <c r="G517" s="4" t="s">
        <v>11</v>
      </c>
      <c r="H517" s="4" t="s">
        <v>12</v>
      </c>
    </row>
    <row r="518" spans="1:8">
      <c r="A518" s="3" t="s">
        <v>1171</v>
      </c>
      <c r="B518" s="4" t="s">
        <v>1251</v>
      </c>
      <c r="C518" s="4" t="s">
        <v>1252</v>
      </c>
      <c r="D518" s="4" t="s">
        <v>340</v>
      </c>
      <c r="E518" s="4">
        <v>40</v>
      </c>
      <c r="F518" s="4">
        <v>2</v>
      </c>
      <c r="G518" s="4" t="s">
        <v>11</v>
      </c>
      <c r="H518" s="4" t="s">
        <v>12</v>
      </c>
    </row>
    <row r="519" spans="1:8">
      <c r="A519" s="3" t="s">
        <v>1171</v>
      </c>
      <c r="B519" s="4" t="s">
        <v>1253</v>
      </c>
      <c r="C519" s="4" t="s">
        <v>1254</v>
      </c>
      <c r="D519" s="4" t="s">
        <v>340</v>
      </c>
      <c r="E519" s="4">
        <v>43</v>
      </c>
      <c r="F519" s="4">
        <v>2</v>
      </c>
      <c r="G519" s="4" t="s">
        <v>11</v>
      </c>
      <c r="H519" s="4" t="s">
        <v>12</v>
      </c>
    </row>
    <row r="520" spans="1:8">
      <c r="A520" s="3" t="s">
        <v>1171</v>
      </c>
      <c r="B520" s="4" t="s">
        <v>1255</v>
      </c>
      <c r="C520" s="4" t="s">
        <v>1256</v>
      </c>
      <c r="D520" s="4" t="s">
        <v>340</v>
      </c>
      <c r="E520" s="4">
        <v>52</v>
      </c>
      <c r="F520" s="4">
        <v>2</v>
      </c>
      <c r="G520" s="4" t="s">
        <v>11</v>
      </c>
      <c r="H520" s="4" t="s">
        <v>12</v>
      </c>
    </row>
    <row r="521" spans="1:8">
      <c r="A521" s="3" t="s">
        <v>1064</v>
      </c>
      <c r="B521" s="4" t="s">
        <v>1305</v>
      </c>
      <c r="C521" s="4" t="s">
        <v>1306</v>
      </c>
      <c r="D521" s="4" t="s">
        <v>340</v>
      </c>
      <c r="E521" s="4">
        <v>40</v>
      </c>
      <c r="F521" s="4">
        <v>2</v>
      </c>
      <c r="G521" s="4" t="s">
        <v>11</v>
      </c>
      <c r="H521" s="4" t="s">
        <v>12</v>
      </c>
    </row>
    <row r="522" spans="1:8">
      <c r="A522" s="3" t="s">
        <v>1064</v>
      </c>
      <c r="B522" s="4" t="s">
        <v>1307</v>
      </c>
      <c r="C522" s="4" t="s">
        <v>1308</v>
      </c>
      <c r="D522" s="4" t="s">
        <v>340</v>
      </c>
      <c r="E522" s="4">
        <v>47</v>
      </c>
      <c r="F522" s="4">
        <v>2</v>
      </c>
      <c r="G522" s="4" t="s">
        <v>11</v>
      </c>
      <c r="H522" s="4" t="s">
        <v>12</v>
      </c>
    </row>
    <row r="523" spans="1:8">
      <c r="A523" s="3" t="s">
        <v>1064</v>
      </c>
      <c r="B523" s="4" t="s">
        <v>1309</v>
      </c>
      <c r="C523" s="4" t="s">
        <v>1310</v>
      </c>
      <c r="D523" s="4" t="s">
        <v>340</v>
      </c>
      <c r="E523" s="4">
        <v>41</v>
      </c>
      <c r="F523" s="4">
        <v>2</v>
      </c>
      <c r="G523" s="4" t="s">
        <v>11</v>
      </c>
      <c r="H523" s="4" t="s">
        <v>12</v>
      </c>
    </row>
    <row r="524" spans="1:8">
      <c r="A524" s="3" t="s">
        <v>1064</v>
      </c>
      <c r="B524" s="4" t="s">
        <v>1311</v>
      </c>
      <c r="C524" s="4" t="s">
        <v>1312</v>
      </c>
      <c r="D524" s="4" t="s">
        <v>340</v>
      </c>
      <c r="E524" s="4">
        <v>43</v>
      </c>
      <c r="F524" s="4">
        <v>2</v>
      </c>
      <c r="G524" s="4" t="s">
        <v>11</v>
      </c>
      <c r="H524" s="4" t="s">
        <v>12</v>
      </c>
    </row>
    <row r="525" spans="1:8">
      <c r="A525" s="3" t="s">
        <v>1064</v>
      </c>
      <c r="B525" s="4" t="s">
        <v>1071</v>
      </c>
      <c r="C525" s="4" t="s">
        <v>1072</v>
      </c>
      <c r="D525" s="4" t="s">
        <v>340</v>
      </c>
      <c r="E525" s="4">
        <v>43</v>
      </c>
      <c r="F525" s="4">
        <v>2</v>
      </c>
      <c r="G525" s="4" t="s">
        <v>11</v>
      </c>
      <c r="H525" s="4" t="s">
        <v>12</v>
      </c>
    </row>
    <row r="526" spans="1:8">
      <c r="A526" s="3" t="s">
        <v>1064</v>
      </c>
      <c r="B526" s="4" t="s">
        <v>1313</v>
      </c>
      <c r="C526" s="4" t="s">
        <v>1314</v>
      </c>
      <c r="D526" s="4" t="s">
        <v>340</v>
      </c>
      <c r="E526" s="4">
        <v>49</v>
      </c>
      <c r="F526" s="4">
        <v>2</v>
      </c>
      <c r="G526" s="4" t="s">
        <v>11</v>
      </c>
      <c r="H526" s="4" t="s">
        <v>12</v>
      </c>
    </row>
    <row r="527" spans="1:8">
      <c r="A527" s="3" t="s">
        <v>1064</v>
      </c>
      <c r="B527" s="4" t="s">
        <v>1315</v>
      </c>
      <c r="C527" s="4" t="s">
        <v>1316</v>
      </c>
      <c r="D527" s="4" t="s">
        <v>340</v>
      </c>
      <c r="E527" s="4">
        <v>42</v>
      </c>
      <c r="F527" s="4">
        <v>2</v>
      </c>
      <c r="G527" s="4" t="s">
        <v>11</v>
      </c>
      <c r="H527" s="4" t="s">
        <v>12</v>
      </c>
    </row>
    <row r="528" spans="1:8">
      <c r="A528" s="3" t="s">
        <v>1064</v>
      </c>
      <c r="B528" s="4" t="s">
        <v>1075</v>
      </c>
      <c r="C528" s="4" t="s">
        <v>1076</v>
      </c>
      <c r="D528" s="4" t="s">
        <v>340</v>
      </c>
      <c r="E528" s="4">
        <v>40</v>
      </c>
      <c r="F528" s="4">
        <v>2</v>
      </c>
      <c r="G528" s="4" t="s">
        <v>11</v>
      </c>
      <c r="H528" s="4" t="s">
        <v>12</v>
      </c>
    </row>
    <row r="529" spans="1:8">
      <c r="A529" s="3" t="s">
        <v>1064</v>
      </c>
      <c r="B529" s="4" t="s">
        <v>1317</v>
      </c>
      <c r="C529" s="4" t="s">
        <v>1318</v>
      </c>
      <c r="D529" s="4" t="s">
        <v>340</v>
      </c>
      <c r="E529" s="4">
        <v>40</v>
      </c>
      <c r="F529" s="4">
        <v>2</v>
      </c>
      <c r="G529" s="4" t="s">
        <v>11</v>
      </c>
      <c r="H529" s="4" t="s">
        <v>12</v>
      </c>
    </row>
    <row r="530" spans="1:8">
      <c r="A530" s="3" t="s">
        <v>1064</v>
      </c>
      <c r="B530" s="4" t="s">
        <v>1081</v>
      </c>
      <c r="C530" s="4" t="s">
        <v>1082</v>
      </c>
      <c r="D530" s="4" t="s">
        <v>340</v>
      </c>
      <c r="E530" s="4">
        <v>54</v>
      </c>
      <c r="F530" s="4">
        <v>2</v>
      </c>
      <c r="G530" s="4" t="s">
        <v>11</v>
      </c>
      <c r="H530" s="4" t="s">
        <v>12</v>
      </c>
    </row>
    <row r="531" spans="1:8">
      <c r="A531" s="3" t="s">
        <v>1020</v>
      </c>
      <c r="B531" s="4" t="s">
        <v>1257</v>
      </c>
      <c r="C531" s="4" t="s">
        <v>1258</v>
      </c>
      <c r="D531" s="4" t="s">
        <v>340</v>
      </c>
      <c r="E531" s="4">
        <v>48</v>
      </c>
      <c r="F531" s="4">
        <v>2</v>
      </c>
      <c r="G531" s="4" t="s">
        <v>11</v>
      </c>
      <c r="H531" s="4" t="s">
        <v>12</v>
      </c>
    </row>
    <row r="532" spans="1:8">
      <c r="A532" s="3" t="s">
        <v>1020</v>
      </c>
      <c r="B532" s="4" t="s">
        <v>1259</v>
      </c>
      <c r="C532" s="4" t="s">
        <v>1260</v>
      </c>
      <c r="D532" s="4" t="s">
        <v>340</v>
      </c>
      <c r="E532" s="4">
        <v>40</v>
      </c>
      <c r="F532" s="4">
        <v>2</v>
      </c>
      <c r="G532" s="4" t="s">
        <v>11</v>
      </c>
      <c r="H532" s="4" t="s">
        <v>12</v>
      </c>
    </row>
    <row r="533" spans="1:8">
      <c r="A533" s="3" t="s">
        <v>1020</v>
      </c>
      <c r="B533" s="4" t="s">
        <v>1261</v>
      </c>
      <c r="C533" s="4" t="s">
        <v>1262</v>
      </c>
      <c r="D533" s="4" t="s">
        <v>340</v>
      </c>
      <c r="E533" s="4">
        <v>50</v>
      </c>
      <c r="F533" s="4">
        <v>2</v>
      </c>
      <c r="G533" s="4" t="s">
        <v>11</v>
      </c>
      <c r="H533" s="4" t="s">
        <v>12</v>
      </c>
    </row>
    <row r="534" spans="1:8">
      <c r="A534" s="3" t="s">
        <v>1020</v>
      </c>
      <c r="B534" s="4" t="s">
        <v>1263</v>
      </c>
      <c r="C534" s="4" t="s">
        <v>1264</v>
      </c>
      <c r="D534" s="4" t="s">
        <v>340</v>
      </c>
      <c r="E534" s="4">
        <v>49</v>
      </c>
      <c r="F534" s="4">
        <v>2</v>
      </c>
      <c r="G534" s="4" t="s">
        <v>11</v>
      </c>
      <c r="H534" s="4" t="s">
        <v>12</v>
      </c>
    </row>
    <row r="535" spans="1:8">
      <c r="A535" s="3" t="s">
        <v>1020</v>
      </c>
      <c r="B535" s="4" t="s">
        <v>1265</v>
      </c>
      <c r="C535" s="4" t="s">
        <v>1266</v>
      </c>
      <c r="D535" s="4" t="s">
        <v>340</v>
      </c>
      <c r="E535" s="4">
        <v>33</v>
      </c>
      <c r="F535" s="4">
        <v>2</v>
      </c>
      <c r="G535" s="4" t="s">
        <v>11</v>
      </c>
      <c r="H535" s="4" t="s">
        <v>12</v>
      </c>
    </row>
    <row r="536" spans="1:8">
      <c r="A536" s="3" t="s">
        <v>1020</v>
      </c>
      <c r="B536" s="4" t="s">
        <v>1025</v>
      </c>
      <c r="C536" s="4" t="s">
        <v>1026</v>
      </c>
      <c r="D536" s="4" t="s">
        <v>340</v>
      </c>
      <c r="E536" s="4">
        <v>40</v>
      </c>
      <c r="F536" s="4">
        <v>2</v>
      </c>
      <c r="G536" s="4" t="s">
        <v>11</v>
      </c>
      <c r="H536" s="4" t="s">
        <v>12</v>
      </c>
    </row>
    <row r="537" spans="1:8">
      <c r="A537" s="3" t="s">
        <v>1020</v>
      </c>
      <c r="B537" s="4" t="s">
        <v>1267</v>
      </c>
      <c r="C537" s="4" t="s">
        <v>1268</v>
      </c>
      <c r="D537" s="4" t="s">
        <v>340</v>
      </c>
      <c r="E537" s="4">
        <v>47</v>
      </c>
      <c r="F537" s="4">
        <v>2</v>
      </c>
      <c r="G537" s="4" t="s">
        <v>11</v>
      </c>
      <c r="H537" s="4" t="s">
        <v>12</v>
      </c>
    </row>
    <row r="538" spans="1:8">
      <c r="A538" s="3" t="s">
        <v>1020</v>
      </c>
      <c r="B538" s="4" t="s">
        <v>1027</v>
      </c>
      <c r="C538" s="4" t="s">
        <v>1028</v>
      </c>
      <c r="D538" s="4" t="s">
        <v>340</v>
      </c>
      <c r="E538" s="4">
        <v>53</v>
      </c>
      <c r="F538" s="4">
        <v>2</v>
      </c>
      <c r="G538" s="4" t="s">
        <v>11</v>
      </c>
      <c r="H538" s="4" t="s">
        <v>12</v>
      </c>
    </row>
    <row r="539" spans="1:8">
      <c r="A539" s="3" t="s">
        <v>1020</v>
      </c>
      <c r="B539" s="4" t="s">
        <v>1269</v>
      </c>
      <c r="C539" s="4" t="s">
        <v>1270</v>
      </c>
      <c r="D539" s="4" t="s">
        <v>340</v>
      </c>
      <c r="E539" s="4">
        <v>48</v>
      </c>
      <c r="F539" s="4">
        <v>2</v>
      </c>
      <c r="G539" s="4" t="s">
        <v>11</v>
      </c>
      <c r="H539" s="4" t="s">
        <v>12</v>
      </c>
    </row>
    <row r="540" spans="1:8">
      <c r="A540" s="3" t="s">
        <v>1020</v>
      </c>
      <c r="B540" s="4" t="s">
        <v>1029</v>
      </c>
      <c r="C540" s="4" t="s">
        <v>1030</v>
      </c>
      <c r="D540" s="4" t="s">
        <v>340</v>
      </c>
      <c r="E540" s="4">
        <v>52</v>
      </c>
      <c r="F540" s="4">
        <v>2</v>
      </c>
      <c r="G540" s="4" t="s">
        <v>11</v>
      </c>
      <c r="H540" s="4" t="s">
        <v>12</v>
      </c>
    </row>
    <row r="541" spans="1:8">
      <c r="A541" s="3" t="s">
        <v>1020</v>
      </c>
      <c r="B541" s="4" t="s">
        <v>1033</v>
      </c>
      <c r="C541" s="4" t="s">
        <v>1034</v>
      </c>
      <c r="D541" s="4" t="s">
        <v>340</v>
      </c>
      <c r="E541" s="4">
        <v>44</v>
      </c>
      <c r="F541" s="4">
        <v>2</v>
      </c>
      <c r="G541" s="4" t="s">
        <v>11</v>
      </c>
      <c r="H541" s="4" t="s">
        <v>12</v>
      </c>
    </row>
    <row r="542" spans="1:8">
      <c r="A542" s="3" t="s">
        <v>1035</v>
      </c>
      <c r="B542" s="4" t="s">
        <v>1291</v>
      </c>
      <c r="C542" s="4" t="s">
        <v>1292</v>
      </c>
      <c r="D542" s="4" t="s">
        <v>340</v>
      </c>
      <c r="E542" s="4">
        <v>57</v>
      </c>
      <c r="F542" s="4">
        <v>2</v>
      </c>
      <c r="G542" s="4" t="s">
        <v>11</v>
      </c>
      <c r="H542" s="4" t="s">
        <v>12</v>
      </c>
    </row>
    <row r="543" spans="1:8">
      <c r="A543" s="3" t="s">
        <v>1035</v>
      </c>
      <c r="B543" s="4" t="s">
        <v>1042</v>
      </c>
      <c r="C543" s="4" t="s">
        <v>1043</v>
      </c>
      <c r="D543" s="4" t="s">
        <v>340</v>
      </c>
      <c r="E543" s="4">
        <v>52</v>
      </c>
      <c r="F543" s="4">
        <v>2</v>
      </c>
      <c r="G543" s="4" t="s">
        <v>11</v>
      </c>
      <c r="H543" s="4" t="s">
        <v>12</v>
      </c>
    </row>
    <row r="544" spans="1:8">
      <c r="A544" s="3" t="s">
        <v>1035</v>
      </c>
      <c r="B544" s="4" t="s">
        <v>1293</v>
      </c>
      <c r="C544" s="4" t="s">
        <v>1294</v>
      </c>
      <c r="D544" s="4" t="s">
        <v>340</v>
      </c>
      <c r="E544" s="4">
        <v>46</v>
      </c>
      <c r="F544" s="4">
        <v>2</v>
      </c>
      <c r="G544" s="4" t="s">
        <v>11</v>
      </c>
      <c r="H544" s="4" t="s">
        <v>12</v>
      </c>
    </row>
    <row r="545" spans="1:8">
      <c r="A545" s="3" t="s">
        <v>1144</v>
      </c>
      <c r="B545" s="4" t="s">
        <v>1145</v>
      </c>
      <c r="C545" s="4" t="s">
        <v>1146</v>
      </c>
      <c r="D545" s="4" t="s">
        <v>340</v>
      </c>
      <c r="E545" s="4">
        <v>56</v>
      </c>
      <c r="F545" s="4">
        <v>2</v>
      </c>
      <c r="G545" s="4" t="s">
        <v>11</v>
      </c>
      <c r="H545" s="4" t="s">
        <v>12</v>
      </c>
    </row>
    <row r="546" spans="1:8">
      <c r="A546" s="3" t="s">
        <v>1144</v>
      </c>
      <c r="B546" s="4" t="s">
        <v>1351</v>
      </c>
      <c r="C546" s="4" t="s">
        <v>1352</v>
      </c>
      <c r="D546" s="4" t="s">
        <v>340</v>
      </c>
      <c r="E546" s="4">
        <v>48</v>
      </c>
      <c r="F546" s="4">
        <v>2</v>
      </c>
      <c r="G546" s="4" t="s">
        <v>11</v>
      </c>
      <c r="H546" s="4" t="s">
        <v>12</v>
      </c>
    </row>
    <row r="547" spans="1:8">
      <c r="A547" s="3" t="s">
        <v>1144</v>
      </c>
      <c r="B547" s="4" t="s">
        <v>1147</v>
      </c>
      <c r="C547" s="4" t="s">
        <v>1148</v>
      </c>
      <c r="D547" s="4" t="s">
        <v>340</v>
      </c>
      <c r="E547" s="4">
        <v>48</v>
      </c>
      <c r="F547" s="4">
        <v>2</v>
      </c>
      <c r="G547" s="4" t="s">
        <v>11</v>
      </c>
      <c r="H547" s="4" t="s">
        <v>12</v>
      </c>
    </row>
    <row r="548" spans="1:8">
      <c r="A548" s="3" t="s">
        <v>1144</v>
      </c>
      <c r="B548" s="4" t="s">
        <v>1149</v>
      </c>
      <c r="C548" s="4" t="s">
        <v>1150</v>
      </c>
      <c r="D548" s="4" t="s">
        <v>340</v>
      </c>
      <c r="E548" s="4">
        <v>43</v>
      </c>
      <c r="F548" s="4">
        <v>2</v>
      </c>
      <c r="G548" s="4" t="s">
        <v>11</v>
      </c>
      <c r="H548" s="4" t="s">
        <v>12</v>
      </c>
    </row>
    <row r="549" spans="1:8">
      <c r="A549" s="3" t="s">
        <v>1144</v>
      </c>
      <c r="B549" s="4" t="s">
        <v>1353</v>
      </c>
      <c r="C549" s="4" t="s">
        <v>1354</v>
      </c>
      <c r="D549" s="4" t="s">
        <v>340</v>
      </c>
      <c r="E549" s="4">
        <v>54</v>
      </c>
      <c r="F549" s="4">
        <v>2</v>
      </c>
      <c r="G549" s="4" t="s">
        <v>11</v>
      </c>
      <c r="H549" s="4" t="s">
        <v>12</v>
      </c>
    </row>
    <row r="550" spans="1:8">
      <c r="A550" s="3" t="s">
        <v>1144</v>
      </c>
      <c r="B550" s="4" t="s">
        <v>1153</v>
      </c>
      <c r="C550" s="4" t="s">
        <v>1154</v>
      </c>
      <c r="D550" s="4" t="s">
        <v>340</v>
      </c>
      <c r="E550" s="4">
        <v>51</v>
      </c>
      <c r="F550" s="4">
        <v>2</v>
      </c>
      <c r="G550" s="4" t="s">
        <v>11</v>
      </c>
      <c r="H550" s="4" t="s">
        <v>12</v>
      </c>
    </row>
    <row r="551" spans="1:8">
      <c r="A551" s="3" t="s">
        <v>1144</v>
      </c>
      <c r="B551" s="4" t="s">
        <v>1155</v>
      </c>
      <c r="C551" s="4" t="s">
        <v>1156</v>
      </c>
      <c r="D551" s="4" t="s">
        <v>340</v>
      </c>
      <c r="E551" s="4">
        <v>48</v>
      </c>
      <c r="F551" s="4">
        <v>2</v>
      </c>
      <c r="G551" s="4" t="s">
        <v>11</v>
      </c>
      <c r="H551" s="4" t="s">
        <v>12</v>
      </c>
    </row>
    <row r="552" spans="1:8">
      <c r="A552" s="3" t="s">
        <v>1144</v>
      </c>
      <c r="B552" s="4" t="s">
        <v>1355</v>
      </c>
      <c r="C552" s="4" t="s">
        <v>1356</v>
      </c>
      <c r="D552" s="4" t="s">
        <v>340</v>
      </c>
      <c r="E552" s="4">
        <v>44</v>
      </c>
      <c r="F552" s="4">
        <v>2</v>
      </c>
      <c r="G552" s="4" t="s">
        <v>11</v>
      </c>
      <c r="H552" s="4" t="s">
        <v>12</v>
      </c>
    </row>
    <row r="553" spans="1:8">
      <c r="A553" s="3" t="s">
        <v>1144</v>
      </c>
      <c r="B553" s="4" t="s">
        <v>1163</v>
      </c>
      <c r="C553" s="4" t="s">
        <v>1164</v>
      </c>
      <c r="D553" s="4" t="s">
        <v>340</v>
      </c>
      <c r="E553" s="4">
        <v>48</v>
      </c>
      <c r="F553" s="4">
        <v>2</v>
      </c>
      <c r="G553" s="4" t="s">
        <v>11</v>
      </c>
      <c r="H553" s="4" t="s">
        <v>12</v>
      </c>
    </row>
    <row r="554" spans="1:8">
      <c r="A554" s="3" t="s">
        <v>1144</v>
      </c>
      <c r="B554" s="4" t="s">
        <v>1357</v>
      </c>
      <c r="C554" s="4" t="s">
        <v>1358</v>
      </c>
      <c r="D554" s="4" t="s">
        <v>340</v>
      </c>
      <c r="E554" s="4">
        <v>57</v>
      </c>
      <c r="F554" s="4">
        <v>2</v>
      </c>
      <c r="G554" s="4" t="s">
        <v>11</v>
      </c>
      <c r="H554" s="4" t="s">
        <v>12</v>
      </c>
    </row>
    <row r="555" spans="1:8">
      <c r="A555" s="3" t="s">
        <v>1144</v>
      </c>
      <c r="B555" s="4" t="s">
        <v>1359</v>
      </c>
      <c r="C555" s="4" t="s">
        <v>1360</v>
      </c>
      <c r="D555" s="4" t="s">
        <v>340</v>
      </c>
      <c r="E555" s="4">
        <v>45</v>
      </c>
      <c r="F555" s="4">
        <v>2</v>
      </c>
      <c r="G555" s="4" t="s">
        <v>11</v>
      </c>
      <c r="H555" s="4" t="s">
        <v>12</v>
      </c>
    </row>
    <row r="556" spans="1:8">
      <c r="A556" s="3" t="s">
        <v>1144</v>
      </c>
      <c r="B556" s="4" t="s">
        <v>1361</v>
      </c>
      <c r="C556" s="4" t="s">
        <v>1362</v>
      </c>
      <c r="D556" s="4" t="s">
        <v>340</v>
      </c>
      <c r="E556" s="4">
        <v>55</v>
      </c>
      <c r="F556" s="4">
        <v>2</v>
      </c>
      <c r="G556" s="4" t="s">
        <v>11</v>
      </c>
      <c r="H556" s="4" t="s">
        <v>12</v>
      </c>
    </row>
    <row r="557" spans="1:8">
      <c r="A557" s="3" t="s">
        <v>1144</v>
      </c>
      <c r="B557" s="4" t="s">
        <v>1169</v>
      </c>
      <c r="C557" s="4" t="s">
        <v>1170</v>
      </c>
      <c r="D557" s="4" t="s">
        <v>340</v>
      </c>
      <c r="E557" s="4">
        <v>48</v>
      </c>
      <c r="F557" s="4">
        <v>2</v>
      </c>
      <c r="G557" s="4" t="s">
        <v>11</v>
      </c>
      <c r="H557" s="4" t="s">
        <v>12</v>
      </c>
    </row>
    <row r="558" spans="1:8">
      <c r="A558" s="3" t="s">
        <v>1144</v>
      </c>
      <c r="B558" s="4" t="s">
        <v>1363</v>
      </c>
      <c r="C558" s="4" t="s">
        <v>1364</v>
      </c>
      <c r="D558" s="4" t="s">
        <v>340</v>
      </c>
      <c r="E558" s="4">
        <v>52</v>
      </c>
      <c r="F558" s="4">
        <v>2</v>
      </c>
      <c r="G558" s="4" t="s">
        <v>11</v>
      </c>
      <c r="H558" s="4" t="s">
        <v>12</v>
      </c>
    </row>
    <row r="559" spans="1:8">
      <c r="A559" s="3" t="s">
        <v>1144</v>
      </c>
      <c r="B559" s="4" t="s">
        <v>1365</v>
      </c>
      <c r="C559" s="4" t="s">
        <v>1366</v>
      </c>
      <c r="D559" s="4" t="s">
        <v>340</v>
      </c>
      <c r="E559" s="4">
        <v>43</v>
      </c>
      <c r="F559" s="4">
        <v>2</v>
      </c>
      <c r="G559" s="4" t="s">
        <v>11</v>
      </c>
      <c r="H559" s="4" t="s">
        <v>12</v>
      </c>
    </row>
    <row r="560" spans="1:8">
      <c r="A560" s="3" t="s">
        <v>1054</v>
      </c>
      <c r="B560" s="4" t="s">
        <v>1369</v>
      </c>
      <c r="C560" s="4" t="s">
        <v>1370</v>
      </c>
      <c r="D560" s="4" t="s">
        <v>340</v>
      </c>
      <c r="E560" s="4">
        <v>40</v>
      </c>
      <c r="F560" s="4">
        <v>2</v>
      </c>
      <c r="G560" s="4" t="s">
        <v>11</v>
      </c>
      <c r="H560" s="4" t="s">
        <v>12</v>
      </c>
    </row>
    <row r="561" spans="1:8">
      <c r="A561" s="3" t="s">
        <v>1054</v>
      </c>
      <c r="B561" s="4" t="s">
        <v>1371</v>
      </c>
      <c r="C561" s="4" t="s">
        <v>1372</v>
      </c>
      <c r="D561" s="4" t="s">
        <v>340</v>
      </c>
      <c r="E561" s="4">
        <v>40</v>
      </c>
      <c r="F561" s="4">
        <v>2</v>
      </c>
      <c r="G561" s="4" t="s">
        <v>11</v>
      </c>
      <c r="H561" s="4" t="s">
        <v>12</v>
      </c>
    </row>
    <row r="562" spans="1:8">
      <c r="A562" s="3" t="s">
        <v>1054</v>
      </c>
      <c r="B562" s="4" t="s">
        <v>1373</v>
      </c>
      <c r="C562" s="4" t="s">
        <v>1374</v>
      </c>
      <c r="D562" s="4" t="s">
        <v>340</v>
      </c>
      <c r="E562" s="4">
        <v>43</v>
      </c>
      <c r="F562" s="4">
        <v>2</v>
      </c>
      <c r="G562" s="4" t="s">
        <v>11</v>
      </c>
      <c r="H562" s="4" t="s">
        <v>12</v>
      </c>
    </row>
    <row r="563" spans="1:8">
      <c r="A563" s="3" t="s">
        <v>1054</v>
      </c>
      <c r="B563" s="4" t="s">
        <v>1375</v>
      </c>
      <c r="C563" s="4" t="s">
        <v>1376</v>
      </c>
      <c r="D563" s="4" t="s">
        <v>340</v>
      </c>
      <c r="E563" s="4">
        <v>49</v>
      </c>
      <c r="F563" s="4">
        <v>2</v>
      </c>
      <c r="G563" s="4" t="s">
        <v>11</v>
      </c>
      <c r="H563" s="4" t="s">
        <v>12</v>
      </c>
    </row>
    <row r="564" spans="1:8">
      <c r="A564" s="3" t="s">
        <v>1054</v>
      </c>
      <c r="B564" s="4" t="s">
        <v>1377</v>
      </c>
      <c r="C564" s="4" t="s">
        <v>1378</v>
      </c>
      <c r="D564" s="4" t="s">
        <v>340</v>
      </c>
      <c r="E564" s="4">
        <v>54</v>
      </c>
      <c r="F564" s="4">
        <v>2</v>
      </c>
      <c r="G564" s="4" t="s">
        <v>11</v>
      </c>
      <c r="H564" s="4" t="s">
        <v>12</v>
      </c>
    </row>
    <row r="565" spans="1:8">
      <c r="A565" s="3" t="s">
        <v>1054</v>
      </c>
      <c r="B565" s="4" t="s">
        <v>1379</v>
      </c>
      <c r="C565" s="4" t="s">
        <v>1380</v>
      </c>
      <c r="D565" s="4" t="s">
        <v>340</v>
      </c>
      <c r="E565" s="4">
        <v>45</v>
      </c>
      <c r="F565" s="4">
        <v>2</v>
      </c>
      <c r="G565" s="4" t="s">
        <v>11</v>
      </c>
      <c r="H565" s="4" t="s">
        <v>12</v>
      </c>
    </row>
    <row r="566" spans="1:8">
      <c r="A566" s="3" t="s">
        <v>1054</v>
      </c>
      <c r="B566" s="4" t="s">
        <v>1381</v>
      </c>
      <c r="C566" s="4" t="s">
        <v>1382</v>
      </c>
      <c r="D566" s="4" t="s">
        <v>340</v>
      </c>
      <c r="E566" s="4">
        <v>48</v>
      </c>
      <c r="F566" s="4">
        <v>2</v>
      </c>
      <c r="G566" s="4" t="s">
        <v>11</v>
      </c>
      <c r="H566" s="4" t="s">
        <v>12</v>
      </c>
    </row>
    <row r="567" spans="1:8">
      <c r="A567" s="3" t="s">
        <v>1054</v>
      </c>
      <c r="B567" s="4" t="s">
        <v>1383</v>
      </c>
      <c r="C567" s="4" t="s">
        <v>1384</v>
      </c>
      <c r="D567" s="4" t="s">
        <v>340</v>
      </c>
      <c r="E567" s="4">
        <v>42</v>
      </c>
      <c r="F567" s="4">
        <v>2</v>
      </c>
      <c r="G567" s="4" t="s">
        <v>11</v>
      </c>
      <c r="H567" s="4" t="s">
        <v>12</v>
      </c>
    </row>
    <row r="568" spans="1:8">
      <c r="A568" s="3" t="s">
        <v>1054</v>
      </c>
      <c r="B568" s="4" t="s">
        <v>1385</v>
      </c>
      <c r="C568" s="4" t="s">
        <v>1386</v>
      </c>
      <c r="D568" s="4" t="s">
        <v>340</v>
      </c>
      <c r="E568" s="4">
        <v>50</v>
      </c>
      <c r="F568" s="4">
        <v>2</v>
      </c>
      <c r="G568" s="4" t="s">
        <v>11</v>
      </c>
      <c r="H568" s="4" t="s">
        <v>12</v>
      </c>
    </row>
    <row r="569" spans="1:8">
      <c r="A569" s="3" t="s">
        <v>1200</v>
      </c>
      <c r="B569" s="4" t="s">
        <v>1295</v>
      </c>
      <c r="C569" s="4" t="s">
        <v>1296</v>
      </c>
      <c r="D569" s="4" t="s">
        <v>340</v>
      </c>
      <c r="E569" s="4">
        <v>47</v>
      </c>
      <c r="F569" s="4">
        <v>2</v>
      </c>
      <c r="G569" s="4" t="s">
        <v>11</v>
      </c>
      <c r="H569" s="4" t="s">
        <v>12</v>
      </c>
    </row>
    <row r="570" spans="1:8">
      <c r="A570" s="3" t="s">
        <v>1200</v>
      </c>
      <c r="B570" s="4" t="s">
        <v>1297</v>
      </c>
      <c r="C570" s="4" t="s">
        <v>1298</v>
      </c>
      <c r="D570" s="4" t="s">
        <v>340</v>
      </c>
      <c r="E570" s="4">
        <v>51</v>
      </c>
      <c r="F570" s="4">
        <v>2</v>
      </c>
      <c r="G570" s="4" t="s">
        <v>11</v>
      </c>
      <c r="H570" s="4" t="s">
        <v>12</v>
      </c>
    </row>
    <row r="571" spans="1:8">
      <c r="A571" s="3" t="s">
        <v>1200</v>
      </c>
      <c r="B571" s="4" t="s">
        <v>1201</v>
      </c>
      <c r="C571" s="4" t="s">
        <v>1202</v>
      </c>
      <c r="D571" s="4" t="s">
        <v>340</v>
      </c>
      <c r="E571" s="4">
        <v>46</v>
      </c>
      <c r="F571" s="4">
        <v>2</v>
      </c>
      <c r="G571" s="4" t="s">
        <v>11</v>
      </c>
      <c r="H571" s="4" t="s">
        <v>12</v>
      </c>
    </row>
    <row r="572" spans="1:8">
      <c r="A572" s="3" t="s">
        <v>1200</v>
      </c>
      <c r="B572" s="4" t="s">
        <v>1203</v>
      </c>
      <c r="C572" s="4" t="s">
        <v>1204</v>
      </c>
      <c r="D572" s="4" t="s">
        <v>340</v>
      </c>
      <c r="E572" s="4">
        <v>55</v>
      </c>
      <c r="F572" s="4">
        <v>2</v>
      </c>
      <c r="G572" s="4" t="s">
        <v>11</v>
      </c>
      <c r="H572" s="4" t="s">
        <v>12</v>
      </c>
    </row>
    <row r="573" spans="1:8">
      <c r="A573" s="3" t="s">
        <v>1200</v>
      </c>
      <c r="B573" s="4" t="s">
        <v>1205</v>
      </c>
      <c r="C573" s="4" t="s">
        <v>1206</v>
      </c>
      <c r="D573" s="4" t="s">
        <v>340</v>
      </c>
      <c r="E573" s="4">
        <v>40</v>
      </c>
      <c r="F573" s="4">
        <v>2</v>
      </c>
      <c r="G573" s="4" t="s">
        <v>11</v>
      </c>
      <c r="H573" s="4" t="s">
        <v>12</v>
      </c>
    </row>
    <row r="574" spans="1:8">
      <c r="A574" s="3" t="s">
        <v>1200</v>
      </c>
      <c r="B574" s="4" t="s">
        <v>1207</v>
      </c>
      <c r="C574" s="4" t="s">
        <v>1208</v>
      </c>
      <c r="D574" s="4" t="s">
        <v>340</v>
      </c>
      <c r="E574" s="4">
        <v>43</v>
      </c>
      <c r="F574" s="4">
        <v>2</v>
      </c>
      <c r="G574" s="4" t="s">
        <v>11</v>
      </c>
      <c r="H574" s="4" t="s">
        <v>12</v>
      </c>
    </row>
    <row r="575" spans="1:8">
      <c r="A575" s="3" t="s">
        <v>1200</v>
      </c>
      <c r="B575" s="4" t="s">
        <v>1299</v>
      </c>
      <c r="C575" s="4" t="s">
        <v>1300</v>
      </c>
      <c r="D575" s="4" t="s">
        <v>340</v>
      </c>
      <c r="E575" s="4">
        <v>40</v>
      </c>
      <c r="F575" s="4">
        <v>2</v>
      </c>
      <c r="G575" s="4" t="s">
        <v>11</v>
      </c>
      <c r="H575" s="4" t="s">
        <v>12</v>
      </c>
    </row>
    <row r="576" spans="1:8">
      <c r="A576" s="3" t="s">
        <v>1200</v>
      </c>
      <c r="B576" s="4" t="s">
        <v>1211</v>
      </c>
      <c r="C576" s="4" t="s">
        <v>1212</v>
      </c>
      <c r="D576" s="4" t="s">
        <v>340</v>
      </c>
      <c r="E576" s="4">
        <v>47</v>
      </c>
      <c r="F576" s="4">
        <v>2</v>
      </c>
      <c r="G576" s="4" t="s">
        <v>11</v>
      </c>
      <c r="H576" s="4" t="s">
        <v>12</v>
      </c>
    </row>
    <row r="577" spans="1:8">
      <c r="A577" s="3" t="s">
        <v>1200</v>
      </c>
      <c r="B577" s="4" t="s">
        <v>1301</v>
      </c>
      <c r="C577" s="4" t="s">
        <v>1302</v>
      </c>
      <c r="D577" s="4" t="s">
        <v>340</v>
      </c>
      <c r="E577" s="4">
        <v>41</v>
      </c>
      <c r="F577" s="4">
        <v>2</v>
      </c>
      <c r="G577" s="4" t="s">
        <v>11</v>
      </c>
      <c r="H577" s="4" t="s">
        <v>12</v>
      </c>
    </row>
    <row r="578" spans="1:8">
      <c r="A578" s="3" t="s">
        <v>1184</v>
      </c>
      <c r="B578" s="4" t="s">
        <v>1387</v>
      </c>
      <c r="C578" s="4" t="s">
        <v>1388</v>
      </c>
      <c r="D578" s="4" t="s">
        <v>340</v>
      </c>
      <c r="E578" s="4">
        <v>57</v>
      </c>
      <c r="F578" s="4">
        <v>2</v>
      </c>
      <c r="G578" s="4" t="s">
        <v>11</v>
      </c>
      <c r="H578" s="4" t="s">
        <v>12</v>
      </c>
    </row>
    <row r="579" spans="1:8">
      <c r="A579" s="3" t="s">
        <v>1184</v>
      </c>
      <c r="B579" s="4" t="s">
        <v>1389</v>
      </c>
      <c r="C579" s="4" t="s">
        <v>1390</v>
      </c>
      <c r="D579" s="4" t="s">
        <v>340</v>
      </c>
      <c r="E579" s="4">
        <v>43</v>
      </c>
      <c r="F579" s="4">
        <v>2</v>
      </c>
      <c r="G579" s="4" t="s">
        <v>11</v>
      </c>
      <c r="H579" s="4" t="s">
        <v>12</v>
      </c>
    </row>
    <row r="580" spans="1:8">
      <c r="A580" s="3" t="s">
        <v>1184</v>
      </c>
      <c r="B580" s="4" t="s">
        <v>1187</v>
      </c>
      <c r="C580" s="4" t="s">
        <v>1188</v>
      </c>
      <c r="D580" s="4" t="s">
        <v>340</v>
      </c>
      <c r="E580" s="4">
        <v>57</v>
      </c>
      <c r="F580" s="4">
        <v>2</v>
      </c>
      <c r="G580" s="4" t="s">
        <v>11</v>
      </c>
      <c r="H580" s="4" t="s">
        <v>12</v>
      </c>
    </row>
    <row r="581" spans="1:8">
      <c r="A581" s="3" t="s">
        <v>1184</v>
      </c>
      <c r="B581" s="4" t="s">
        <v>1391</v>
      </c>
      <c r="C581" s="4" t="s">
        <v>1392</v>
      </c>
      <c r="D581" s="4" t="s">
        <v>340</v>
      </c>
      <c r="E581" s="4">
        <v>40</v>
      </c>
      <c r="F581" s="4">
        <v>2</v>
      </c>
      <c r="G581" s="4" t="s">
        <v>11</v>
      </c>
      <c r="H581" s="4" t="s">
        <v>12</v>
      </c>
    </row>
    <row r="582" spans="1:8">
      <c r="A582" s="3" t="s">
        <v>1184</v>
      </c>
      <c r="B582" s="4" t="s">
        <v>1393</v>
      </c>
      <c r="C582" s="4" t="s">
        <v>1394</v>
      </c>
      <c r="D582" s="4" t="s">
        <v>340</v>
      </c>
      <c r="E582" s="4">
        <v>55</v>
      </c>
      <c r="F582" s="4">
        <v>2</v>
      </c>
      <c r="G582" s="4" t="s">
        <v>11</v>
      </c>
      <c r="H582" s="4" t="s">
        <v>12</v>
      </c>
    </row>
    <row r="583" spans="1:8">
      <c r="A583" s="3" t="s">
        <v>1184</v>
      </c>
      <c r="B583" s="4" t="s">
        <v>1395</v>
      </c>
      <c r="C583" s="4" t="s">
        <v>1396</v>
      </c>
      <c r="D583" s="4" t="s">
        <v>340</v>
      </c>
      <c r="E583" s="4">
        <v>46</v>
      </c>
      <c r="F583" s="4">
        <v>2</v>
      </c>
      <c r="G583" s="4" t="s">
        <v>11</v>
      </c>
      <c r="H583" s="4" t="s">
        <v>12</v>
      </c>
    </row>
    <row r="584" spans="1:8">
      <c r="A584" s="3" t="s">
        <v>1184</v>
      </c>
      <c r="B584" s="4" t="s">
        <v>1397</v>
      </c>
      <c r="C584" s="4" t="s">
        <v>1398</v>
      </c>
      <c r="D584" s="4" t="s">
        <v>340</v>
      </c>
      <c r="E584" s="4">
        <v>48</v>
      </c>
      <c r="F584" s="4">
        <v>2</v>
      </c>
      <c r="G584" s="4" t="s">
        <v>11</v>
      </c>
      <c r="H584" s="4" t="s">
        <v>12</v>
      </c>
    </row>
    <row r="585" spans="1:8">
      <c r="A585" s="3" t="s">
        <v>1083</v>
      </c>
      <c r="B585" s="4" t="s">
        <v>1399</v>
      </c>
      <c r="C585" s="4" t="s">
        <v>954</v>
      </c>
      <c r="D585" s="4" t="s">
        <v>340</v>
      </c>
      <c r="E585" s="4">
        <v>56</v>
      </c>
      <c r="F585" s="4">
        <v>2</v>
      </c>
      <c r="G585" s="4" t="s">
        <v>11</v>
      </c>
      <c r="H585" s="4" t="s">
        <v>12</v>
      </c>
    </row>
    <row r="586" spans="1:8">
      <c r="A586" s="3" t="s">
        <v>1083</v>
      </c>
      <c r="B586" s="4" t="s">
        <v>1400</v>
      </c>
      <c r="C586" s="4" t="s">
        <v>1401</v>
      </c>
      <c r="D586" s="4" t="s">
        <v>340</v>
      </c>
      <c r="E586" s="4">
        <v>46</v>
      </c>
      <c r="F586" s="4">
        <v>2</v>
      </c>
      <c r="G586" s="4" t="s">
        <v>11</v>
      </c>
      <c r="H586" s="4" t="s">
        <v>12</v>
      </c>
    </row>
    <row r="587" spans="1:8">
      <c r="A587" s="3" t="s">
        <v>1083</v>
      </c>
      <c r="B587" s="4" t="s">
        <v>1402</v>
      </c>
      <c r="C587" s="4" t="s">
        <v>1403</v>
      </c>
      <c r="D587" s="4" t="s">
        <v>340</v>
      </c>
      <c r="E587" s="4">
        <v>53</v>
      </c>
      <c r="F587" s="4">
        <v>2</v>
      </c>
      <c r="G587" s="4" t="s">
        <v>11</v>
      </c>
      <c r="H587" s="4" t="s">
        <v>12</v>
      </c>
    </row>
    <row r="588" spans="1:8">
      <c r="A588" s="3" t="s">
        <v>1217</v>
      </c>
      <c r="B588" s="4" t="s">
        <v>1404</v>
      </c>
      <c r="C588" s="4" t="s">
        <v>1405</v>
      </c>
      <c r="D588" s="4" t="s">
        <v>340</v>
      </c>
      <c r="E588" s="4">
        <v>40</v>
      </c>
      <c r="F588" s="4">
        <v>2</v>
      </c>
      <c r="G588" s="4" t="s">
        <v>11</v>
      </c>
      <c r="H588" s="4" t="s">
        <v>12</v>
      </c>
    </row>
    <row r="589" spans="1:8">
      <c r="A589" s="3" t="s">
        <v>1217</v>
      </c>
      <c r="B589" s="4" t="s">
        <v>1220</v>
      </c>
      <c r="C589" s="4" t="s">
        <v>1221</v>
      </c>
      <c r="D589" s="4" t="s">
        <v>340</v>
      </c>
      <c r="E589" s="4">
        <v>46</v>
      </c>
      <c r="F589" s="4">
        <v>2</v>
      </c>
      <c r="G589" s="4" t="s">
        <v>11</v>
      </c>
      <c r="H589" s="4" t="s">
        <v>12</v>
      </c>
    </row>
    <row r="590" spans="1:8">
      <c r="A590" s="3" t="s">
        <v>1217</v>
      </c>
      <c r="B590" s="4" t="s">
        <v>1406</v>
      </c>
      <c r="C590" s="4" t="s">
        <v>1407</v>
      </c>
      <c r="D590" s="4" t="s">
        <v>340</v>
      </c>
      <c r="E590" s="4">
        <v>50</v>
      </c>
      <c r="F590" s="4">
        <v>2</v>
      </c>
      <c r="G590" s="4" t="s">
        <v>11</v>
      </c>
      <c r="H590" s="4" t="s">
        <v>12</v>
      </c>
    </row>
    <row r="591" spans="1:8">
      <c r="A591" s="3" t="s">
        <v>1217</v>
      </c>
      <c r="B591" s="4" t="s">
        <v>1222</v>
      </c>
      <c r="C591" s="4" t="s">
        <v>1223</v>
      </c>
      <c r="D591" s="4" t="s">
        <v>340</v>
      </c>
      <c r="E591" s="4">
        <v>40</v>
      </c>
      <c r="F591" s="4">
        <v>2</v>
      </c>
      <c r="G591" s="4" t="s">
        <v>11</v>
      </c>
      <c r="H591" s="4" t="s">
        <v>12</v>
      </c>
    </row>
    <row r="592" spans="1:8">
      <c r="A592" s="3" t="s">
        <v>1217</v>
      </c>
      <c r="B592" s="4" t="s">
        <v>1224</v>
      </c>
      <c r="C592" s="4" t="s">
        <v>1225</v>
      </c>
      <c r="D592" s="4" t="s">
        <v>340</v>
      </c>
      <c r="E592" s="4">
        <v>46</v>
      </c>
      <c r="F592" s="4">
        <v>2</v>
      </c>
      <c r="G592" s="4" t="s">
        <v>11</v>
      </c>
      <c r="H592" s="4" t="s">
        <v>12</v>
      </c>
    </row>
    <row r="593" spans="1:8">
      <c r="A593" s="3" t="s">
        <v>1217</v>
      </c>
      <c r="B593" s="4" t="s">
        <v>1408</v>
      </c>
      <c r="C593" s="4" t="s">
        <v>1409</v>
      </c>
      <c r="D593" s="4" t="s">
        <v>340</v>
      </c>
      <c r="E593" s="4">
        <v>51</v>
      </c>
      <c r="F593" s="4">
        <v>2</v>
      </c>
      <c r="G593" s="4" t="s">
        <v>11</v>
      </c>
      <c r="H593" s="4" t="s">
        <v>12</v>
      </c>
    </row>
    <row r="594" spans="1:8">
      <c r="A594" s="3" t="s">
        <v>1217</v>
      </c>
      <c r="B594" s="4" t="s">
        <v>1410</v>
      </c>
      <c r="C594" s="4" t="s">
        <v>1411</v>
      </c>
      <c r="D594" s="4" t="s">
        <v>340</v>
      </c>
      <c r="E594" s="4">
        <v>41</v>
      </c>
      <c r="F594" s="4">
        <v>2</v>
      </c>
      <c r="G594" s="4" t="s">
        <v>11</v>
      </c>
      <c r="H594" s="4" t="s">
        <v>12</v>
      </c>
    </row>
    <row r="595" spans="1:8">
      <c r="A595" s="3" t="s">
        <v>998</v>
      </c>
      <c r="B595" s="4" t="s">
        <v>1367</v>
      </c>
      <c r="C595" s="4" t="s">
        <v>1368</v>
      </c>
      <c r="D595" s="4" t="s">
        <v>340</v>
      </c>
      <c r="E595" s="4">
        <v>51</v>
      </c>
      <c r="F595" s="4">
        <v>2</v>
      </c>
      <c r="G595" s="4" t="s">
        <v>11</v>
      </c>
      <c r="H595" s="4" t="s">
        <v>12</v>
      </c>
    </row>
    <row r="596" spans="1:8">
      <c r="A596" s="3" t="s">
        <v>1191</v>
      </c>
      <c r="B596" s="4" t="s">
        <v>1319</v>
      </c>
      <c r="C596" s="4" t="s">
        <v>1320</v>
      </c>
      <c r="D596" s="4" t="s">
        <v>340</v>
      </c>
      <c r="E596" s="4">
        <v>48</v>
      </c>
      <c r="F596" s="4">
        <v>2</v>
      </c>
      <c r="G596" s="4" t="s">
        <v>11</v>
      </c>
      <c r="H596" s="4" t="s">
        <v>12</v>
      </c>
    </row>
    <row r="597" spans="1:8">
      <c r="A597" s="3" t="s">
        <v>1191</v>
      </c>
      <c r="B597" s="4" t="s">
        <v>1321</v>
      </c>
      <c r="C597" s="4" t="s">
        <v>1322</v>
      </c>
      <c r="D597" s="4" t="s">
        <v>340</v>
      </c>
      <c r="E597" s="4">
        <v>45</v>
      </c>
      <c r="F597" s="4">
        <v>2</v>
      </c>
      <c r="G597" s="4" t="s">
        <v>11</v>
      </c>
      <c r="H597" s="4" t="s">
        <v>12</v>
      </c>
    </row>
    <row r="598" spans="1:8">
      <c r="A598" s="3" t="s">
        <v>1191</v>
      </c>
      <c r="B598" s="4" t="s">
        <v>1323</v>
      </c>
      <c r="C598" s="4" t="s">
        <v>1324</v>
      </c>
      <c r="D598" s="4" t="s">
        <v>340</v>
      </c>
      <c r="E598" s="4">
        <v>54</v>
      </c>
      <c r="F598" s="4">
        <v>2</v>
      </c>
      <c r="G598" s="4" t="s">
        <v>11</v>
      </c>
      <c r="H598" s="4" t="s">
        <v>12</v>
      </c>
    </row>
    <row r="599" spans="1:8">
      <c r="A599" s="3" t="s">
        <v>1191</v>
      </c>
      <c r="B599" s="4" t="s">
        <v>1325</v>
      </c>
      <c r="C599" s="4" t="s">
        <v>1326</v>
      </c>
      <c r="D599" s="4" t="s">
        <v>340</v>
      </c>
      <c r="E599" s="4">
        <v>41</v>
      </c>
      <c r="F599" s="4">
        <v>2</v>
      </c>
      <c r="G599" s="4" t="s">
        <v>11</v>
      </c>
      <c r="H599" s="4" t="s">
        <v>12</v>
      </c>
    </row>
    <row r="600" spans="1:8">
      <c r="A600" s="3" t="s">
        <v>1191</v>
      </c>
      <c r="B600" s="4" t="s">
        <v>1327</v>
      </c>
      <c r="C600" s="4" t="s">
        <v>1328</v>
      </c>
      <c r="D600" s="4" t="s">
        <v>340</v>
      </c>
      <c r="E600" s="4">
        <v>46</v>
      </c>
      <c r="F600" s="4">
        <v>2</v>
      </c>
      <c r="G600" s="4" t="s">
        <v>11</v>
      </c>
      <c r="H600" s="4" t="s">
        <v>12</v>
      </c>
    </row>
    <row r="601" spans="1:8">
      <c r="A601" s="3" t="s">
        <v>1191</v>
      </c>
      <c r="B601" s="4" t="s">
        <v>1329</v>
      </c>
      <c r="C601" s="4" t="s">
        <v>1330</v>
      </c>
      <c r="D601" s="4" t="s">
        <v>340</v>
      </c>
      <c r="E601" s="4">
        <v>53</v>
      </c>
      <c r="F601" s="4">
        <v>2</v>
      </c>
      <c r="G601" s="4" t="s">
        <v>11</v>
      </c>
      <c r="H601" s="4" t="s">
        <v>12</v>
      </c>
    </row>
    <row r="602" spans="1:8">
      <c r="A602" s="3" t="s">
        <v>1191</v>
      </c>
      <c r="B602" s="4" t="s">
        <v>1331</v>
      </c>
      <c r="C602" s="4" t="s">
        <v>1332</v>
      </c>
      <c r="D602" s="4" t="s">
        <v>340</v>
      </c>
      <c r="E602" s="4">
        <v>40</v>
      </c>
      <c r="F602" s="4">
        <v>2</v>
      </c>
      <c r="G602" s="4" t="s">
        <v>11</v>
      </c>
      <c r="H602" s="4" t="s">
        <v>12</v>
      </c>
    </row>
    <row r="603" spans="1:8">
      <c r="A603" s="3" t="s">
        <v>1191</v>
      </c>
      <c r="B603" s="4" t="s">
        <v>1333</v>
      </c>
      <c r="C603" s="4" t="s">
        <v>1334</v>
      </c>
      <c r="D603" s="4" t="s">
        <v>340</v>
      </c>
      <c r="E603" s="4">
        <v>40</v>
      </c>
      <c r="F603" s="4">
        <v>2</v>
      </c>
      <c r="G603" s="4" t="s">
        <v>11</v>
      </c>
      <c r="H603" s="4" t="s">
        <v>12</v>
      </c>
    </row>
    <row r="604" spans="1:8">
      <c r="A604" s="3" t="s">
        <v>1191</v>
      </c>
      <c r="B604" s="4" t="s">
        <v>1335</v>
      </c>
      <c r="C604" s="4" t="s">
        <v>1336</v>
      </c>
      <c r="D604" s="4" t="s">
        <v>340</v>
      </c>
      <c r="E604" s="4">
        <v>42</v>
      </c>
      <c r="F604" s="4">
        <v>2</v>
      </c>
      <c r="G604" s="4" t="s">
        <v>11</v>
      </c>
      <c r="H604" s="4" t="s">
        <v>12</v>
      </c>
    </row>
    <row r="605" spans="1:8">
      <c r="A605" s="3" t="s">
        <v>1191</v>
      </c>
      <c r="B605" s="4" t="s">
        <v>1337</v>
      </c>
      <c r="C605" s="4" t="s">
        <v>1338</v>
      </c>
      <c r="D605" s="4" t="s">
        <v>340</v>
      </c>
      <c r="E605" s="4">
        <v>55</v>
      </c>
      <c r="F605" s="4">
        <v>2</v>
      </c>
      <c r="G605" s="4" t="s">
        <v>11</v>
      </c>
      <c r="H605" s="4" t="s">
        <v>12</v>
      </c>
    </row>
    <row r="606" spans="1:8">
      <c r="A606" s="3" t="s">
        <v>1191</v>
      </c>
      <c r="B606" s="4" t="s">
        <v>1198</v>
      </c>
      <c r="C606" s="4" t="s">
        <v>1199</v>
      </c>
      <c r="D606" s="4" t="s">
        <v>340</v>
      </c>
      <c r="E606" s="4">
        <v>47</v>
      </c>
      <c r="F606" s="4">
        <v>2</v>
      </c>
      <c r="G606" s="4" t="s">
        <v>11</v>
      </c>
      <c r="H606" s="4" t="s">
        <v>12</v>
      </c>
    </row>
    <row r="607" spans="1:8">
      <c r="A607" s="3" t="s">
        <v>1231</v>
      </c>
      <c r="B607" s="4" t="s">
        <v>1412</v>
      </c>
      <c r="C607" s="4" t="s">
        <v>1413</v>
      </c>
      <c r="D607" s="4" t="s">
        <v>340</v>
      </c>
      <c r="E607" s="4">
        <v>51</v>
      </c>
      <c r="F607" s="4">
        <v>2</v>
      </c>
      <c r="G607" s="4" t="s">
        <v>11</v>
      </c>
      <c r="H607" s="4" t="s">
        <v>12</v>
      </c>
    </row>
    <row r="608" spans="1:8">
      <c r="A608" s="3" t="s">
        <v>1231</v>
      </c>
      <c r="B608" s="4" t="s">
        <v>1414</v>
      </c>
      <c r="C608" s="4" t="s">
        <v>1415</v>
      </c>
      <c r="D608" s="4" t="s">
        <v>340</v>
      </c>
      <c r="E608" s="4">
        <v>52</v>
      </c>
      <c r="F608" s="4">
        <v>2</v>
      </c>
      <c r="G608" s="4" t="s">
        <v>11</v>
      </c>
      <c r="H608" s="4" t="s">
        <v>12</v>
      </c>
    </row>
    <row r="609" spans="1:8">
      <c r="A609" s="3" t="s">
        <v>1231</v>
      </c>
      <c r="B609" s="4" t="s">
        <v>1416</v>
      </c>
      <c r="C609" s="4" t="s">
        <v>1417</v>
      </c>
      <c r="D609" s="4" t="s">
        <v>340</v>
      </c>
      <c r="E609" s="4">
        <v>50</v>
      </c>
      <c r="F609" s="4">
        <v>2</v>
      </c>
      <c r="G609" s="4" t="s">
        <v>11</v>
      </c>
      <c r="H609" s="4" t="s">
        <v>12</v>
      </c>
    </row>
    <row r="610" spans="1:8">
      <c r="A610" s="3" t="s">
        <v>1231</v>
      </c>
      <c r="B610" s="4" t="s">
        <v>1234</v>
      </c>
      <c r="C610" s="4" t="s">
        <v>1235</v>
      </c>
      <c r="D610" s="4" t="s">
        <v>340</v>
      </c>
      <c r="E610" s="4">
        <v>54</v>
      </c>
      <c r="F610" s="4">
        <v>2</v>
      </c>
      <c r="G610" s="4" t="s">
        <v>11</v>
      </c>
      <c r="H610" s="4" t="s">
        <v>12</v>
      </c>
    </row>
    <row r="611" spans="1:8">
      <c r="A611" s="3" t="s">
        <v>1231</v>
      </c>
      <c r="B611" s="4" t="s">
        <v>1418</v>
      </c>
      <c r="C611" s="4" t="s">
        <v>1419</v>
      </c>
      <c r="D611" s="4" t="s">
        <v>340</v>
      </c>
      <c r="E611" s="4">
        <v>48</v>
      </c>
      <c r="F611" s="4">
        <v>2</v>
      </c>
      <c r="G611" s="4" t="s">
        <v>11</v>
      </c>
      <c r="H611" s="4" t="s">
        <v>12</v>
      </c>
    </row>
    <row r="612" spans="1:8">
      <c r="A612" s="3" t="s">
        <v>1231</v>
      </c>
      <c r="B612" s="4" t="s">
        <v>1420</v>
      </c>
      <c r="C612" s="4" t="s">
        <v>1421</v>
      </c>
      <c r="D612" s="4" t="s">
        <v>340</v>
      </c>
      <c r="E612" s="4">
        <v>55</v>
      </c>
      <c r="F612" s="4">
        <v>2</v>
      </c>
      <c r="G612" s="4" t="s">
        <v>11</v>
      </c>
      <c r="H612" s="4" t="s">
        <v>12</v>
      </c>
    </row>
    <row r="613" spans="1:8">
      <c r="A613" s="3" t="s">
        <v>1231</v>
      </c>
      <c r="B613" s="4" t="s">
        <v>1422</v>
      </c>
      <c r="C613" s="4" t="s">
        <v>1423</v>
      </c>
      <c r="D613" s="4" t="s">
        <v>340</v>
      </c>
      <c r="E613" s="4">
        <v>50</v>
      </c>
      <c r="F613" s="4">
        <v>2</v>
      </c>
      <c r="G613" s="4" t="s">
        <v>11</v>
      </c>
      <c r="H613" s="4" t="s">
        <v>12</v>
      </c>
    </row>
    <row r="614" spans="1:8">
      <c r="A614" s="3" t="s">
        <v>1231</v>
      </c>
      <c r="B614" s="4" t="s">
        <v>1236</v>
      </c>
      <c r="C614" s="4" t="s">
        <v>1237</v>
      </c>
      <c r="D614" s="4" t="s">
        <v>340</v>
      </c>
      <c r="E614" s="4">
        <v>40</v>
      </c>
      <c r="F614" s="4">
        <v>2</v>
      </c>
      <c r="G614" s="4" t="s">
        <v>11</v>
      </c>
      <c r="H614" s="4" t="s">
        <v>12</v>
      </c>
    </row>
    <row r="615" spans="1:8">
      <c r="A615" s="3" t="s">
        <v>1231</v>
      </c>
      <c r="B615" s="4" t="s">
        <v>1238</v>
      </c>
      <c r="C615" s="4" t="s">
        <v>1239</v>
      </c>
      <c r="D615" s="4" t="s">
        <v>340</v>
      </c>
      <c r="E615" s="4">
        <v>43</v>
      </c>
      <c r="F615" s="4">
        <v>2</v>
      </c>
      <c r="G615" s="4" t="s">
        <v>11</v>
      </c>
      <c r="H615" s="4" t="s">
        <v>12</v>
      </c>
    </row>
    <row r="616" spans="1:8">
      <c r="A616" s="3" t="s">
        <v>1231</v>
      </c>
      <c r="B616" s="4" t="s">
        <v>1240</v>
      </c>
      <c r="C616" s="4" t="s">
        <v>157</v>
      </c>
      <c r="D616" s="4" t="s">
        <v>340</v>
      </c>
      <c r="E616" s="4">
        <v>40</v>
      </c>
      <c r="F616" s="4">
        <v>2</v>
      </c>
      <c r="G616" s="4" t="s">
        <v>11</v>
      </c>
      <c r="H616" s="4" t="s">
        <v>12</v>
      </c>
    </row>
    <row r="617" spans="1:8">
      <c r="A617" s="3" t="s">
        <v>1231</v>
      </c>
      <c r="B617" s="4" t="s">
        <v>1424</v>
      </c>
      <c r="C617" s="4" t="s">
        <v>1425</v>
      </c>
      <c r="D617" s="4" t="s">
        <v>340</v>
      </c>
      <c r="E617" s="4">
        <v>40</v>
      </c>
      <c r="F617" s="4">
        <v>2</v>
      </c>
      <c r="G617" s="4" t="s">
        <v>11</v>
      </c>
      <c r="H617" s="4" t="s">
        <v>12</v>
      </c>
    </row>
    <row r="618" spans="1:8">
      <c r="A618" s="3" t="s">
        <v>1231</v>
      </c>
      <c r="B618" s="4" t="s">
        <v>1426</v>
      </c>
      <c r="C618" s="4" t="s">
        <v>1427</v>
      </c>
      <c r="D618" s="4" t="s">
        <v>340</v>
      </c>
      <c r="E618" s="4">
        <v>44</v>
      </c>
      <c r="F618" s="4">
        <v>2</v>
      </c>
      <c r="G618" s="4" t="s">
        <v>11</v>
      </c>
      <c r="H618" s="4" t="s">
        <v>12</v>
      </c>
    </row>
    <row r="619" spans="1:8">
      <c r="A619" s="3" t="s">
        <v>1231</v>
      </c>
      <c r="B619" s="4" t="s">
        <v>1241</v>
      </c>
      <c r="C619" s="4" t="s">
        <v>1242</v>
      </c>
      <c r="D619" s="4" t="s">
        <v>340</v>
      </c>
      <c r="E619" s="4">
        <v>40</v>
      </c>
      <c r="F619" s="4">
        <v>2</v>
      </c>
      <c r="G619" s="4" t="s">
        <v>11</v>
      </c>
      <c r="H619" s="4" t="s">
        <v>12</v>
      </c>
    </row>
    <row r="620" spans="1:8">
      <c r="A620" s="3" t="s">
        <v>1102</v>
      </c>
      <c r="B620" s="4" t="s">
        <v>1105</v>
      </c>
      <c r="C620" s="4" t="s">
        <v>1106</v>
      </c>
      <c r="D620" s="4" t="s">
        <v>340</v>
      </c>
      <c r="E620" s="4">
        <v>49</v>
      </c>
      <c r="F620" s="4">
        <v>2</v>
      </c>
      <c r="G620" s="4" t="s">
        <v>11</v>
      </c>
      <c r="H620" s="4" t="s">
        <v>12</v>
      </c>
    </row>
    <row r="621" spans="1:8">
      <c r="A621" s="3" t="s">
        <v>1102</v>
      </c>
      <c r="B621" s="4" t="s">
        <v>1107</v>
      </c>
      <c r="C621" s="4" t="s">
        <v>1108</v>
      </c>
      <c r="D621" s="4" t="s">
        <v>340</v>
      </c>
      <c r="E621" s="4">
        <v>45</v>
      </c>
      <c r="F621" s="4">
        <v>2</v>
      </c>
      <c r="G621" s="4" t="s">
        <v>11</v>
      </c>
      <c r="H621" s="4" t="s">
        <v>12</v>
      </c>
    </row>
    <row r="622" spans="1:8">
      <c r="A622" s="3" t="s">
        <v>1102</v>
      </c>
      <c r="B622" s="4" t="s">
        <v>1117</v>
      </c>
      <c r="C622" s="4" t="s">
        <v>1118</v>
      </c>
      <c r="D622" s="4" t="s">
        <v>340</v>
      </c>
      <c r="E622" s="4">
        <v>44</v>
      </c>
      <c r="F622" s="4">
        <v>2</v>
      </c>
      <c r="G622" s="4" t="s">
        <v>11</v>
      </c>
      <c r="H622" s="4" t="s">
        <v>12</v>
      </c>
    </row>
    <row r="623" spans="1:8">
      <c r="A623" s="3" t="s">
        <v>1102</v>
      </c>
      <c r="B623" s="4" t="s">
        <v>1303</v>
      </c>
      <c r="C623" s="4" t="s">
        <v>1304</v>
      </c>
      <c r="D623" s="4" t="s">
        <v>340</v>
      </c>
      <c r="E623" s="4">
        <v>40</v>
      </c>
      <c r="F623" s="4">
        <v>2</v>
      </c>
      <c r="G623" s="4" t="s">
        <v>11</v>
      </c>
      <c r="H623" s="4" t="s">
        <v>12</v>
      </c>
    </row>
    <row r="624" spans="1:8">
      <c r="A624" s="3" t="s">
        <v>1102</v>
      </c>
      <c r="B624" s="4" t="s">
        <v>1129</v>
      </c>
      <c r="C624" s="4" t="s">
        <v>1130</v>
      </c>
      <c r="D624" s="4" t="s">
        <v>340</v>
      </c>
      <c r="E624" s="4">
        <v>43</v>
      </c>
      <c r="F624" s="4">
        <v>2</v>
      </c>
      <c r="G624" s="4" t="s">
        <v>11</v>
      </c>
      <c r="H624" s="4" t="s">
        <v>12</v>
      </c>
    </row>
    <row r="625" spans="1:8">
      <c r="A625" s="3" t="s">
        <v>1102</v>
      </c>
      <c r="B625" s="4" t="s">
        <v>1131</v>
      </c>
      <c r="C625" s="4" t="s">
        <v>1132</v>
      </c>
      <c r="D625" s="4" t="s">
        <v>340</v>
      </c>
      <c r="E625" s="4">
        <v>52</v>
      </c>
      <c r="F625" s="4">
        <v>2</v>
      </c>
      <c r="G625" s="4" t="s">
        <v>11</v>
      </c>
      <c r="H625" s="4" t="s">
        <v>12</v>
      </c>
    </row>
    <row r="626" spans="1:8">
      <c r="A626" s="3" t="s">
        <v>1135</v>
      </c>
      <c r="B626" s="4" t="s">
        <v>1138</v>
      </c>
      <c r="C626" s="4" t="s">
        <v>1139</v>
      </c>
      <c r="D626" s="4" t="s">
        <v>340</v>
      </c>
      <c r="E626" s="4">
        <v>42</v>
      </c>
      <c r="F626" s="4">
        <v>2</v>
      </c>
      <c r="G626" s="4" t="s">
        <v>11</v>
      </c>
      <c r="H626" s="4" t="s">
        <v>12</v>
      </c>
    </row>
    <row r="627" spans="1:8">
      <c r="A627" s="3" t="s">
        <v>1135</v>
      </c>
      <c r="B627" s="4" t="s">
        <v>1339</v>
      </c>
      <c r="C627" s="4" t="s">
        <v>1340</v>
      </c>
      <c r="D627" s="4" t="s">
        <v>340</v>
      </c>
      <c r="E627" s="4">
        <v>55</v>
      </c>
      <c r="F627" s="4">
        <v>2</v>
      </c>
      <c r="G627" s="4" t="s">
        <v>11</v>
      </c>
      <c r="H627" s="4" t="s">
        <v>12</v>
      </c>
    </row>
    <row r="628" spans="1:8">
      <c r="A628" s="3" t="s">
        <v>1135</v>
      </c>
      <c r="B628" s="4" t="s">
        <v>1341</v>
      </c>
      <c r="C628" s="4" t="s">
        <v>1342</v>
      </c>
      <c r="D628" s="4" t="s">
        <v>340</v>
      </c>
      <c r="E628" s="4">
        <v>49</v>
      </c>
      <c r="F628" s="4">
        <v>2</v>
      </c>
      <c r="G628" s="4" t="s">
        <v>11</v>
      </c>
      <c r="H628" s="4" t="s">
        <v>12</v>
      </c>
    </row>
    <row r="629" spans="1:8">
      <c r="A629" s="3" t="s">
        <v>1135</v>
      </c>
      <c r="B629" s="4" t="s">
        <v>1343</v>
      </c>
      <c r="C629" s="4" t="s">
        <v>1344</v>
      </c>
      <c r="D629" s="4" t="s">
        <v>340</v>
      </c>
      <c r="E629" s="4">
        <v>52</v>
      </c>
      <c r="F629" s="4">
        <v>2</v>
      </c>
      <c r="G629" s="4" t="s">
        <v>11</v>
      </c>
      <c r="H629" s="4" t="s">
        <v>12</v>
      </c>
    </row>
    <row r="630" spans="1:8">
      <c r="A630" s="3" t="s">
        <v>1135</v>
      </c>
      <c r="B630" s="4" t="s">
        <v>1345</v>
      </c>
      <c r="C630" s="4" t="s">
        <v>1346</v>
      </c>
      <c r="D630" s="4" t="s">
        <v>340</v>
      </c>
      <c r="E630" s="4">
        <v>43</v>
      </c>
      <c r="F630" s="4">
        <v>2</v>
      </c>
      <c r="G630" s="4" t="s">
        <v>11</v>
      </c>
      <c r="H630" s="4" t="s">
        <v>12</v>
      </c>
    </row>
    <row r="631" spans="1:8">
      <c r="A631" s="3" t="s">
        <v>1135</v>
      </c>
      <c r="B631" s="4" t="s">
        <v>1347</v>
      </c>
      <c r="C631" s="4" t="s">
        <v>1348</v>
      </c>
      <c r="D631" s="4" t="s">
        <v>340</v>
      </c>
      <c r="E631" s="4">
        <v>56</v>
      </c>
      <c r="F631" s="4">
        <v>2</v>
      </c>
      <c r="G631" s="4" t="s">
        <v>11</v>
      </c>
      <c r="H631" s="4" t="s">
        <v>12</v>
      </c>
    </row>
    <row r="632" spans="1:8">
      <c r="A632" s="3" t="s">
        <v>1135</v>
      </c>
      <c r="B632" s="4" t="s">
        <v>1349</v>
      </c>
      <c r="C632" s="4" t="s">
        <v>1350</v>
      </c>
      <c r="D632" s="4" t="s">
        <v>340</v>
      </c>
      <c r="E632" s="4">
        <v>51</v>
      </c>
      <c r="F632" s="4">
        <v>2</v>
      </c>
      <c r="G632" s="4" t="s">
        <v>11</v>
      </c>
      <c r="H632" s="4" t="s">
        <v>12</v>
      </c>
    </row>
    <row r="633" spans="1:8">
      <c r="A633" s="3" t="s">
        <v>1428</v>
      </c>
      <c r="B633" s="4" t="s">
        <v>1429</v>
      </c>
      <c r="C633" s="4" t="s">
        <v>1430</v>
      </c>
      <c r="D633" s="4" t="s">
        <v>340</v>
      </c>
      <c r="E633" s="4">
        <v>45</v>
      </c>
      <c r="F633" s="4">
        <v>2</v>
      </c>
      <c r="G633" s="4" t="s">
        <v>11</v>
      </c>
      <c r="H633" s="4" t="s">
        <v>12</v>
      </c>
    </row>
    <row r="634" spans="1:8">
      <c r="A634" s="3" t="s">
        <v>1428</v>
      </c>
      <c r="B634" s="4" t="s">
        <v>1431</v>
      </c>
      <c r="C634" s="4" t="s">
        <v>1432</v>
      </c>
      <c r="D634" s="4" t="s">
        <v>340</v>
      </c>
      <c r="E634" s="4">
        <v>48</v>
      </c>
      <c r="F634" s="4">
        <v>2</v>
      </c>
      <c r="G634" s="4" t="s">
        <v>11</v>
      </c>
      <c r="H634" s="4" t="s">
        <v>12</v>
      </c>
    </row>
    <row r="635" spans="1:8">
      <c r="A635" s="3" t="s">
        <v>971</v>
      </c>
      <c r="B635" s="4" t="s">
        <v>1281</v>
      </c>
      <c r="C635" s="4" t="s">
        <v>1282</v>
      </c>
      <c r="D635" s="4" t="s">
        <v>582</v>
      </c>
      <c r="E635" s="4">
        <v>45</v>
      </c>
      <c r="F635" s="4">
        <v>1</v>
      </c>
      <c r="G635" s="4" t="s">
        <v>583</v>
      </c>
      <c r="H635" s="4" t="s">
        <v>12</v>
      </c>
    </row>
    <row r="636" spans="1:8">
      <c r="A636" s="3" t="s">
        <v>971</v>
      </c>
      <c r="B636" s="4" t="s">
        <v>1439</v>
      </c>
      <c r="C636" s="4" t="s">
        <v>1440</v>
      </c>
      <c r="D636" s="4" t="s">
        <v>582</v>
      </c>
      <c r="E636" s="4">
        <v>45</v>
      </c>
      <c r="F636" s="4">
        <v>1</v>
      </c>
      <c r="G636" s="4" t="s">
        <v>583</v>
      </c>
      <c r="H636" s="4" t="s">
        <v>12</v>
      </c>
    </row>
    <row r="637" spans="1:8">
      <c r="A637" s="3" t="s">
        <v>971</v>
      </c>
      <c r="B637" s="4" t="s">
        <v>988</v>
      </c>
      <c r="C637" s="4" t="s">
        <v>989</v>
      </c>
      <c r="D637" s="4" t="s">
        <v>582</v>
      </c>
      <c r="E637" s="4">
        <v>55</v>
      </c>
      <c r="F637" s="4">
        <v>1</v>
      </c>
      <c r="G637" s="4" t="s">
        <v>583</v>
      </c>
      <c r="H637" s="4" t="s">
        <v>12</v>
      </c>
    </row>
    <row r="638" spans="1:8">
      <c r="A638" s="3" t="s">
        <v>971</v>
      </c>
      <c r="B638" s="4" t="s">
        <v>990</v>
      </c>
      <c r="C638" s="4" t="s">
        <v>991</v>
      </c>
      <c r="D638" s="4" t="s">
        <v>582</v>
      </c>
      <c r="E638" s="4">
        <v>50</v>
      </c>
      <c r="F638" s="4">
        <v>1</v>
      </c>
      <c r="G638" s="4" t="s">
        <v>583</v>
      </c>
      <c r="H638" s="4" t="s">
        <v>12</v>
      </c>
    </row>
    <row r="639" spans="1:8">
      <c r="A639" s="3" t="s">
        <v>971</v>
      </c>
      <c r="B639" s="4" t="s">
        <v>1287</v>
      </c>
      <c r="C639" s="4" t="s">
        <v>1288</v>
      </c>
      <c r="D639" s="4" t="s">
        <v>582</v>
      </c>
      <c r="E639" s="4">
        <v>45</v>
      </c>
      <c r="F639" s="4">
        <v>1</v>
      </c>
      <c r="G639" s="4" t="s">
        <v>583</v>
      </c>
      <c r="H639" s="4" t="s">
        <v>12</v>
      </c>
    </row>
    <row r="640" spans="1:8">
      <c r="A640" s="3" t="s">
        <v>1171</v>
      </c>
      <c r="B640" s="4" t="s">
        <v>1433</v>
      </c>
      <c r="C640" s="4" t="s">
        <v>1434</v>
      </c>
      <c r="D640" s="4" t="s">
        <v>582</v>
      </c>
      <c r="E640" s="4">
        <v>43</v>
      </c>
      <c r="F640" s="4">
        <v>1</v>
      </c>
      <c r="G640" s="4" t="s">
        <v>583</v>
      </c>
      <c r="H640" s="4" t="s">
        <v>12</v>
      </c>
    </row>
    <row r="641" spans="1:8">
      <c r="A641" s="3" t="s">
        <v>1064</v>
      </c>
      <c r="B641" s="4" t="s">
        <v>1067</v>
      </c>
      <c r="C641" s="4" t="s">
        <v>1068</v>
      </c>
      <c r="D641" s="4" t="s">
        <v>582</v>
      </c>
      <c r="E641" s="4">
        <v>46</v>
      </c>
      <c r="F641" s="4">
        <v>1</v>
      </c>
      <c r="G641" s="4" t="s">
        <v>583</v>
      </c>
      <c r="H641" s="4" t="s">
        <v>12</v>
      </c>
    </row>
    <row r="642" spans="1:8">
      <c r="A642" s="3" t="s">
        <v>1064</v>
      </c>
      <c r="B642" s="4" t="s">
        <v>1449</v>
      </c>
      <c r="C642" s="4" t="s">
        <v>1450</v>
      </c>
      <c r="D642" s="4" t="s">
        <v>582</v>
      </c>
      <c r="E642" s="4">
        <v>51</v>
      </c>
      <c r="F642" s="4">
        <v>1</v>
      </c>
      <c r="G642" s="4" t="s">
        <v>583</v>
      </c>
      <c r="H642" s="4" t="s">
        <v>12</v>
      </c>
    </row>
    <row r="643" spans="1:8">
      <c r="A643" s="3" t="s">
        <v>1064</v>
      </c>
      <c r="B643" s="4" t="s">
        <v>1307</v>
      </c>
      <c r="C643" s="4" t="s">
        <v>1308</v>
      </c>
      <c r="D643" s="4" t="s">
        <v>582</v>
      </c>
      <c r="E643" s="4">
        <v>50</v>
      </c>
      <c r="F643" s="4">
        <v>1</v>
      </c>
      <c r="G643" s="4" t="s">
        <v>583</v>
      </c>
      <c r="H643" s="4" t="s">
        <v>12</v>
      </c>
    </row>
    <row r="644" spans="1:8">
      <c r="A644" s="3" t="s">
        <v>1064</v>
      </c>
      <c r="B644" s="4" t="s">
        <v>1309</v>
      </c>
      <c r="C644" s="4" t="s">
        <v>1310</v>
      </c>
      <c r="D644" s="4" t="s">
        <v>582</v>
      </c>
      <c r="E644" s="4">
        <v>52</v>
      </c>
      <c r="F644" s="4">
        <v>1</v>
      </c>
      <c r="G644" s="4" t="s">
        <v>583</v>
      </c>
      <c r="H644" s="4" t="s">
        <v>12</v>
      </c>
    </row>
    <row r="645" spans="1:8">
      <c r="A645" s="3" t="s">
        <v>1064</v>
      </c>
      <c r="B645" s="4" t="s">
        <v>1071</v>
      </c>
      <c r="C645" s="4" t="s">
        <v>1072</v>
      </c>
      <c r="D645" s="4" t="s">
        <v>582</v>
      </c>
      <c r="E645" s="4">
        <v>44</v>
      </c>
      <c r="F645" s="4">
        <v>1</v>
      </c>
      <c r="G645" s="4" t="s">
        <v>583</v>
      </c>
      <c r="H645" s="4" t="s">
        <v>12</v>
      </c>
    </row>
    <row r="646" spans="1:8">
      <c r="A646" s="3" t="s">
        <v>1064</v>
      </c>
      <c r="B646" s="4" t="s">
        <v>1451</v>
      </c>
      <c r="C646" s="4" t="s">
        <v>1452</v>
      </c>
      <c r="D646" s="4" t="s">
        <v>582</v>
      </c>
      <c r="E646" s="4">
        <v>43</v>
      </c>
      <c r="F646" s="4">
        <v>1</v>
      </c>
      <c r="G646" s="4" t="s">
        <v>583</v>
      </c>
      <c r="H646" s="4" t="s">
        <v>12</v>
      </c>
    </row>
    <row r="647" spans="1:8">
      <c r="A647" s="3" t="s">
        <v>1064</v>
      </c>
      <c r="B647" s="4" t="s">
        <v>1081</v>
      </c>
      <c r="C647" s="4" t="s">
        <v>1082</v>
      </c>
      <c r="D647" s="4" t="s">
        <v>582</v>
      </c>
      <c r="E647" s="4">
        <v>42</v>
      </c>
      <c r="F647" s="4">
        <v>1</v>
      </c>
      <c r="G647" s="4" t="s">
        <v>583</v>
      </c>
      <c r="H647" s="4" t="s">
        <v>12</v>
      </c>
    </row>
    <row r="648" spans="1:8">
      <c r="A648" s="3" t="s">
        <v>1020</v>
      </c>
      <c r="B648" s="4" t="s">
        <v>1435</v>
      </c>
      <c r="C648" s="4" t="s">
        <v>1436</v>
      </c>
      <c r="D648" s="4" t="s">
        <v>582</v>
      </c>
      <c r="E648" s="4">
        <v>48</v>
      </c>
      <c r="F648" s="4">
        <v>1</v>
      </c>
      <c r="G648" s="4" t="s">
        <v>583</v>
      </c>
      <c r="H648" s="4" t="s">
        <v>12</v>
      </c>
    </row>
    <row r="649" spans="1:8">
      <c r="A649" s="3" t="s">
        <v>1020</v>
      </c>
      <c r="B649" s="4" t="s">
        <v>1437</v>
      </c>
      <c r="C649" s="4" t="s">
        <v>1438</v>
      </c>
      <c r="D649" s="4" t="s">
        <v>582</v>
      </c>
      <c r="E649" s="4">
        <v>49</v>
      </c>
      <c r="F649" s="4">
        <v>1</v>
      </c>
      <c r="G649" s="4" t="s">
        <v>583</v>
      </c>
      <c r="H649" s="4" t="s">
        <v>12</v>
      </c>
    </row>
    <row r="650" spans="1:8">
      <c r="A650" s="3" t="s">
        <v>1144</v>
      </c>
      <c r="B650" s="4" t="s">
        <v>1147</v>
      </c>
      <c r="C650" s="4" t="s">
        <v>1148</v>
      </c>
      <c r="D650" s="4" t="s">
        <v>582</v>
      </c>
      <c r="E650" s="4">
        <v>45</v>
      </c>
      <c r="F650" s="4">
        <v>1</v>
      </c>
      <c r="G650" s="4" t="s">
        <v>583</v>
      </c>
      <c r="H650" s="4" t="s">
        <v>12</v>
      </c>
    </row>
    <row r="651" spans="1:8">
      <c r="A651" s="3" t="s">
        <v>1144</v>
      </c>
      <c r="B651" s="4" t="s">
        <v>1151</v>
      </c>
      <c r="C651" s="4" t="s">
        <v>1152</v>
      </c>
      <c r="D651" s="4" t="s">
        <v>582</v>
      </c>
      <c r="E651" s="4">
        <v>51</v>
      </c>
      <c r="F651" s="4">
        <v>1</v>
      </c>
      <c r="G651" s="4" t="s">
        <v>583</v>
      </c>
      <c r="H651" s="4" t="s">
        <v>12</v>
      </c>
    </row>
    <row r="652" spans="1:8">
      <c r="A652" s="3" t="s">
        <v>1144</v>
      </c>
      <c r="B652" s="4" t="s">
        <v>1157</v>
      </c>
      <c r="C652" s="4" t="s">
        <v>1158</v>
      </c>
      <c r="D652" s="4" t="s">
        <v>582</v>
      </c>
      <c r="E652" s="4">
        <v>44</v>
      </c>
      <c r="F652" s="4">
        <v>1</v>
      </c>
      <c r="G652" s="4" t="s">
        <v>583</v>
      </c>
      <c r="H652" s="4" t="s">
        <v>12</v>
      </c>
    </row>
    <row r="653" spans="1:8">
      <c r="A653" s="3" t="s">
        <v>1144</v>
      </c>
      <c r="B653" s="4" t="s">
        <v>1159</v>
      </c>
      <c r="C653" s="4" t="s">
        <v>1160</v>
      </c>
      <c r="D653" s="4" t="s">
        <v>582</v>
      </c>
      <c r="E653" s="4">
        <v>47</v>
      </c>
      <c r="F653" s="4">
        <v>1</v>
      </c>
      <c r="G653" s="4" t="s">
        <v>583</v>
      </c>
      <c r="H653" s="4" t="s">
        <v>12</v>
      </c>
    </row>
    <row r="654" spans="1:8">
      <c r="A654" s="3" t="s">
        <v>1144</v>
      </c>
      <c r="B654" s="4" t="s">
        <v>1355</v>
      </c>
      <c r="C654" s="4" t="s">
        <v>1356</v>
      </c>
      <c r="D654" s="4" t="s">
        <v>582</v>
      </c>
      <c r="E654" s="4">
        <v>54</v>
      </c>
      <c r="F654" s="4">
        <v>1</v>
      </c>
      <c r="G654" s="4" t="s">
        <v>583</v>
      </c>
      <c r="H654" s="4" t="s">
        <v>12</v>
      </c>
    </row>
    <row r="655" spans="1:8">
      <c r="A655" s="3" t="s">
        <v>1144</v>
      </c>
      <c r="B655" s="4" t="s">
        <v>1163</v>
      </c>
      <c r="C655" s="4" t="s">
        <v>1164</v>
      </c>
      <c r="D655" s="4" t="s">
        <v>582</v>
      </c>
      <c r="E655" s="4">
        <v>43</v>
      </c>
      <c r="F655" s="4">
        <v>1</v>
      </c>
      <c r="G655" s="4" t="s">
        <v>583</v>
      </c>
      <c r="H655" s="4" t="s">
        <v>12</v>
      </c>
    </row>
    <row r="656" spans="1:8">
      <c r="A656" s="3" t="s">
        <v>1144</v>
      </c>
      <c r="B656" s="4" t="s">
        <v>1359</v>
      </c>
      <c r="C656" s="4" t="s">
        <v>1360</v>
      </c>
      <c r="D656" s="4" t="s">
        <v>582</v>
      </c>
      <c r="E656" s="4">
        <v>46</v>
      </c>
      <c r="F656" s="4">
        <v>1</v>
      </c>
      <c r="G656" s="4" t="s">
        <v>583</v>
      </c>
      <c r="H656" s="4" t="s">
        <v>12</v>
      </c>
    </row>
    <row r="657" spans="1:8">
      <c r="A657" s="3" t="s">
        <v>1144</v>
      </c>
      <c r="B657" s="4" t="s">
        <v>1365</v>
      </c>
      <c r="C657" s="4" t="s">
        <v>1366</v>
      </c>
      <c r="D657" s="4" t="s">
        <v>582</v>
      </c>
      <c r="E657" s="4">
        <v>46</v>
      </c>
      <c r="F657" s="4">
        <v>1</v>
      </c>
      <c r="G657" s="4" t="s">
        <v>583</v>
      </c>
      <c r="H657" s="4" t="s">
        <v>12</v>
      </c>
    </row>
    <row r="658" spans="1:8">
      <c r="A658" s="3" t="s">
        <v>1054</v>
      </c>
      <c r="B658" s="4" t="s">
        <v>1369</v>
      </c>
      <c r="C658" s="4" t="s">
        <v>1370</v>
      </c>
      <c r="D658" s="4" t="s">
        <v>582</v>
      </c>
      <c r="E658" s="4">
        <v>44</v>
      </c>
      <c r="F658" s="4">
        <v>2</v>
      </c>
      <c r="G658" s="4" t="s">
        <v>583</v>
      </c>
      <c r="H658" s="4" t="s">
        <v>12</v>
      </c>
    </row>
    <row r="659" spans="1:8">
      <c r="A659" s="3" t="s">
        <v>1054</v>
      </c>
      <c r="B659" s="4" t="s">
        <v>1371</v>
      </c>
      <c r="C659" s="4" t="s">
        <v>1372</v>
      </c>
      <c r="D659" s="4" t="s">
        <v>582</v>
      </c>
      <c r="E659" s="4">
        <v>45</v>
      </c>
      <c r="F659" s="4">
        <v>2</v>
      </c>
      <c r="G659" s="4" t="s">
        <v>583</v>
      </c>
      <c r="H659" s="4" t="s">
        <v>12</v>
      </c>
    </row>
    <row r="660" spans="1:8">
      <c r="A660" s="3" t="s">
        <v>1054</v>
      </c>
      <c r="B660" s="4" t="s">
        <v>1373</v>
      </c>
      <c r="C660" s="4" t="s">
        <v>1374</v>
      </c>
      <c r="D660" s="4" t="s">
        <v>582</v>
      </c>
      <c r="E660" s="4">
        <v>50</v>
      </c>
      <c r="F660" s="4">
        <v>2</v>
      </c>
      <c r="G660" s="4" t="s">
        <v>583</v>
      </c>
      <c r="H660" s="4" t="s">
        <v>12</v>
      </c>
    </row>
    <row r="661" spans="1:8">
      <c r="A661" s="3" t="s">
        <v>1054</v>
      </c>
      <c r="B661" s="4" t="s">
        <v>1055</v>
      </c>
      <c r="C661" s="4" t="s">
        <v>1056</v>
      </c>
      <c r="D661" s="4" t="s">
        <v>582</v>
      </c>
      <c r="E661" s="4">
        <v>42</v>
      </c>
      <c r="F661" s="4">
        <v>2</v>
      </c>
      <c r="G661" s="4" t="s">
        <v>583</v>
      </c>
      <c r="H661" s="4" t="s">
        <v>12</v>
      </c>
    </row>
    <row r="662" spans="1:8">
      <c r="A662" s="3" t="s">
        <v>1054</v>
      </c>
      <c r="B662" s="4" t="s">
        <v>1383</v>
      </c>
      <c r="C662" s="4" t="s">
        <v>1384</v>
      </c>
      <c r="D662" s="4" t="s">
        <v>582</v>
      </c>
      <c r="E662" s="4">
        <v>50</v>
      </c>
      <c r="F662" s="4">
        <v>2</v>
      </c>
      <c r="G662" s="4" t="s">
        <v>583</v>
      </c>
      <c r="H662" s="4" t="s">
        <v>12</v>
      </c>
    </row>
    <row r="663" spans="1:8">
      <c r="A663" s="3" t="s">
        <v>1054</v>
      </c>
      <c r="B663" s="4" t="s">
        <v>1459</v>
      </c>
      <c r="C663" s="4" t="s">
        <v>1460</v>
      </c>
      <c r="D663" s="4" t="s">
        <v>582</v>
      </c>
      <c r="E663" s="4">
        <v>46</v>
      </c>
      <c r="F663" s="4">
        <v>2</v>
      </c>
      <c r="G663" s="4" t="s">
        <v>583</v>
      </c>
      <c r="H663" s="4" t="s">
        <v>12</v>
      </c>
    </row>
    <row r="664" spans="1:8">
      <c r="A664" s="3" t="s">
        <v>1200</v>
      </c>
      <c r="B664" s="4" t="s">
        <v>1441</v>
      </c>
      <c r="C664" s="4" t="s">
        <v>1442</v>
      </c>
      <c r="D664" s="4" t="s">
        <v>582</v>
      </c>
      <c r="E664" s="4">
        <v>48</v>
      </c>
      <c r="F664" s="4">
        <v>2</v>
      </c>
      <c r="G664" s="4" t="s">
        <v>583</v>
      </c>
      <c r="H664" s="4" t="s">
        <v>12</v>
      </c>
    </row>
    <row r="665" spans="1:8">
      <c r="A665" s="3" t="s">
        <v>1200</v>
      </c>
      <c r="B665" s="4" t="s">
        <v>1211</v>
      </c>
      <c r="C665" s="4" t="s">
        <v>1212</v>
      </c>
      <c r="D665" s="4" t="s">
        <v>582</v>
      </c>
      <c r="E665" s="4">
        <v>49</v>
      </c>
      <c r="F665" s="4">
        <v>2</v>
      </c>
      <c r="G665" s="4" t="s">
        <v>583</v>
      </c>
      <c r="H665" s="4" t="s">
        <v>12</v>
      </c>
    </row>
    <row r="666" spans="1:8">
      <c r="A666" s="3" t="s">
        <v>1200</v>
      </c>
      <c r="B666" s="4" t="s">
        <v>1213</v>
      </c>
      <c r="C666" s="4" t="s">
        <v>1214</v>
      </c>
      <c r="D666" s="4" t="s">
        <v>582</v>
      </c>
      <c r="E666" s="4">
        <v>50</v>
      </c>
      <c r="F666" s="4">
        <v>2</v>
      </c>
      <c r="G666" s="4" t="s">
        <v>583</v>
      </c>
      <c r="H666" s="4" t="s">
        <v>12</v>
      </c>
    </row>
    <row r="667" spans="1:8">
      <c r="A667" s="3" t="s">
        <v>1200</v>
      </c>
      <c r="B667" s="4" t="s">
        <v>1443</v>
      </c>
      <c r="C667" s="4" t="s">
        <v>1444</v>
      </c>
      <c r="D667" s="4" t="s">
        <v>582</v>
      </c>
      <c r="E667" s="4">
        <v>47</v>
      </c>
      <c r="F667" s="4">
        <v>2</v>
      </c>
      <c r="G667" s="4" t="s">
        <v>583</v>
      </c>
      <c r="H667" s="4" t="s">
        <v>12</v>
      </c>
    </row>
    <row r="668" spans="1:8">
      <c r="A668" s="3" t="s">
        <v>1184</v>
      </c>
      <c r="B668" s="4" t="s">
        <v>1187</v>
      </c>
      <c r="C668" s="4" t="s">
        <v>1188</v>
      </c>
      <c r="D668" s="4" t="s">
        <v>582</v>
      </c>
      <c r="E668" s="4">
        <v>47</v>
      </c>
      <c r="F668" s="4">
        <v>2</v>
      </c>
      <c r="G668" s="4" t="s">
        <v>583</v>
      </c>
      <c r="H668" s="4" t="s">
        <v>12</v>
      </c>
    </row>
    <row r="669" spans="1:8">
      <c r="A669" s="3" t="s">
        <v>1184</v>
      </c>
      <c r="B669" s="4" t="s">
        <v>1391</v>
      </c>
      <c r="C669" s="4" t="s">
        <v>1392</v>
      </c>
      <c r="D669" s="4" t="s">
        <v>582</v>
      </c>
      <c r="E669" s="4">
        <v>56</v>
      </c>
      <c r="F669" s="4">
        <v>2</v>
      </c>
      <c r="G669" s="4" t="s">
        <v>583</v>
      </c>
      <c r="H669" s="4" t="s">
        <v>12</v>
      </c>
    </row>
    <row r="670" spans="1:8">
      <c r="A670" s="3" t="s">
        <v>1184</v>
      </c>
      <c r="B670" s="4" t="s">
        <v>1461</v>
      </c>
      <c r="C670" s="4" t="s">
        <v>1462</v>
      </c>
      <c r="D670" s="4" t="s">
        <v>582</v>
      </c>
      <c r="E670" s="4">
        <v>52</v>
      </c>
      <c r="F670" s="4">
        <v>2</v>
      </c>
      <c r="G670" s="4" t="s">
        <v>583</v>
      </c>
      <c r="H670" s="4" t="s">
        <v>12</v>
      </c>
    </row>
    <row r="671" spans="1:8">
      <c r="A671" s="3" t="s">
        <v>1083</v>
      </c>
      <c r="B671" s="4" t="s">
        <v>1400</v>
      </c>
      <c r="C671" s="4" t="s">
        <v>1401</v>
      </c>
      <c r="D671" s="4" t="s">
        <v>582</v>
      </c>
      <c r="E671" s="4">
        <v>45</v>
      </c>
      <c r="F671" s="4">
        <v>2</v>
      </c>
      <c r="G671" s="4" t="s">
        <v>583</v>
      </c>
      <c r="H671" s="4" t="s">
        <v>12</v>
      </c>
    </row>
    <row r="672" spans="1:8">
      <c r="A672" s="3" t="s">
        <v>1083</v>
      </c>
      <c r="B672" s="4" t="s">
        <v>1463</v>
      </c>
      <c r="C672" s="4" t="s">
        <v>1464</v>
      </c>
      <c r="D672" s="4" t="s">
        <v>582</v>
      </c>
      <c r="E672" s="4">
        <v>54</v>
      </c>
      <c r="F672" s="4">
        <v>2</v>
      </c>
      <c r="G672" s="4" t="s">
        <v>583</v>
      </c>
      <c r="H672" s="4" t="s">
        <v>12</v>
      </c>
    </row>
    <row r="673" spans="1:8">
      <c r="A673" s="3" t="s">
        <v>1083</v>
      </c>
      <c r="B673" s="4" t="s">
        <v>1098</v>
      </c>
      <c r="C673" s="4" t="s">
        <v>1099</v>
      </c>
      <c r="D673" s="4" t="s">
        <v>582</v>
      </c>
      <c r="E673" s="4">
        <v>47</v>
      </c>
      <c r="F673" s="4">
        <v>2</v>
      </c>
      <c r="G673" s="4" t="s">
        <v>583</v>
      </c>
      <c r="H673" s="4" t="s">
        <v>12</v>
      </c>
    </row>
    <row r="674" spans="1:8">
      <c r="A674" s="3" t="s">
        <v>1191</v>
      </c>
      <c r="B674" s="4" t="s">
        <v>1453</v>
      </c>
      <c r="C674" s="4" t="s">
        <v>1454</v>
      </c>
      <c r="D674" s="4" t="s">
        <v>582</v>
      </c>
      <c r="E674" s="4">
        <v>46</v>
      </c>
      <c r="F674" s="4">
        <v>1</v>
      </c>
      <c r="G674" s="4" t="s">
        <v>583</v>
      </c>
      <c r="H674" s="4" t="s">
        <v>12</v>
      </c>
    </row>
    <row r="675" spans="1:8">
      <c r="A675" s="3" t="s">
        <v>1191</v>
      </c>
      <c r="B675" s="4" t="s">
        <v>1455</v>
      </c>
      <c r="C675" s="4" t="s">
        <v>1456</v>
      </c>
      <c r="D675" s="4" t="s">
        <v>582</v>
      </c>
      <c r="E675" s="4">
        <v>50</v>
      </c>
      <c r="F675" s="4">
        <v>1</v>
      </c>
      <c r="G675" s="4" t="s">
        <v>583</v>
      </c>
      <c r="H675" s="4" t="s">
        <v>12</v>
      </c>
    </row>
    <row r="676" spans="1:8">
      <c r="A676" s="3" t="s">
        <v>1191</v>
      </c>
      <c r="B676" s="4" t="s">
        <v>1325</v>
      </c>
      <c r="C676" s="4" t="s">
        <v>1326</v>
      </c>
      <c r="D676" s="4" t="s">
        <v>582</v>
      </c>
      <c r="E676" s="4">
        <v>42</v>
      </c>
      <c r="F676" s="4">
        <v>1</v>
      </c>
      <c r="G676" s="4" t="s">
        <v>583</v>
      </c>
      <c r="H676" s="4" t="s">
        <v>12</v>
      </c>
    </row>
    <row r="677" spans="1:8">
      <c r="A677" s="3" t="s">
        <v>1191</v>
      </c>
      <c r="B677" s="4" t="s">
        <v>1327</v>
      </c>
      <c r="C677" s="4" t="s">
        <v>1328</v>
      </c>
      <c r="D677" s="4" t="s">
        <v>582</v>
      </c>
      <c r="E677" s="4">
        <v>41</v>
      </c>
      <c r="F677" s="4">
        <v>1</v>
      </c>
      <c r="G677" s="4" t="s">
        <v>583</v>
      </c>
      <c r="H677" s="4" t="s">
        <v>12</v>
      </c>
    </row>
    <row r="678" spans="1:8">
      <c r="A678" s="3" t="s">
        <v>1191</v>
      </c>
      <c r="B678" s="4" t="s">
        <v>1333</v>
      </c>
      <c r="C678" s="4" t="s">
        <v>1334</v>
      </c>
      <c r="D678" s="4" t="s">
        <v>582</v>
      </c>
      <c r="E678" s="4">
        <v>40</v>
      </c>
      <c r="F678" s="4">
        <v>1</v>
      </c>
      <c r="G678" s="4" t="s">
        <v>583</v>
      </c>
      <c r="H678" s="4" t="s">
        <v>12</v>
      </c>
    </row>
    <row r="679" spans="1:8">
      <c r="A679" s="3" t="s">
        <v>1191</v>
      </c>
      <c r="B679" s="4" t="s">
        <v>1198</v>
      </c>
      <c r="C679" s="4" t="s">
        <v>1199</v>
      </c>
      <c r="D679" s="4" t="s">
        <v>582</v>
      </c>
      <c r="E679" s="4">
        <v>44</v>
      </c>
      <c r="F679" s="4">
        <v>1</v>
      </c>
      <c r="G679" s="4" t="s">
        <v>583</v>
      </c>
      <c r="H679" s="4" t="s">
        <v>12</v>
      </c>
    </row>
    <row r="680" spans="1:8">
      <c r="A680" s="3" t="s">
        <v>1231</v>
      </c>
      <c r="B680" s="4" t="s">
        <v>1465</v>
      </c>
      <c r="C680" s="4" t="s">
        <v>1466</v>
      </c>
      <c r="D680" s="4" t="s">
        <v>582</v>
      </c>
      <c r="E680" s="4">
        <v>45</v>
      </c>
      <c r="F680" s="4">
        <v>1</v>
      </c>
      <c r="G680" s="4" t="s">
        <v>583</v>
      </c>
      <c r="H680" s="4" t="s">
        <v>12</v>
      </c>
    </row>
    <row r="681" spans="1:8">
      <c r="A681" s="3" t="s">
        <v>1231</v>
      </c>
      <c r="B681" s="4" t="s">
        <v>1467</v>
      </c>
      <c r="C681" s="4" t="s">
        <v>1468</v>
      </c>
      <c r="D681" s="4" t="s">
        <v>582</v>
      </c>
      <c r="E681" s="4">
        <v>40</v>
      </c>
      <c r="F681" s="4">
        <v>1</v>
      </c>
      <c r="G681" s="4" t="s">
        <v>583</v>
      </c>
      <c r="H681" s="4" t="s">
        <v>12</v>
      </c>
    </row>
    <row r="682" spans="1:8">
      <c r="A682" s="3" t="s">
        <v>1231</v>
      </c>
      <c r="B682" s="4" t="s">
        <v>1418</v>
      </c>
      <c r="C682" s="4" t="s">
        <v>1419</v>
      </c>
      <c r="D682" s="4" t="s">
        <v>582</v>
      </c>
      <c r="E682" s="4">
        <v>45</v>
      </c>
      <c r="F682" s="4">
        <v>1</v>
      </c>
      <c r="G682" s="4" t="s">
        <v>583</v>
      </c>
      <c r="H682" s="4" t="s">
        <v>12</v>
      </c>
    </row>
    <row r="683" spans="1:8">
      <c r="A683" s="3" t="s">
        <v>1231</v>
      </c>
      <c r="B683" s="4" t="s">
        <v>1422</v>
      </c>
      <c r="C683" s="4" t="s">
        <v>1423</v>
      </c>
      <c r="D683" s="4" t="s">
        <v>582</v>
      </c>
      <c r="E683" s="4">
        <v>50</v>
      </c>
      <c r="F683" s="4">
        <v>1</v>
      </c>
      <c r="G683" s="4" t="s">
        <v>583</v>
      </c>
      <c r="H683" s="4" t="s">
        <v>12</v>
      </c>
    </row>
    <row r="684" spans="1:8">
      <c r="A684" s="3" t="s">
        <v>1231</v>
      </c>
      <c r="B684" s="4" t="s">
        <v>1238</v>
      </c>
      <c r="C684" s="4" t="s">
        <v>1239</v>
      </c>
      <c r="D684" s="4" t="s">
        <v>582</v>
      </c>
      <c r="E684" s="4">
        <v>50</v>
      </c>
      <c r="F684" s="4">
        <v>1</v>
      </c>
      <c r="G684" s="4" t="s">
        <v>583</v>
      </c>
      <c r="H684" s="4" t="s">
        <v>12</v>
      </c>
    </row>
    <row r="685" spans="1:8">
      <c r="A685" s="3" t="s">
        <v>1231</v>
      </c>
      <c r="B685" s="4" t="s">
        <v>1240</v>
      </c>
      <c r="C685" s="4" t="s">
        <v>157</v>
      </c>
      <c r="D685" s="4" t="s">
        <v>582</v>
      </c>
      <c r="E685" s="4">
        <v>50</v>
      </c>
      <c r="F685" s="4">
        <v>1</v>
      </c>
      <c r="G685" s="4" t="s">
        <v>583</v>
      </c>
      <c r="H685" s="4" t="s">
        <v>12</v>
      </c>
    </row>
    <row r="686" spans="1:8">
      <c r="A686" s="3" t="s">
        <v>1231</v>
      </c>
      <c r="B686" s="4" t="s">
        <v>1424</v>
      </c>
      <c r="C686" s="4" t="s">
        <v>1425</v>
      </c>
      <c r="D686" s="4" t="s">
        <v>582</v>
      </c>
      <c r="E686" s="4">
        <v>48</v>
      </c>
      <c r="F686" s="4">
        <v>1</v>
      </c>
      <c r="G686" s="4" t="s">
        <v>583</v>
      </c>
      <c r="H686" s="4" t="s">
        <v>12</v>
      </c>
    </row>
    <row r="687" spans="1:8">
      <c r="A687" s="3" t="s">
        <v>1231</v>
      </c>
      <c r="B687" s="4" t="s">
        <v>1426</v>
      </c>
      <c r="C687" s="4" t="s">
        <v>1427</v>
      </c>
      <c r="D687" s="4" t="s">
        <v>582</v>
      </c>
      <c r="E687" s="4">
        <v>52</v>
      </c>
      <c r="F687" s="4">
        <v>1</v>
      </c>
      <c r="G687" s="4" t="s">
        <v>583</v>
      </c>
      <c r="H687" s="4" t="s">
        <v>12</v>
      </c>
    </row>
    <row r="688" spans="1:8">
      <c r="A688" s="3" t="s">
        <v>1231</v>
      </c>
      <c r="B688" s="4" t="s">
        <v>1241</v>
      </c>
      <c r="C688" s="4" t="s">
        <v>1242</v>
      </c>
      <c r="D688" s="4" t="s">
        <v>582</v>
      </c>
      <c r="E688" s="4">
        <v>46</v>
      </c>
      <c r="F688" s="4">
        <v>1</v>
      </c>
      <c r="G688" s="4" t="s">
        <v>583</v>
      </c>
      <c r="H688" s="4" t="s">
        <v>12</v>
      </c>
    </row>
    <row r="689" spans="1:8">
      <c r="A689" s="3" t="s">
        <v>1102</v>
      </c>
      <c r="B689" s="4" t="s">
        <v>1445</v>
      </c>
      <c r="C689" s="4" t="s">
        <v>1446</v>
      </c>
      <c r="D689" s="4" t="s">
        <v>582</v>
      </c>
      <c r="E689" s="4">
        <v>53</v>
      </c>
      <c r="F689" s="4">
        <v>1</v>
      </c>
      <c r="G689" s="4" t="s">
        <v>583</v>
      </c>
      <c r="H689" s="4" t="s">
        <v>12</v>
      </c>
    </row>
    <row r="690" spans="1:8">
      <c r="A690" s="3" t="s">
        <v>1102</v>
      </c>
      <c r="B690" s="4" t="s">
        <v>1113</v>
      </c>
      <c r="C690" s="4" t="s">
        <v>1114</v>
      </c>
      <c r="D690" s="4" t="s">
        <v>582</v>
      </c>
      <c r="E690" s="4">
        <v>58</v>
      </c>
      <c r="F690" s="4">
        <v>1</v>
      </c>
      <c r="G690" s="4" t="s">
        <v>583</v>
      </c>
      <c r="H690" s="4" t="s">
        <v>12</v>
      </c>
    </row>
    <row r="691" spans="1:8">
      <c r="A691" s="3" t="s">
        <v>1102</v>
      </c>
      <c r="B691" s="4" t="s">
        <v>1447</v>
      </c>
      <c r="C691" s="4" t="s">
        <v>1448</v>
      </c>
      <c r="D691" s="4" t="s">
        <v>582</v>
      </c>
      <c r="E691" s="4">
        <v>57</v>
      </c>
      <c r="F691" s="4">
        <v>1</v>
      </c>
      <c r="G691" s="4" t="s">
        <v>583</v>
      </c>
      <c r="H691" s="4" t="s">
        <v>12</v>
      </c>
    </row>
    <row r="692" spans="1:8">
      <c r="A692" s="3" t="s">
        <v>1102</v>
      </c>
      <c r="B692" s="4" t="s">
        <v>1123</v>
      </c>
      <c r="C692" s="4" t="s">
        <v>1124</v>
      </c>
      <c r="D692" s="4" t="s">
        <v>582</v>
      </c>
      <c r="E692" s="4">
        <v>56</v>
      </c>
      <c r="F692" s="4">
        <v>1</v>
      </c>
      <c r="G692" s="4" t="s">
        <v>583</v>
      </c>
      <c r="H692" s="4" t="s">
        <v>12</v>
      </c>
    </row>
    <row r="693" spans="1:8">
      <c r="A693" s="3" t="s">
        <v>1102</v>
      </c>
      <c r="B693" s="4" t="s">
        <v>1129</v>
      </c>
      <c r="C693" s="4" t="s">
        <v>1130</v>
      </c>
      <c r="D693" s="4" t="s">
        <v>582</v>
      </c>
      <c r="E693" s="4">
        <v>55</v>
      </c>
      <c r="F693" s="4">
        <v>1</v>
      </c>
      <c r="G693" s="4" t="s">
        <v>583</v>
      </c>
      <c r="H693" s="4" t="s">
        <v>12</v>
      </c>
    </row>
    <row r="694" spans="1:8">
      <c r="A694" s="3" t="s">
        <v>1135</v>
      </c>
      <c r="B694" s="4" t="s">
        <v>1457</v>
      </c>
      <c r="C694" s="4" t="s">
        <v>1458</v>
      </c>
      <c r="D694" s="4" t="s">
        <v>582</v>
      </c>
      <c r="E694" s="4">
        <v>49</v>
      </c>
      <c r="F694" s="4">
        <v>1</v>
      </c>
      <c r="G694" s="4" t="s">
        <v>583</v>
      </c>
      <c r="H694" s="4" t="s">
        <v>12</v>
      </c>
    </row>
    <row r="695" spans="1:8">
      <c r="A695" s="3" t="s">
        <v>1135</v>
      </c>
      <c r="B695" s="4" t="s">
        <v>1339</v>
      </c>
      <c r="C695" s="4" t="s">
        <v>1340</v>
      </c>
      <c r="D695" s="4" t="s">
        <v>582</v>
      </c>
      <c r="E695" s="4">
        <v>54</v>
      </c>
      <c r="F695" s="4">
        <v>1</v>
      </c>
      <c r="G695" s="4" t="s">
        <v>583</v>
      </c>
      <c r="H695" s="4" t="s">
        <v>12</v>
      </c>
    </row>
    <row r="696" spans="1:8">
      <c r="A696" s="3" t="s">
        <v>1135</v>
      </c>
      <c r="B696" s="4" t="s">
        <v>1341</v>
      </c>
      <c r="C696" s="4" t="s">
        <v>1342</v>
      </c>
      <c r="D696" s="4" t="s">
        <v>582</v>
      </c>
      <c r="E696" s="4">
        <v>42</v>
      </c>
      <c r="F696" s="4">
        <v>1</v>
      </c>
      <c r="G696" s="4" t="s">
        <v>583</v>
      </c>
      <c r="H696" s="4" t="s">
        <v>12</v>
      </c>
    </row>
    <row r="697" spans="1:8">
      <c r="A697" s="3" t="s">
        <v>1135</v>
      </c>
      <c r="B697" s="4" t="s">
        <v>1140</v>
      </c>
      <c r="C697" s="4" t="s">
        <v>1141</v>
      </c>
      <c r="D697" s="4" t="s">
        <v>582</v>
      </c>
      <c r="E697" s="4">
        <v>40</v>
      </c>
      <c r="F697" s="4">
        <v>1</v>
      </c>
      <c r="G697" s="4" t="s">
        <v>583</v>
      </c>
      <c r="H697" s="4" t="s">
        <v>12</v>
      </c>
    </row>
    <row r="698" spans="1:8">
      <c r="A698" s="3" t="s">
        <v>1428</v>
      </c>
      <c r="B698" s="4" t="s">
        <v>1469</v>
      </c>
      <c r="C698" s="4" t="s">
        <v>1470</v>
      </c>
      <c r="D698" s="4" t="s">
        <v>582</v>
      </c>
      <c r="E698" s="4">
        <v>49</v>
      </c>
      <c r="F698" s="4">
        <v>1</v>
      </c>
      <c r="G698" s="4" t="s">
        <v>583</v>
      </c>
      <c r="H698" s="4" t="s">
        <v>12</v>
      </c>
    </row>
    <row r="699" spans="1:8">
      <c r="A699" s="3" t="s">
        <v>1428</v>
      </c>
      <c r="B699" s="4" t="s">
        <v>1471</v>
      </c>
      <c r="C699" s="4" t="s">
        <v>1472</v>
      </c>
      <c r="D699" s="4" t="s">
        <v>582</v>
      </c>
      <c r="E699" s="4">
        <v>41</v>
      </c>
      <c r="F699" s="4">
        <v>1</v>
      </c>
      <c r="G699" s="4" t="s">
        <v>583</v>
      </c>
      <c r="H699" s="4" t="s">
        <v>12</v>
      </c>
    </row>
    <row r="700" spans="1:8">
      <c r="A700" s="3" t="s">
        <v>1428</v>
      </c>
      <c r="B700" s="4" t="s">
        <v>1473</v>
      </c>
      <c r="C700" s="4" t="s">
        <v>1474</v>
      </c>
      <c r="D700" s="4" t="s">
        <v>582</v>
      </c>
      <c r="E700" s="4">
        <v>45</v>
      </c>
      <c r="F700" s="4">
        <v>1</v>
      </c>
      <c r="G700" s="4" t="s">
        <v>583</v>
      </c>
      <c r="H700" s="4" t="s">
        <v>12</v>
      </c>
    </row>
    <row r="701" spans="1:8">
      <c r="A701" s="3" t="s">
        <v>1613</v>
      </c>
      <c r="B701" s="4" t="s">
        <v>1828</v>
      </c>
      <c r="C701" s="4" t="s">
        <v>1829</v>
      </c>
      <c r="D701" s="4" t="s">
        <v>1830</v>
      </c>
      <c r="E701" s="4">
        <v>48</v>
      </c>
      <c r="F701" s="4">
        <v>2</v>
      </c>
      <c r="G701" s="4" t="s">
        <v>11</v>
      </c>
      <c r="H701" s="4" t="s">
        <v>12</v>
      </c>
    </row>
    <row r="702" spans="1:8">
      <c r="A702" s="3" t="s">
        <v>1035</v>
      </c>
      <c r="B702" s="4" t="s">
        <v>1690</v>
      </c>
      <c r="C702" s="4" t="s">
        <v>1691</v>
      </c>
      <c r="D702" s="4" t="s">
        <v>1692</v>
      </c>
      <c r="E702" s="4">
        <v>46</v>
      </c>
      <c r="F702" s="4">
        <v>2</v>
      </c>
      <c r="G702" s="4" t="s">
        <v>583</v>
      </c>
      <c r="H702" s="4" t="s">
        <v>12</v>
      </c>
    </row>
    <row r="703" spans="1:8">
      <c r="A703" s="3" t="s">
        <v>1144</v>
      </c>
      <c r="B703" s="4" t="s">
        <v>1163</v>
      </c>
      <c r="C703" s="4" t="s">
        <v>1164</v>
      </c>
      <c r="D703" s="4" t="s">
        <v>1692</v>
      </c>
      <c r="E703" s="4">
        <v>54</v>
      </c>
      <c r="F703" s="4">
        <v>2</v>
      </c>
      <c r="G703" s="4" t="s">
        <v>583</v>
      </c>
      <c r="H703" s="4" t="s">
        <v>12</v>
      </c>
    </row>
    <row r="704" spans="1:8">
      <c r="A704" s="3" t="s">
        <v>1144</v>
      </c>
      <c r="B704" s="4" t="s">
        <v>1165</v>
      </c>
      <c r="C704" s="4" t="s">
        <v>1166</v>
      </c>
      <c r="D704" s="4" t="s">
        <v>1692</v>
      </c>
      <c r="E704" s="4">
        <v>57</v>
      </c>
      <c r="F704" s="4">
        <v>2</v>
      </c>
      <c r="G704" s="4" t="s">
        <v>583</v>
      </c>
      <c r="H704" s="4" t="s">
        <v>12</v>
      </c>
    </row>
    <row r="705" spans="1:8">
      <c r="A705" s="3" t="s">
        <v>1009</v>
      </c>
      <c r="B705" s="4" t="s">
        <v>1804</v>
      </c>
      <c r="C705" s="4" t="s">
        <v>1805</v>
      </c>
      <c r="D705" s="4" t="s">
        <v>1806</v>
      </c>
      <c r="E705" s="4">
        <v>44</v>
      </c>
      <c r="F705" s="4">
        <v>2</v>
      </c>
      <c r="G705" s="4" t="s">
        <v>583</v>
      </c>
      <c r="H705" s="4" t="s">
        <v>12</v>
      </c>
    </row>
    <row r="706" spans="1:8">
      <c r="A706" s="3" t="s">
        <v>1009</v>
      </c>
      <c r="B706" s="4" t="s">
        <v>1807</v>
      </c>
      <c r="C706" s="4" t="s">
        <v>1808</v>
      </c>
      <c r="D706" s="4" t="s">
        <v>1806</v>
      </c>
      <c r="E706" s="4">
        <v>47</v>
      </c>
      <c r="F706" s="4">
        <v>2</v>
      </c>
      <c r="G706" s="4" t="s">
        <v>583</v>
      </c>
      <c r="H706" s="4" t="s">
        <v>12</v>
      </c>
    </row>
    <row r="707" spans="1:8">
      <c r="A707" s="3" t="s">
        <v>1009</v>
      </c>
      <c r="B707" s="4" t="s">
        <v>1809</v>
      </c>
      <c r="C707" s="4" t="s">
        <v>1810</v>
      </c>
      <c r="D707" s="4" t="s">
        <v>1806</v>
      </c>
      <c r="E707" s="4">
        <v>48</v>
      </c>
      <c r="F707" s="4">
        <v>2</v>
      </c>
      <c r="G707" s="4" t="s">
        <v>583</v>
      </c>
      <c r="H707" s="4" t="s">
        <v>12</v>
      </c>
    </row>
    <row r="708" spans="1:8">
      <c r="A708" s="3" t="s">
        <v>1009</v>
      </c>
      <c r="B708" s="4" t="s">
        <v>1811</v>
      </c>
      <c r="C708" s="4" t="s">
        <v>1812</v>
      </c>
      <c r="D708" s="4" t="s">
        <v>1806</v>
      </c>
      <c r="E708" s="4">
        <v>47</v>
      </c>
      <c r="F708" s="4">
        <v>2</v>
      </c>
      <c r="G708" s="4" t="s">
        <v>583</v>
      </c>
      <c r="H708" s="4" t="s">
        <v>12</v>
      </c>
    </row>
    <row r="709" spans="1:8">
      <c r="A709" s="3" t="s">
        <v>1009</v>
      </c>
      <c r="B709" s="4" t="s">
        <v>1014</v>
      </c>
      <c r="C709" s="4" t="s">
        <v>1015</v>
      </c>
      <c r="D709" s="4" t="s">
        <v>1806</v>
      </c>
      <c r="E709" s="4">
        <v>49</v>
      </c>
      <c r="F709" s="4">
        <v>2</v>
      </c>
      <c r="G709" s="4" t="s">
        <v>583</v>
      </c>
      <c r="H709" s="4" t="s">
        <v>12</v>
      </c>
    </row>
    <row r="710" spans="1:8">
      <c r="A710" s="3" t="s">
        <v>1059</v>
      </c>
      <c r="B710" s="4" t="s">
        <v>1487</v>
      </c>
      <c r="C710" s="4" t="s">
        <v>1488</v>
      </c>
      <c r="D710" s="4" t="s">
        <v>1806</v>
      </c>
      <c r="E710" s="4">
        <v>40</v>
      </c>
      <c r="F710" s="4">
        <v>2</v>
      </c>
      <c r="G710" s="4" t="s">
        <v>583</v>
      </c>
      <c r="H710" s="4" t="s">
        <v>12</v>
      </c>
    </row>
    <row r="711" spans="1:8">
      <c r="A711" s="3" t="s">
        <v>1059</v>
      </c>
      <c r="B711" s="4" t="s">
        <v>1794</v>
      </c>
      <c r="C711" s="4" t="s">
        <v>1795</v>
      </c>
      <c r="D711" s="4" t="s">
        <v>1806</v>
      </c>
      <c r="E711" s="4">
        <v>46</v>
      </c>
      <c r="F711" s="4">
        <v>2</v>
      </c>
      <c r="G711" s="4" t="s">
        <v>583</v>
      </c>
      <c r="H711" s="4" t="s">
        <v>12</v>
      </c>
    </row>
    <row r="712" spans="1:8">
      <c r="A712" s="3" t="s">
        <v>1059</v>
      </c>
      <c r="B712" s="4" t="s">
        <v>1813</v>
      </c>
      <c r="C712" s="4" t="s">
        <v>1814</v>
      </c>
      <c r="D712" s="4" t="s">
        <v>1806</v>
      </c>
      <c r="E712" s="4">
        <v>49</v>
      </c>
      <c r="F712" s="4">
        <v>2</v>
      </c>
      <c r="G712" s="4" t="s">
        <v>583</v>
      </c>
      <c r="H712" s="4" t="s">
        <v>12</v>
      </c>
    </row>
    <row r="713" spans="1:8">
      <c r="A713" s="3" t="s">
        <v>1059</v>
      </c>
      <c r="B713" s="4" t="s">
        <v>1495</v>
      </c>
      <c r="C713" s="4" t="s">
        <v>1496</v>
      </c>
      <c r="D713" s="4" t="s">
        <v>1806</v>
      </c>
      <c r="E713" s="4">
        <v>41</v>
      </c>
      <c r="F713" s="4">
        <v>2</v>
      </c>
      <c r="G713" s="4" t="s">
        <v>583</v>
      </c>
      <c r="H713" s="4" t="s">
        <v>12</v>
      </c>
    </row>
    <row r="714" spans="1:8">
      <c r="A714" s="3" t="s">
        <v>968</v>
      </c>
      <c r="B714" s="4" t="s">
        <v>1279</v>
      </c>
      <c r="C714" s="4" t="s">
        <v>1280</v>
      </c>
      <c r="D714" s="4" t="s">
        <v>709</v>
      </c>
      <c r="E714" s="4">
        <v>55</v>
      </c>
      <c r="F714" s="4">
        <v>2</v>
      </c>
      <c r="G714" s="4" t="s">
        <v>11</v>
      </c>
      <c r="H714" s="4" t="s">
        <v>12</v>
      </c>
    </row>
    <row r="715" spans="1:8">
      <c r="A715" s="3" t="s">
        <v>1171</v>
      </c>
      <c r="B715" s="4" t="s">
        <v>1251</v>
      </c>
      <c r="C715" s="4" t="s">
        <v>1252</v>
      </c>
      <c r="D715" s="4" t="s">
        <v>709</v>
      </c>
      <c r="E715" s="4">
        <v>55</v>
      </c>
      <c r="F715" s="4">
        <v>2</v>
      </c>
      <c r="G715" s="4" t="s">
        <v>11</v>
      </c>
      <c r="H715" s="4" t="s">
        <v>12</v>
      </c>
    </row>
    <row r="716" spans="1:8">
      <c r="A716" s="3" t="s">
        <v>1171</v>
      </c>
      <c r="B716" s="4" t="s">
        <v>1178</v>
      </c>
      <c r="C716" s="4" t="s">
        <v>1179</v>
      </c>
      <c r="D716" s="4" t="s">
        <v>709</v>
      </c>
      <c r="E716" s="4">
        <v>51</v>
      </c>
      <c r="F716" s="4">
        <v>2</v>
      </c>
      <c r="G716" s="4" t="s">
        <v>11</v>
      </c>
      <c r="H716" s="4" t="s">
        <v>12</v>
      </c>
    </row>
    <row r="717" spans="1:8">
      <c r="A717" s="3" t="s">
        <v>1171</v>
      </c>
      <c r="B717" s="4" t="s">
        <v>1253</v>
      </c>
      <c r="C717" s="4" t="s">
        <v>1254</v>
      </c>
      <c r="D717" s="4" t="s">
        <v>709</v>
      </c>
      <c r="E717" s="4">
        <v>55</v>
      </c>
      <c r="F717" s="4">
        <v>2</v>
      </c>
      <c r="G717" s="4" t="s">
        <v>11</v>
      </c>
      <c r="H717" s="4" t="s">
        <v>12</v>
      </c>
    </row>
    <row r="718" spans="1:8">
      <c r="A718" s="3" t="s">
        <v>1083</v>
      </c>
      <c r="B718" s="4" t="s">
        <v>1092</v>
      </c>
      <c r="C718" s="4" t="s">
        <v>1093</v>
      </c>
      <c r="D718" s="4" t="s">
        <v>709</v>
      </c>
      <c r="E718" s="4">
        <v>54</v>
      </c>
      <c r="F718" s="4">
        <v>2</v>
      </c>
      <c r="G718" s="4" t="s">
        <v>11</v>
      </c>
      <c r="H718" s="4" t="s">
        <v>12</v>
      </c>
    </row>
    <row r="719" spans="1:8">
      <c r="A719" s="3" t="s">
        <v>1191</v>
      </c>
      <c r="B719" s="4" t="s">
        <v>1503</v>
      </c>
      <c r="C719" s="4" t="s">
        <v>1504</v>
      </c>
      <c r="D719" s="4" t="s">
        <v>709</v>
      </c>
      <c r="E719" s="4">
        <v>50</v>
      </c>
      <c r="F719" s="4">
        <v>2</v>
      </c>
      <c r="G719" s="4" t="s">
        <v>11</v>
      </c>
      <c r="H719" s="4" t="s">
        <v>12</v>
      </c>
    </row>
    <row r="720" spans="1:8">
      <c r="A720" s="3" t="s">
        <v>1191</v>
      </c>
      <c r="B720" s="4" t="s">
        <v>1198</v>
      </c>
      <c r="C720" s="4" t="s">
        <v>1199</v>
      </c>
      <c r="D720" s="4" t="s">
        <v>709</v>
      </c>
      <c r="E720" s="4">
        <v>42</v>
      </c>
      <c r="F720" s="4">
        <v>2</v>
      </c>
      <c r="G720" s="4" t="s">
        <v>11</v>
      </c>
      <c r="H720" s="4" t="s">
        <v>12</v>
      </c>
    </row>
    <row r="721" spans="1:8">
      <c r="A721" s="3" t="s">
        <v>1231</v>
      </c>
      <c r="B721" s="4" t="s">
        <v>1232</v>
      </c>
      <c r="C721" s="4" t="s">
        <v>1233</v>
      </c>
      <c r="D721" s="4" t="s">
        <v>709</v>
      </c>
      <c r="E721" s="4">
        <v>53</v>
      </c>
      <c r="F721" s="4">
        <v>2</v>
      </c>
      <c r="G721" s="4" t="s">
        <v>11</v>
      </c>
      <c r="H721" s="4" t="s">
        <v>12</v>
      </c>
    </row>
    <row r="722" spans="1:8">
      <c r="A722" s="3" t="s">
        <v>1231</v>
      </c>
      <c r="B722" s="4" t="s">
        <v>1426</v>
      </c>
      <c r="C722" s="4" t="s">
        <v>1427</v>
      </c>
      <c r="D722" s="4" t="s">
        <v>709</v>
      </c>
      <c r="E722" s="4">
        <v>41</v>
      </c>
      <c r="F722" s="4">
        <v>2</v>
      </c>
      <c r="G722" s="4" t="s">
        <v>11</v>
      </c>
      <c r="H722" s="4" t="s">
        <v>12</v>
      </c>
    </row>
    <row r="723" spans="1:8">
      <c r="A723" s="3" t="s">
        <v>1102</v>
      </c>
      <c r="B723" s="4" t="s">
        <v>1445</v>
      </c>
      <c r="C723" s="4" t="s">
        <v>1446</v>
      </c>
      <c r="D723" s="4" t="s">
        <v>709</v>
      </c>
      <c r="E723" s="4">
        <v>55</v>
      </c>
      <c r="F723" s="4">
        <v>2</v>
      </c>
      <c r="G723" s="4" t="s">
        <v>11</v>
      </c>
      <c r="H723" s="4" t="s">
        <v>12</v>
      </c>
    </row>
    <row r="724" spans="1:8">
      <c r="A724" s="3" t="s">
        <v>1102</v>
      </c>
      <c r="B724" s="4" t="s">
        <v>1123</v>
      </c>
      <c r="C724" s="4" t="s">
        <v>1124</v>
      </c>
      <c r="D724" s="4" t="s">
        <v>709</v>
      </c>
      <c r="E724" s="4">
        <v>52</v>
      </c>
      <c r="F724" s="4">
        <v>2</v>
      </c>
      <c r="G724" s="4" t="s">
        <v>11</v>
      </c>
      <c r="H724" s="4" t="s">
        <v>12</v>
      </c>
    </row>
    <row r="725" spans="1:8">
      <c r="A725" s="3" t="s">
        <v>1020</v>
      </c>
      <c r="B725" s="4" t="s">
        <v>1261</v>
      </c>
      <c r="C725" s="4" t="s">
        <v>1262</v>
      </c>
      <c r="D725" s="4" t="s">
        <v>1589</v>
      </c>
      <c r="E725" s="4">
        <v>40</v>
      </c>
      <c r="F725" s="4">
        <v>1</v>
      </c>
      <c r="G725" s="4" t="s">
        <v>11</v>
      </c>
      <c r="H725" s="4" t="s">
        <v>12</v>
      </c>
    </row>
    <row r="726" spans="1:8">
      <c r="A726" s="3" t="s">
        <v>1171</v>
      </c>
      <c r="B726" s="4" t="s">
        <v>1178</v>
      </c>
      <c r="C726" s="4" t="s">
        <v>1179</v>
      </c>
      <c r="D726" s="4" t="s">
        <v>1586</v>
      </c>
      <c r="E726" s="4">
        <v>47</v>
      </c>
      <c r="F726" s="4">
        <v>2</v>
      </c>
      <c r="G726" s="4" t="s">
        <v>11</v>
      </c>
      <c r="H726" s="4" t="s">
        <v>12</v>
      </c>
    </row>
    <row r="727" spans="1:8">
      <c r="A727" s="3" t="s">
        <v>1191</v>
      </c>
      <c r="B727" s="4" t="s">
        <v>1587</v>
      </c>
      <c r="C727" s="4" t="s">
        <v>1588</v>
      </c>
      <c r="D727" s="4" t="s">
        <v>1586</v>
      </c>
      <c r="E727" s="4">
        <v>55</v>
      </c>
      <c r="F727" s="4">
        <v>2</v>
      </c>
      <c r="G727" s="4" t="s">
        <v>11</v>
      </c>
      <c r="H727" s="4" t="s">
        <v>12</v>
      </c>
    </row>
    <row r="728" spans="1:8">
      <c r="A728" s="3" t="s">
        <v>1191</v>
      </c>
      <c r="B728" s="4" t="s">
        <v>1194</v>
      </c>
      <c r="C728" s="4" t="s">
        <v>1195</v>
      </c>
      <c r="D728" s="4" t="s">
        <v>1586</v>
      </c>
      <c r="E728" s="4">
        <v>42</v>
      </c>
      <c r="F728" s="4">
        <v>2</v>
      </c>
      <c r="G728" s="4" t="s">
        <v>11</v>
      </c>
      <c r="H728" s="4" t="s">
        <v>12</v>
      </c>
    </row>
    <row r="729" spans="1:8">
      <c r="A729" s="3" t="s">
        <v>1231</v>
      </c>
      <c r="B729" s="4" t="s">
        <v>1426</v>
      </c>
      <c r="C729" s="4" t="s">
        <v>1427</v>
      </c>
      <c r="D729" s="4" t="s">
        <v>1586</v>
      </c>
      <c r="E729" s="4">
        <v>53</v>
      </c>
      <c r="F729" s="4">
        <v>2</v>
      </c>
      <c r="G729" s="4" t="s">
        <v>11</v>
      </c>
      <c r="H729" s="4" t="s">
        <v>12</v>
      </c>
    </row>
    <row r="730" spans="1:8">
      <c r="A730" s="3" t="s">
        <v>1102</v>
      </c>
      <c r="B730" s="4" t="s">
        <v>1445</v>
      </c>
      <c r="C730" s="4" t="s">
        <v>1446</v>
      </c>
      <c r="D730" s="4" t="s">
        <v>1586</v>
      </c>
      <c r="E730" s="4">
        <v>50</v>
      </c>
      <c r="F730" s="4">
        <v>2</v>
      </c>
      <c r="G730" s="4" t="s">
        <v>11</v>
      </c>
      <c r="H730" s="4" t="s">
        <v>12</v>
      </c>
    </row>
    <row r="731" spans="1:8">
      <c r="A731" s="3" t="s">
        <v>1059</v>
      </c>
      <c r="B731" s="4" t="s">
        <v>1487</v>
      </c>
      <c r="C731" s="4" t="s">
        <v>1488</v>
      </c>
      <c r="D731" s="4" t="s">
        <v>1586</v>
      </c>
      <c r="E731" s="4">
        <v>54</v>
      </c>
      <c r="F731" s="4">
        <v>2</v>
      </c>
      <c r="G731" s="4" t="s">
        <v>11</v>
      </c>
      <c r="H731" s="4" t="s">
        <v>12</v>
      </c>
    </row>
    <row r="732" spans="1:8">
      <c r="A732" s="3" t="s">
        <v>1054</v>
      </c>
      <c r="B732" s="4" t="s">
        <v>1580</v>
      </c>
      <c r="C732" s="4" t="s">
        <v>1581</v>
      </c>
      <c r="D732" s="4" t="s">
        <v>793</v>
      </c>
      <c r="E732" s="4">
        <v>52</v>
      </c>
      <c r="F732" s="4">
        <v>2</v>
      </c>
      <c r="G732" s="4" t="s">
        <v>11</v>
      </c>
      <c r="H732" s="4" t="s">
        <v>12</v>
      </c>
    </row>
    <row r="733" spans="1:8">
      <c r="A733" s="3" t="s">
        <v>1200</v>
      </c>
      <c r="B733" s="4" t="s">
        <v>1443</v>
      </c>
      <c r="C733" s="4" t="s">
        <v>1444</v>
      </c>
      <c r="D733" s="4" t="s">
        <v>793</v>
      </c>
      <c r="E733" s="4">
        <v>50</v>
      </c>
      <c r="F733" s="4">
        <v>2</v>
      </c>
      <c r="G733" s="4" t="s">
        <v>11</v>
      </c>
      <c r="H733" s="4" t="s">
        <v>12</v>
      </c>
    </row>
    <row r="734" spans="1:8">
      <c r="A734" s="3" t="s">
        <v>1217</v>
      </c>
      <c r="B734" s="4" t="s">
        <v>1572</v>
      </c>
      <c r="C734" s="4" t="s">
        <v>1573</v>
      </c>
      <c r="D734" s="4" t="s">
        <v>793</v>
      </c>
      <c r="E734" s="4">
        <v>40</v>
      </c>
      <c r="F734" s="4">
        <v>2</v>
      </c>
      <c r="G734" s="4" t="s">
        <v>11</v>
      </c>
      <c r="H734" s="4" t="s">
        <v>12</v>
      </c>
    </row>
    <row r="735" spans="1:8">
      <c r="A735" s="3" t="s">
        <v>998</v>
      </c>
      <c r="B735" s="4" t="s">
        <v>1582</v>
      </c>
      <c r="C735" s="4" t="s">
        <v>1583</v>
      </c>
      <c r="D735" s="4" t="s">
        <v>793</v>
      </c>
      <c r="E735" s="4">
        <v>40</v>
      </c>
      <c r="F735" s="4">
        <v>2</v>
      </c>
      <c r="G735" s="4" t="s">
        <v>11</v>
      </c>
      <c r="H735" s="4" t="s">
        <v>12</v>
      </c>
    </row>
    <row r="736" spans="1:8">
      <c r="A736" s="3" t="s">
        <v>998</v>
      </c>
      <c r="B736" s="4" t="s">
        <v>1584</v>
      </c>
      <c r="C736" s="4" t="s">
        <v>1585</v>
      </c>
      <c r="D736" s="4" t="s">
        <v>793</v>
      </c>
      <c r="E736" s="4">
        <v>42</v>
      </c>
      <c r="F736" s="4">
        <v>2</v>
      </c>
      <c r="G736" s="4" t="s">
        <v>11</v>
      </c>
      <c r="H736" s="4" t="s">
        <v>12</v>
      </c>
    </row>
    <row r="737" spans="1:8">
      <c r="A737" s="3" t="s">
        <v>998</v>
      </c>
      <c r="B737" s="4" t="s">
        <v>1497</v>
      </c>
      <c r="C737" s="4" t="s">
        <v>1498</v>
      </c>
      <c r="D737" s="4" t="s">
        <v>793</v>
      </c>
      <c r="E737" s="4">
        <v>50</v>
      </c>
      <c r="F737" s="4">
        <v>2</v>
      </c>
      <c r="G737" s="4" t="s">
        <v>11</v>
      </c>
      <c r="H737" s="4" t="s">
        <v>12</v>
      </c>
    </row>
    <row r="738" spans="1:8">
      <c r="A738" s="3" t="s">
        <v>998</v>
      </c>
      <c r="B738" s="4" t="s">
        <v>1576</v>
      </c>
      <c r="C738" s="4" t="s">
        <v>1577</v>
      </c>
      <c r="D738" s="4" t="s">
        <v>793</v>
      </c>
      <c r="E738" s="4">
        <v>46</v>
      </c>
      <c r="F738" s="4">
        <v>2</v>
      </c>
      <c r="G738" s="4" t="s">
        <v>11</v>
      </c>
      <c r="H738" s="4" t="s">
        <v>12</v>
      </c>
    </row>
    <row r="739" spans="1:8">
      <c r="A739" s="3" t="s">
        <v>1020</v>
      </c>
      <c r="B739" s="4" t="s">
        <v>1545</v>
      </c>
      <c r="C739" s="4" t="s">
        <v>1546</v>
      </c>
      <c r="D739" s="4" t="s">
        <v>702</v>
      </c>
      <c r="E739" s="4">
        <v>51</v>
      </c>
      <c r="F739" s="4">
        <v>2</v>
      </c>
      <c r="G739" s="4" t="s">
        <v>11</v>
      </c>
      <c r="H739" s="4" t="s">
        <v>12</v>
      </c>
    </row>
    <row r="740" spans="1:8">
      <c r="A740" s="3" t="s">
        <v>1020</v>
      </c>
      <c r="B740" s="4" t="s">
        <v>1025</v>
      </c>
      <c r="C740" s="4" t="s">
        <v>1026</v>
      </c>
      <c r="D740" s="4" t="s">
        <v>702</v>
      </c>
      <c r="E740" s="4">
        <v>55</v>
      </c>
      <c r="F740" s="4">
        <v>2</v>
      </c>
      <c r="G740" s="4" t="s">
        <v>11</v>
      </c>
      <c r="H740" s="4" t="s">
        <v>12</v>
      </c>
    </row>
    <row r="741" spans="1:8">
      <c r="A741" s="3" t="s">
        <v>1064</v>
      </c>
      <c r="B741" s="4" t="s">
        <v>1073</v>
      </c>
      <c r="C741" s="4" t="s">
        <v>1074</v>
      </c>
      <c r="D741" s="4" t="s">
        <v>1689</v>
      </c>
      <c r="E741" s="4">
        <v>54</v>
      </c>
      <c r="F741" s="4">
        <v>2</v>
      </c>
      <c r="G741" s="4" t="s">
        <v>11</v>
      </c>
      <c r="H741" s="4" t="s">
        <v>851</v>
      </c>
    </row>
    <row r="742" spans="1:8">
      <c r="A742" s="3" t="s">
        <v>1020</v>
      </c>
      <c r="B742" s="4" t="s">
        <v>1543</v>
      </c>
      <c r="C742" s="4" t="s">
        <v>1544</v>
      </c>
      <c r="D742" s="4" t="s">
        <v>1689</v>
      </c>
      <c r="E742" s="4">
        <v>55</v>
      </c>
      <c r="F742" s="4">
        <v>2</v>
      </c>
      <c r="G742" s="4" t="s">
        <v>11</v>
      </c>
      <c r="H742" s="4" t="s">
        <v>851</v>
      </c>
    </row>
    <row r="743" spans="1:8">
      <c r="A743" s="3" t="s">
        <v>1818</v>
      </c>
      <c r="B743" s="4" t="s">
        <v>1822</v>
      </c>
      <c r="C743" s="4" t="s">
        <v>1823</v>
      </c>
      <c r="D743" s="4" t="s">
        <v>1824</v>
      </c>
      <c r="E743" s="4">
        <v>54</v>
      </c>
      <c r="F743" s="4">
        <v>3</v>
      </c>
      <c r="G743" s="4" t="s">
        <v>11</v>
      </c>
      <c r="H743" s="4" t="s">
        <v>851</v>
      </c>
    </row>
    <row r="744" spans="1:8">
      <c r="A744" s="3" t="s">
        <v>1613</v>
      </c>
      <c r="B744" s="4" t="s">
        <v>1832</v>
      </c>
      <c r="C744" s="4" t="s">
        <v>1833</v>
      </c>
      <c r="D744" s="4" t="s">
        <v>1835</v>
      </c>
      <c r="E744" s="4">
        <v>59</v>
      </c>
      <c r="F744" s="4">
        <v>4</v>
      </c>
      <c r="G744" s="4" t="s">
        <v>583</v>
      </c>
      <c r="H744" s="4" t="s">
        <v>851</v>
      </c>
    </row>
    <row r="745" spans="1:8">
      <c r="A745" s="3" t="s">
        <v>1613</v>
      </c>
      <c r="B745" s="4" t="s">
        <v>1832</v>
      </c>
      <c r="C745" s="4" t="s">
        <v>1833</v>
      </c>
      <c r="D745" s="4" t="s">
        <v>1834</v>
      </c>
      <c r="E745" s="4">
        <v>48</v>
      </c>
      <c r="F745" s="4">
        <v>3</v>
      </c>
      <c r="G745" s="4" t="s">
        <v>583</v>
      </c>
      <c r="H745" s="4" t="s">
        <v>851</v>
      </c>
    </row>
    <row r="746" spans="1:8">
      <c r="A746" s="3" t="s">
        <v>1102</v>
      </c>
      <c r="B746" s="4" t="s">
        <v>1109</v>
      </c>
      <c r="C746" s="4" t="s">
        <v>1110</v>
      </c>
      <c r="D746" s="4" t="s">
        <v>1673</v>
      </c>
      <c r="E746" s="4">
        <v>46</v>
      </c>
      <c r="F746" s="4">
        <v>2</v>
      </c>
      <c r="G746" s="4" t="s">
        <v>11</v>
      </c>
      <c r="H746" s="4" t="s">
        <v>851</v>
      </c>
    </row>
    <row r="747" spans="1:8">
      <c r="A747" s="3" t="s">
        <v>1102</v>
      </c>
      <c r="B747" s="4" t="s">
        <v>1663</v>
      </c>
      <c r="C747" s="4" t="s">
        <v>1664</v>
      </c>
      <c r="D747" s="4" t="s">
        <v>1673</v>
      </c>
      <c r="E747" s="4">
        <v>56</v>
      </c>
      <c r="F747" s="4">
        <v>2</v>
      </c>
      <c r="G747" s="4" t="s">
        <v>11</v>
      </c>
      <c r="H747" s="4" t="s">
        <v>851</v>
      </c>
    </row>
    <row r="748" spans="1:8">
      <c r="A748" s="3" t="s">
        <v>1102</v>
      </c>
      <c r="B748" s="4" t="s">
        <v>1638</v>
      </c>
      <c r="C748" s="4" t="s">
        <v>1639</v>
      </c>
      <c r="D748" s="4" t="s">
        <v>1673</v>
      </c>
      <c r="E748" s="4">
        <v>40</v>
      </c>
      <c r="F748" s="4">
        <v>2</v>
      </c>
      <c r="G748" s="4" t="s">
        <v>11</v>
      </c>
      <c r="H748" s="4" t="s">
        <v>851</v>
      </c>
    </row>
    <row r="749" spans="1:8">
      <c r="A749" s="3" t="s">
        <v>1102</v>
      </c>
      <c r="B749" s="4" t="s">
        <v>1115</v>
      </c>
      <c r="C749" s="4" t="s">
        <v>1116</v>
      </c>
      <c r="D749" s="4" t="s">
        <v>1673</v>
      </c>
      <c r="E749" s="4">
        <v>42</v>
      </c>
      <c r="F749" s="4">
        <v>2</v>
      </c>
      <c r="G749" s="4" t="s">
        <v>11</v>
      </c>
      <c r="H749" s="4" t="s">
        <v>851</v>
      </c>
    </row>
    <row r="750" spans="1:8">
      <c r="A750" s="3" t="s">
        <v>1102</v>
      </c>
      <c r="B750" s="4" t="s">
        <v>1117</v>
      </c>
      <c r="C750" s="4" t="s">
        <v>1118</v>
      </c>
      <c r="D750" s="4" t="s">
        <v>1673</v>
      </c>
      <c r="E750" s="4">
        <v>45</v>
      </c>
      <c r="F750" s="4">
        <v>2</v>
      </c>
      <c r="G750" s="4" t="s">
        <v>11</v>
      </c>
      <c r="H750" s="4" t="s">
        <v>851</v>
      </c>
    </row>
    <row r="751" spans="1:8">
      <c r="A751" s="3" t="s">
        <v>1102</v>
      </c>
      <c r="B751" s="4" t="s">
        <v>1119</v>
      </c>
      <c r="C751" s="4" t="s">
        <v>1120</v>
      </c>
      <c r="D751" s="4" t="s">
        <v>1673</v>
      </c>
      <c r="E751" s="4">
        <v>47</v>
      </c>
      <c r="F751" s="4">
        <v>2</v>
      </c>
      <c r="G751" s="4" t="s">
        <v>11</v>
      </c>
      <c r="H751" s="4" t="s">
        <v>851</v>
      </c>
    </row>
    <row r="752" spans="1:8">
      <c r="A752" s="3" t="s">
        <v>1102</v>
      </c>
      <c r="B752" s="4" t="s">
        <v>1131</v>
      </c>
      <c r="C752" s="4" t="s">
        <v>1132</v>
      </c>
      <c r="D752" s="4" t="s">
        <v>1673</v>
      </c>
      <c r="E752" s="4">
        <v>47</v>
      </c>
      <c r="F752" s="4">
        <v>2</v>
      </c>
      <c r="G752" s="4" t="s">
        <v>11</v>
      </c>
      <c r="H752" s="4" t="s">
        <v>851</v>
      </c>
    </row>
    <row r="753" spans="1:8">
      <c r="A753" s="3" t="s">
        <v>971</v>
      </c>
      <c r="B753" s="4" t="s">
        <v>1281</v>
      </c>
      <c r="C753" s="4" t="s">
        <v>1282</v>
      </c>
      <c r="D753" s="4" t="s">
        <v>1685</v>
      </c>
      <c r="E753" s="4">
        <v>48</v>
      </c>
      <c r="F753" s="4">
        <v>3</v>
      </c>
      <c r="G753" s="4" t="s">
        <v>11</v>
      </c>
      <c r="H753" s="4" t="s">
        <v>851</v>
      </c>
    </row>
    <row r="754" spans="1:8">
      <c r="A754" s="3" t="s">
        <v>971</v>
      </c>
      <c r="B754" s="4" t="s">
        <v>1555</v>
      </c>
      <c r="C754" s="4" t="s">
        <v>1556</v>
      </c>
      <c r="D754" s="4" t="s">
        <v>1685</v>
      </c>
      <c r="E754" s="4">
        <v>48</v>
      </c>
      <c r="F754" s="4">
        <v>3</v>
      </c>
      <c r="G754" s="4" t="s">
        <v>11</v>
      </c>
      <c r="H754" s="4" t="s">
        <v>851</v>
      </c>
    </row>
    <row r="755" spans="1:8">
      <c r="A755" s="3" t="s">
        <v>971</v>
      </c>
      <c r="B755" s="4" t="s">
        <v>1285</v>
      </c>
      <c r="C755" s="4" t="s">
        <v>1286</v>
      </c>
      <c r="D755" s="4" t="s">
        <v>1685</v>
      </c>
      <c r="E755" s="4">
        <v>43</v>
      </c>
      <c r="F755" s="4">
        <v>3</v>
      </c>
      <c r="G755" s="4" t="s">
        <v>11</v>
      </c>
      <c r="H755" s="4" t="s">
        <v>851</v>
      </c>
    </row>
    <row r="756" spans="1:8">
      <c r="A756" s="3" t="s">
        <v>971</v>
      </c>
      <c r="B756" s="4" t="s">
        <v>986</v>
      </c>
      <c r="C756" s="4" t="s">
        <v>987</v>
      </c>
      <c r="D756" s="4" t="s">
        <v>1685</v>
      </c>
      <c r="E756" s="4">
        <v>57</v>
      </c>
      <c r="F756" s="4">
        <v>3</v>
      </c>
      <c r="G756" s="4" t="s">
        <v>11</v>
      </c>
      <c r="H756" s="4" t="s">
        <v>851</v>
      </c>
    </row>
    <row r="757" spans="1:8">
      <c r="A757" s="3" t="s">
        <v>971</v>
      </c>
      <c r="B757" s="4" t="s">
        <v>1557</v>
      </c>
      <c r="C757" s="4" t="s">
        <v>1558</v>
      </c>
      <c r="D757" s="4" t="s">
        <v>1685</v>
      </c>
      <c r="E757" s="4">
        <v>57</v>
      </c>
      <c r="F757" s="4">
        <v>3</v>
      </c>
      <c r="G757" s="4" t="s">
        <v>11</v>
      </c>
      <c r="H757" s="4" t="s">
        <v>851</v>
      </c>
    </row>
    <row r="758" spans="1:8">
      <c r="A758" s="3" t="s">
        <v>971</v>
      </c>
      <c r="B758" s="4" t="s">
        <v>1668</v>
      </c>
      <c r="C758" s="4" t="s">
        <v>1669</v>
      </c>
      <c r="D758" s="4" t="s">
        <v>1685</v>
      </c>
      <c r="E758" s="4">
        <v>52</v>
      </c>
      <c r="F758" s="4">
        <v>3</v>
      </c>
      <c r="G758" s="4" t="s">
        <v>11</v>
      </c>
      <c r="H758" s="4" t="s">
        <v>851</v>
      </c>
    </row>
    <row r="759" spans="1:8">
      <c r="A759" s="3" t="s">
        <v>971</v>
      </c>
      <c r="B759" s="4" t="s">
        <v>1686</v>
      </c>
      <c r="C759" s="4" t="s">
        <v>1687</v>
      </c>
      <c r="D759" s="4" t="s">
        <v>1685</v>
      </c>
      <c r="E759" s="4">
        <v>56</v>
      </c>
      <c r="F759" s="4">
        <v>3</v>
      </c>
      <c r="G759" s="4" t="s">
        <v>11</v>
      </c>
      <c r="H759" s="4" t="s">
        <v>851</v>
      </c>
    </row>
    <row r="760" spans="1:8">
      <c r="A760" s="3" t="s">
        <v>1171</v>
      </c>
      <c r="B760" s="4" t="s">
        <v>1243</v>
      </c>
      <c r="C760" s="4" t="s">
        <v>1244</v>
      </c>
      <c r="D760" s="4" t="s">
        <v>1685</v>
      </c>
      <c r="E760" s="4">
        <v>56</v>
      </c>
      <c r="F760" s="4">
        <v>3</v>
      </c>
      <c r="G760" s="4" t="s">
        <v>11</v>
      </c>
      <c r="H760" s="4" t="s">
        <v>851</v>
      </c>
    </row>
    <row r="761" spans="1:8">
      <c r="A761" s="3" t="s">
        <v>1171</v>
      </c>
      <c r="B761" s="4" t="s">
        <v>1247</v>
      </c>
      <c r="C761" s="4" t="s">
        <v>1248</v>
      </c>
      <c r="D761" s="4" t="s">
        <v>1685</v>
      </c>
      <c r="E761" s="4">
        <v>57</v>
      </c>
      <c r="F761" s="4">
        <v>3</v>
      </c>
      <c r="G761" s="4" t="s">
        <v>11</v>
      </c>
      <c r="H761" s="4" t="s">
        <v>851</v>
      </c>
    </row>
    <row r="762" spans="1:8">
      <c r="A762" s="3" t="s">
        <v>1171</v>
      </c>
      <c r="B762" s="4" t="s">
        <v>1182</v>
      </c>
      <c r="C762" s="4" t="s">
        <v>1183</v>
      </c>
      <c r="D762" s="4" t="s">
        <v>1685</v>
      </c>
      <c r="E762" s="4">
        <v>54</v>
      </c>
      <c r="F762" s="4">
        <v>3</v>
      </c>
      <c r="G762" s="4" t="s">
        <v>11</v>
      </c>
      <c r="H762" s="4" t="s">
        <v>851</v>
      </c>
    </row>
    <row r="763" spans="1:8">
      <c r="A763" s="3" t="s">
        <v>1020</v>
      </c>
      <c r="B763" s="4" t="s">
        <v>1543</v>
      </c>
      <c r="C763" s="4" t="s">
        <v>1544</v>
      </c>
      <c r="D763" s="4" t="s">
        <v>1688</v>
      </c>
      <c r="E763" s="4">
        <v>55</v>
      </c>
      <c r="F763" s="4">
        <v>3</v>
      </c>
      <c r="G763" s="4" t="s">
        <v>11</v>
      </c>
      <c r="H763" s="4" t="s">
        <v>851</v>
      </c>
    </row>
    <row r="764" spans="1:8">
      <c r="A764" s="3" t="s">
        <v>1020</v>
      </c>
      <c r="B764" s="4" t="s">
        <v>1267</v>
      </c>
      <c r="C764" s="4" t="s">
        <v>1268</v>
      </c>
      <c r="D764" s="4" t="s">
        <v>1688</v>
      </c>
      <c r="E764" s="4">
        <v>54</v>
      </c>
      <c r="F764" s="4">
        <v>3</v>
      </c>
      <c r="G764" s="4" t="s">
        <v>11</v>
      </c>
      <c r="H764" s="4" t="s">
        <v>851</v>
      </c>
    </row>
    <row r="765" spans="1:8">
      <c r="A765" s="3" t="s">
        <v>1191</v>
      </c>
      <c r="B765" s="4" t="s">
        <v>1194</v>
      </c>
      <c r="C765" s="4" t="s">
        <v>1195</v>
      </c>
      <c r="D765" s="4" t="s">
        <v>1688</v>
      </c>
      <c r="E765" s="4">
        <v>47</v>
      </c>
      <c r="F765" s="4">
        <v>3</v>
      </c>
      <c r="G765" s="4" t="s">
        <v>11</v>
      </c>
      <c r="H765" s="4" t="s">
        <v>851</v>
      </c>
    </row>
    <row r="766" spans="1:8">
      <c r="A766" s="3" t="s">
        <v>1191</v>
      </c>
      <c r="B766" s="4" t="s">
        <v>1198</v>
      </c>
      <c r="C766" s="4" t="s">
        <v>1199</v>
      </c>
      <c r="D766" s="4" t="s">
        <v>1688</v>
      </c>
      <c r="E766" s="4">
        <v>50</v>
      </c>
      <c r="F766" s="4">
        <v>3</v>
      </c>
      <c r="G766" s="4" t="s">
        <v>11</v>
      </c>
      <c r="H766" s="4" t="s">
        <v>851</v>
      </c>
    </row>
    <row r="767" spans="1:8">
      <c r="A767" s="3" t="s">
        <v>1102</v>
      </c>
      <c r="B767" s="4" t="s">
        <v>1107</v>
      </c>
      <c r="C767" s="4" t="s">
        <v>1108</v>
      </c>
      <c r="D767" s="4" t="s">
        <v>1688</v>
      </c>
      <c r="E767" s="4">
        <v>48</v>
      </c>
      <c r="F767" s="4">
        <v>3</v>
      </c>
      <c r="G767" s="4" t="s">
        <v>11</v>
      </c>
      <c r="H767" s="4" t="s">
        <v>851</v>
      </c>
    </row>
    <row r="768" spans="1:8">
      <c r="A768" s="3" t="s">
        <v>1102</v>
      </c>
      <c r="B768" s="4" t="s">
        <v>1111</v>
      </c>
      <c r="C768" s="4" t="s">
        <v>1112</v>
      </c>
      <c r="D768" s="4" t="s">
        <v>1688</v>
      </c>
      <c r="E768" s="4">
        <v>50</v>
      </c>
      <c r="F768" s="4">
        <v>3</v>
      </c>
      <c r="G768" s="4" t="s">
        <v>11</v>
      </c>
      <c r="H768" s="4" t="s">
        <v>851</v>
      </c>
    </row>
    <row r="769" spans="1:8">
      <c r="A769" s="3" t="s">
        <v>1102</v>
      </c>
      <c r="B769" s="4" t="s">
        <v>1445</v>
      </c>
      <c r="C769" s="4" t="s">
        <v>1446</v>
      </c>
      <c r="D769" s="4" t="s">
        <v>1688</v>
      </c>
      <c r="E769" s="4">
        <v>48</v>
      </c>
      <c r="F769" s="4">
        <v>3</v>
      </c>
      <c r="G769" s="4" t="s">
        <v>11</v>
      </c>
      <c r="H769" s="4" t="s">
        <v>851</v>
      </c>
    </row>
    <row r="770" spans="1:8">
      <c r="A770" s="3" t="s">
        <v>1102</v>
      </c>
      <c r="B770" s="4" t="s">
        <v>1115</v>
      </c>
      <c r="C770" s="4" t="s">
        <v>1116</v>
      </c>
      <c r="D770" s="4" t="s">
        <v>1688</v>
      </c>
      <c r="E770" s="4">
        <v>54</v>
      </c>
      <c r="F770" s="4">
        <v>3</v>
      </c>
      <c r="G770" s="4" t="s">
        <v>11</v>
      </c>
      <c r="H770" s="4" t="s">
        <v>851</v>
      </c>
    </row>
    <row r="771" spans="1:8">
      <c r="A771" s="3" t="s">
        <v>1102</v>
      </c>
      <c r="B771" s="4" t="s">
        <v>1121</v>
      </c>
      <c r="C771" s="4" t="s">
        <v>1122</v>
      </c>
      <c r="D771" s="4" t="s">
        <v>1688</v>
      </c>
      <c r="E771" s="4">
        <v>41</v>
      </c>
      <c r="F771" s="4">
        <v>3</v>
      </c>
      <c r="G771" s="4" t="s">
        <v>11</v>
      </c>
      <c r="H771" s="4" t="s">
        <v>851</v>
      </c>
    </row>
    <row r="772" spans="1:8">
      <c r="A772" s="3" t="s">
        <v>1102</v>
      </c>
      <c r="B772" s="4" t="s">
        <v>1303</v>
      </c>
      <c r="C772" s="4" t="s">
        <v>1304</v>
      </c>
      <c r="D772" s="4" t="s">
        <v>1688</v>
      </c>
      <c r="E772" s="4">
        <v>49</v>
      </c>
      <c r="F772" s="4">
        <v>3</v>
      </c>
      <c r="G772" s="4" t="s">
        <v>11</v>
      </c>
      <c r="H772" s="4" t="s">
        <v>851</v>
      </c>
    </row>
    <row r="773" spans="1:8">
      <c r="A773" s="3" t="s">
        <v>1102</v>
      </c>
      <c r="B773" s="4" t="s">
        <v>1129</v>
      </c>
      <c r="C773" s="4" t="s">
        <v>1130</v>
      </c>
      <c r="D773" s="4" t="s">
        <v>1688</v>
      </c>
      <c r="E773" s="4">
        <v>43</v>
      </c>
      <c r="F773" s="4">
        <v>3</v>
      </c>
      <c r="G773" s="4" t="s">
        <v>11</v>
      </c>
      <c r="H773" s="4" t="s">
        <v>851</v>
      </c>
    </row>
    <row r="774" spans="1:8">
      <c r="A774" s="3" t="s">
        <v>1217</v>
      </c>
      <c r="B774" s="4" t="s">
        <v>1561</v>
      </c>
      <c r="C774" s="4" t="s">
        <v>1562</v>
      </c>
      <c r="D774" s="4" t="s">
        <v>1674</v>
      </c>
      <c r="E774" s="4">
        <v>54</v>
      </c>
      <c r="F774" s="4">
        <v>3</v>
      </c>
      <c r="G774" s="4" t="s">
        <v>11</v>
      </c>
      <c r="H774" s="4" t="s">
        <v>851</v>
      </c>
    </row>
    <row r="775" spans="1:8">
      <c r="A775" s="3" t="s">
        <v>1217</v>
      </c>
      <c r="B775" s="4" t="s">
        <v>1675</v>
      </c>
      <c r="C775" s="4" t="s">
        <v>1676</v>
      </c>
      <c r="D775" s="4" t="s">
        <v>1674</v>
      </c>
      <c r="E775" s="4">
        <v>51</v>
      </c>
      <c r="F775" s="4">
        <v>3</v>
      </c>
      <c r="G775" s="4" t="s">
        <v>11</v>
      </c>
      <c r="H775" s="4" t="s">
        <v>851</v>
      </c>
    </row>
    <row r="776" spans="1:8">
      <c r="A776" s="3" t="s">
        <v>1217</v>
      </c>
      <c r="B776" s="4" t="s">
        <v>1224</v>
      </c>
      <c r="C776" s="4" t="s">
        <v>1225</v>
      </c>
      <c r="D776" s="4" t="s">
        <v>1674</v>
      </c>
      <c r="E776" s="4">
        <v>52</v>
      </c>
      <c r="F776" s="4">
        <v>3</v>
      </c>
      <c r="G776" s="4" t="s">
        <v>11</v>
      </c>
      <c r="H776" s="4" t="s">
        <v>851</v>
      </c>
    </row>
    <row r="777" spans="1:8">
      <c r="A777" s="3" t="s">
        <v>1217</v>
      </c>
      <c r="B777" s="4" t="s">
        <v>1228</v>
      </c>
      <c r="C777" s="4" t="s">
        <v>954</v>
      </c>
      <c r="D777" s="4" t="s">
        <v>1674</v>
      </c>
      <c r="E777" s="4">
        <v>56</v>
      </c>
      <c r="F777" s="4">
        <v>3</v>
      </c>
      <c r="G777" s="4" t="s">
        <v>11</v>
      </c>
      <c r="H777" s="4" t="s">
        <v>851</v>
      </c>
    </row>
    <row r="778" spans="1:8">
      <c r="A778" s="3" t="s">
        <v>998</v>
      </c>
      <c r="B778" s="4" t="s">
        <v>1582</v>
      </c>
      <c r="C778" s="4" t="s">
        <v>1583</v>
      </c>
      <c r="D778" s="4" t="s">
        <v>1674</v>
      </c>
      <c r="E778" s="4">
        <v>43</v>
      </c>
      <c r="F778" s="4">
        <v>3</v>
      </c>
      <c r="G778" s="4" t="s">
        <v>11</v>
      </c>
      <c r="H778" s="4" t="s">
        <v>851</v>
      </c>
    </row>
    <row r="779" spans="1:8">
      <c r="A779" s="3" t="s">
        <v>998</v>
      </c>
      <c r="B779" s="4" t="s">
        <v>1677</v>
      </c>
      <c r="C779" s="4" t="s">
        <v>1678</v>
      </c>
      <c r="D779" s="4" t="s">
        <v>1674</v>
      </c>
      <c r="E779" s="4">
        <v>41</v>
      </c>
      <c r="F779" s="4">
        <v>3</v>
      </c>
      <c r="G779" s="4" t="s">
        <v>11</v>
      </c>
      <c r="H779" s="4" t="s">
        <v>851</v>
      </c>
    </row>
    <row r="780" spans="1:8">
      <c r="A780" s="3" t="s">
        <v>998</v>
      </c>
      <c r="B780" s="4" t="s">
        <v>1679</v>
      </c>
      <c r="C780" s="4" t="s">
        <v>1680</v>
      </c>
      <c r="D780" s="4" t="s">
        <v>1674</v>
      </c>
      <c r="E780" s="4">
        <v>44</v>
      </c>
      <c r="F780" s="4">
        <v>3</v>
      </c>
      <c r="G780" s="4" t="s">
        <v>11</v>
      </c>
      <c r="H780" s="4" t="s">
        <v>851</v>
      </c>
    </row>
    <row r="781" spans="1:8">
      <c r="A781" s="3" t="s">
        <v>998</v>
      </c>
      <c r="B781" s="4" t="s">
        <v>1681</v>
      </c>
      <c r="C781" s="4" t="s">
        <v>1682</v>
      </c>
      <c r="D781" s="4" t="s">
        <v>1674</v>
      </c>
      <c r="E781" s="4">
        <v>57</v>
      </c>
      <c r="F781" s="4">
        <v>3</v>
      </c>
      <c r="G781" s="4" t="s">
        <v>11</v>
      </c>
      <c r="H781" s="4" t="s">
        <v>851</v>
      </c>
    </row>
    <row r="782" spans="1:8">
      <c r="A782" s="3" t="s">
        <v>998</v>
      </c>
      <c r="B782" s="4" t="s">
        <v>1683</v>
      </c>
      <c r="C782" s="4" t="s">
        <v>1684</v>
      </c>
      <c r="D782" s="4" t="s">
        <v>1674</v>
      </c>
      <c r="E782" s="4">
        <v>56</v>
      </c>
      <c r="F782" s="4">
        <v>3</v>
      </c>
      <c r="G782" s="4" t="s">
        <v>11</v>
      </c>
      <c r="H782" s="4" t="s">
        <v>851</v>
      </c>
    </row>
    <row r="783" spans="1:8">
      <c r="A783" s="3" t="s">
        <v>998</v>
      </c>
      <c r="B783" s="4" t="s">
        <v>1497</v>
      </c>
      <c r="C783" s="4" t="s">
        <v>1498</v>
      </c>
      <c r="D783" s="4" t="s">
        <v>1674</v>
      </c>
      <c r="E783" s="4">
        <v>44</v>
      </c>
      <c r="F783" s="4">
        <v>3</v>
      </c>
      <c r="G783" s="4" t="s">
        <v>11</v>
      </c>
      <c r="H783" s="4" t="s">
        <v>851</v>
      </c>
    </row>
    <row r="784" spans="1:8">
      <c r="A784" s="3" t="s">
        <v>1135</v>
      </c>
      <c r="B784" s="4" t="s">
        <v>1136</v>
      </c>
      <c r="C784" s="4" t="s">
        <v>1137</v>
      </c>
      <c r="D784" s="4" t="s">
        <v>1783</v>
      </c>
      <c r="E784" s="4">
        <v>53</v>
      </c>
      <c r="F784" s="4">
        <v>2</v>
      </c>
      <c r="G784" s="4" t="s">
        <v>11</v>
      </c>
      <c r="H784" s="4" t="s">
        <v>851</v>
      </c>
    </row>
    <row r="785" spans="1:8">
      <c r="A785" s="3" t="s">
        <v>1135</v>
      </c>
      <c r="B785" s="4" t="s">
        <v>1138</v>
      </c>
      <c r="C785" s="4" t="s">
        <v>1139</v>
      </c>
      <c r="D785" s="4" t="s">
        <v>1783</v>
      </c>
      <c r="E785" s="4">
        <v>58</v>
      </c>
      <c r="F785" s="4">
        <v>2</v>
      </c>
      <c r="G785" s="4" t="s">
        <v>11</v>
      </c>
      <c r="H785" s="4" t="s">
        <v>851</v>
      </c>
    </row>
    <row r="786" spans="1:8">
      <c r="A786" s="3" t="s">
        <v>1135</v>
      </c>
      <c r="B786" s="4" t="s">
        <v>1339</v>
      </c>
      <c r="C786" s="4" t="s">
        <v>1340</v>
      </c>
      <c r="D786" s="4" t="s">
        <v>1783</v>
      </c>
      <c r="E786" s="4">
        <v>58</v>
      </c>
      <c r="F786" s="4">
        <v>2</v>
      </c>
      <c r="G786" s="4" t="s">
        <v>11</v>
      </c>
      <c r="H786" s="4" t="s">
        <v>851</v>
      </c>
    </row>
    <row r="787" spans="1:8">
      <c r="A787" s="3" t="s">
        <v>1135</v>
      </c>
      <c r="B787" s="4" t="s">
        <v>1341</v>
      </c>
      <c r="C787" s="4" t="s">
        <v>1342</v>
      </c>
      <c r="D787" s="4" t="s">
        <v>1783</v>
      </c>
      <c r="E787" s="4">
        <v>59</v>
      </c>
      <c r="F787" s="4">
        <v>2</v>
      </c>
      <c r="G787" s="4" t="s">
        <v>11</v>
      </c>
      <c r="H787" s="4" t="s">
        <v>851</v>
      </c>
    </row>
    <row r="788" spans="1:8">
      <c r="A788" s="3" t="s">
        <v>1428</v>
      </c>
      <c r="B788" s="4" t="s">
        <v>1471</v>
      </c>
      <c r="C788" s="4" t="s">
        <v>1472</v>
      </c>
      <c r="D788" s="4" t="s">
        <v>1783</v>
      </c>
      <c r="E788" s="4">
        <v>46</v>
      </c>
      <c r="F788" s="4">
        <v>2</v>
      </c>
      <c r="G788" s="4" t="s">
        <v>11</v>
      </c>
      <c r="H788" s="4" t="s">
        <v>851</v>
      </c>
    </row>
    <row r="789" spans="1:8">
      <c r="A789" s="3" t="s">
        <v>1428</v>
      </c>
      <c r="B789" s="4" t="s">
        <v>1774</v>
      </c>
      <c r="C789" s="4" t="s">
        <v>1775</v>
      </c>
      <c r="D789" s="4" t="s">
        <v>1783</v>
      </c>
      <c r="E789" s="4">
        <v>52</v>
      </c>
      <c r="F789" s="4">
        <v>2</v>
      </c>
      <c r="G789" s="4" t="s">
        <v>11</v>
      </c>
      <c r="H789" s="4" t="s">
        <v>851</v>
      </c>
    </row>
    <row r="790" spans="1:8">
      <c r="A790" s="3" t="s">
        <v>1135</v>
      </c>
      <c r="B790" s="4" t="s">
        <v>1136</v>
      </c>
      <c r="C790" s="4" t="s">
        <v>1137</v>
      </c>
      <c r="D790" s="4" t="s">
        <v>1767</v>
      </c>
      <c r="E790" s="4">
        <v>45</v>
      </c>
      <c r="F790" s="4">
        <v>3</v>
      </c>
      <c r="G790" s="4" t="s">
        <v>583</v>
      </c>
      <c r="H790" s="4" t="s">
        <v>851</v>
      </c>
    </row>
    <row r="791" spans="1:8">
      <c r="A791" s="3" t="s">
        <v>1135</v>
      </c>
      <c r="B791" s="4" t="s">
        <v>1768</v>
      </c>
      <c r="C791" s="4" t="s">
        <v>1769</v>
      </c>
      <c r="D791" s="4" t="s">
        <v>1767</v>
      </c>
      <c r="E791" s="4">
        <v>45</v>
      </c>
      <c r="F791" s="4">
        <v>3</v>
      </c>
      <c r="G791" s="4" t="s">
        <v>583</v>
      </c>
      <c r="H791" s="4" t="s">
        <v>851</v>
      </c>
    </row>
    <row r="792" spans="1:8">
      <c r="A792" s="3" t="s">
        <v>1135</v>
      </c>
      <c r="B792" s="4" t="s">
        <v>1770</v>
      </c>
      <c r="C792" s="4" t="s">
        <v>1771</v>
      </c>
      <c r="D792" s="4" t="s">
        <v>1767</v>
      </c>
      <c r="E792" s="4">
        <v>48</v>
      </c>
      <c r="F792" s="4">
        <v>3</v>
      </c>
      <c r="G792" s="4" t="s">
        <v>583</v>
      </c>
      <c r="H792" s="4" t="s">
        <v>851</v>
      </c>
    </row>
    <row r="793" spans="1:8">
      <c r="A793" s="3" t="s">
        <v>1135</v>
      </c>
      <c r="B793" s="4" t="s">
        <v>1772</v>
      </c>
      <c r="C793" s="4" t="s">
        <v>1773</v>
      </c>
      <c r="D793" s="4" t="s">
        <v>1767</v>
      </c>
      <c r="E793" s="4">
        <v>47</v>
      </c>
      <c r="F793" s="4">
        <v>3</v>
      </c>
      <c r="G793" s="4" t="s">
        <v>583</v>
      </c>
      <c r="H793" s="4" t="s">
        <v>851</v>
      </c>
    </row>
    <row r="794" spans="1:8">
      <c r="A794" s="3" t="s">
        <v>1135</v>
      </c>
      <c r="B794" s="4" t="s">
        <v>1142</v>
      </c>
      <c r="C794" s="4" t="s">
        <v>1143</v>
      </c>
      <c r="D794" s="4" t="s">
        <v>1767</v>
      </c>
      <c r="E794" s="4">
        <v>52</v>
      </c>
      <c r="F794" s="4">
        <v>3</v>
      </c>
      <c r="G794" s="4" t="s">
        <v>583</v>
      </c>
      <c r="H794" s="4" t="s">
        <v>851</v>
      </c>
    </row>
    <row r="795" spans="1:8">
      <c r="A795" s="3" t="s">
        <v>1428</v>
      </c>
      <c r="B795" s="4" t="s">
        <v>1749</v>
      </c>
      <c r="C795" s="4" t="s">
        <v>1750</v>
      </c>
      <c r="D795" s="4" t="s">
        <v>1767</v>
      </c>
      <c r="E795" s="4">
        <v>46</v>
      </c>
      <c r="F795" s="4">
        <v>3</v>
      </c>
      <c r="G795" s="4" t="s">
        <v>583</v>
      </c>
      <c r="H795" s="4" t="s">
        <v>851</v>
      </c>
    </row>
    <row r="796" spans="1:8">
      <c r="A796" s="3" t="s">
        <v>1428</v>
      </c>
      <c r="B796" s="4" t="s">
        <v>1774</v>
      </c>
      <c r="C796" s="4" t="s">
        <v>1775</v>
      </c>
      <c r="D796" s="4" t="s">
        <v>1767</v>
      </c>
      <c r="E796" s="4">
        <v>52</v>
      </c>
      <c r="F796" s="4">
        <v>3</v>
      </c>
      <c r="G796" s="4" t="s">
        <v>583</v>
      </c>
      <c r="H796" s="4" t="s">
        <v>851</v>
      </c>
    </row>
    <row r="797" spans="1:8">
      <c r="A797" s="3" t="s">
        <v>1428</v>
      </c>
      <c r="B797" s="4" t="s">
        <v>1776</v>
      </c>
      <c r="C797" s="4" t="s">
        <v>1777</v>
      </c>
      <c r="D797" s="4" t="s">
        <v>1767</v>
      </c>
      <c r="E797" s="4">
        <v>44</v>
      </c>
      <c r="F797" s="4">
        <v>3</v>
      </c>
      <c r="G797" s="4" t="s">
        <v>583</v>
      </c>
      <c r="H797" s="4" t="s">
        <v>851</v>
      </c>
    </row>
    <row r="798" spans="1:8">
      <c r="A798" s="3" t="s">
        <v>1428</v>
      </c>
      <c r="B798" s="4" t="s">
        <v>1778</v>
      </c>
      <c r="C798" s="4" t="s">
        <v>1779</v>
      </c>
      <c r="D798" s="4" t="s">
        <v>1767</v>
      </c>
      <c r="E798" s="4">
        <v>56</v>
      </c>
      <c r="F798" s="4">
        <v>3</v>
      </c>
      <c r="G798" s="4" t="s">
        <v>583</v>
      </c>
      <c r="H798" s="4" t="s">
        <v>851</v>
      </c>
    </row>
    <row r="799" spans="1:8">
      <c r="A799" s="3" t="s">
        <v>1191</v>
      </c>
      <c r="B799" s="4" t="s">
        <v>1501</v>
      </c>
      <c r="C799" s="4" t="s">
        <v>1502</v>
      </c>
      <c r="D799" s="4" t="s">
        <v>1748</v>
      </c>
      <c r="E799" s="4">
        <v>57</v>
      </c>
      <c r="F799" s="4">
        <v>3</v>
      </c>
      <c r="G799" s="4" t="s">
        <v>11</v>
      </c>
      <c r="H799" s="4" t="s">
        <v>851</v>
      </c>
    </row>
    <row r="800" spans="1:8">
      <c r="A800" s="3" t="s">
        <v>1191</v>
      </c>
      <c r="B800" s="4" t="s">
        <v>1325</v>
      </c>
      <c r="C800" s="4" t="s">
        <v>1326</v>
      </c>
      <c r="D800" s="4" t="s">
        <v>1748</v>
      </c>
      <c r="E800" s="4">
        <v>58</v>
      </c>
      <c r="F800" s="4">
        <v>3</v>
      </c>
      <c r="G800" s="4" t="s">
        <v>11</v>
      </c>
      <c r="H800" s="4" t="s">
        <v>851</v>
      </c>
    </row>
    <row r="801" spans="1:8">
      <c r="A801" s="3" t="s">
        <v>1191</v>
      </c>
      <c r="B801" s="4" t="s">
        <v>1198</v>
      </c>
      <c r="C801" s="4" t="s">
        <v>1199</v>
      </c>
      <c r="D801" s="4" t="s">
        <v>1748</v>
      </c>
      <c r="E801" s="4">
        <v>53</v>
      </c>
      <c r="F801" s="4">
        <v>3</v>
      </c>
      <c r="G801" s="4" t="s">
        <v>11</v>
      </c>
      <c r="H801" s="4" t="s">
        <v>851</v>
      </c>
    </row>
    <row r="802" spans="1:8">
      <c r="A802" s="3" t="s">
        <v>1102</v>
      </c>
      <c r="B802" s="4" t="s">
        <v>1107</v>
      </c>
      <c r="C802" s="4" t="s">
        <v>1108</v>
      </c>
      <c r="D802" s="4" t="s">
        <v>1748</v>
      </c>
      <c r="E802" s="4">
        <v>44</v>
      </c>
      <c r="F802" s="4">
        <v>3</v>
      </c>
      <c r="G802" s="4" t="s">
        <v>11</v>
      </c>
      <c r="H802" s="4" t="s">
        <v>851</v>
      </c>
    </row>
    <row r="803" spans="1:8">
      <c r="A803" s="3" t="s">
        <v>1102</v>
      </c>
      <c r="B803" s="4" t="s">
        <v>1109</v>
      </c>
      <c r="C803" s="4" t="s">
        <v>1110</v>
      </c>
      <c r="D803" s="4" t="s">
        <v>1748</v>
      </c>
      <c r="E803" s="4">
        <v>47</v>
      </c>
      <c r="F803" s="4">
        <v>3</v>
      </c>
      <c r="G803" s="4" t="s">
        <v>11</v>
      </c>
      <c r="H803" s="4" t="s">
        <v>851</v>
      </c>
    </row>
    <row r="804" spans="1:8">
      <c r="A804" s="3" t="s">
        <v>1102</v>
      </c>
      <c r="B804" s="4" t="s">
        <v>1663</v>
      </c>
      <c r="C804" s="4" t="s">
        <v>1664</v>
      </c>
      <c r="D804" s="4" t="s">
        <v>1748</v>
      </c>
      <c r="E804" s="4">
        <v>52</v>
      </c>
      <c r="F804" s="4">
        <v>3</v>
      </c>
      <c r="G804" s="4" t="s">
        <v>11</v>
      </c>
      <c r="H804" s="4" t="s">
        <v>851</v>
      </c>
    </row>
    <row r="805" spans="1:8">
      <c r="A805" s="3" t="s">
        <v>1102</v>
      </c>
      <c r="B805" s="4" t="s">
        <v>1638</v>
      </c>
      <c r="C805" s="4" t="s">
        <v>1639</v>
      </c>
      <c r="D805" s="4" t="s">
        <v>1748</v>
      </c>
      <c r="E805" s="4">
        <v>40</v>
      </c>
      <c r="F805" s="4">
        <v>3</v>
      </c>
      <c r="G805" s="4" t="s">
        <v>11</v>
      </c>
      <c r="H805" s="4" t="s">
        <v>851</v>
      </c>
    </row>
    <row r="806" spans="1:8">
      <c r="A806" s="3" t="s">
        <v>1102</v>
      </c>
      <c r="B806" s="4" t="s">
        <v>1115</v>
      </c>
      <c r="C806" s="4" t="s">
        <v>1116</v>
      </c>
      <c r="D806" s="4" t="s">
        <v>1748</v>
      </c>
      <c r="E806" s="4">
        <v>40</v>
      </c>
      <c r="F806" s="4">
        <v>3</v>
      </c>
      <c r="G806" s="4" t="s">
        <v>11</v>
      </c>
      <c r="H806" s="4" t="s">
        <v>851</v>
      </c>
    </row>
    <row r="807" spans="1:8">
      <c r="A807" s="3" t="s">
        <v>1102</v>
      </c>
      <c r="B807" s="4" t="s">
        <v>1117</v>
      </c>
      <c r="C807" s="4" t="s">
        <v>1118</v>
      </c>
      <c r="D807" s="4" t="s">
        <v>1748</v>
      </c>
      <c r="E807" s="4">
        <v>45</v>
      </c>
      <c r="F807" s="4">
        <v>3</v>
      </c>
      <c r="G807" s="4" t="s">
        <v>11</v>
      </c>
      <c r="H807" s="4" t="s">
        <v>851</v>
      </c>
    </row>
    <row r="808" spans="1:8">
      <c r="A808" s="3" t="s">
        <v>1102</v>
      </c>
      <c r="B808" s="4" t="s">
        <v>1119</v>
      </c>
      <c r="C808" s="4" t="s">
        <v>1120</v>
      </c>
      <c r="D808" s="4" t="s">
        <v>1748</v>
      </c>
      <c r="E808" s="4">
        <v>51</v>
      </c>
      <c r="F808" s="4">
        <v>3</v>
      </c>
      <c r="G808" s="4" t="s">
        <v>11</v>
      </c>
      <c r="H808" s="4" t="s">
        <v>851</v>
      </c>
    </row>
    <row r="809" spans="1:8">
      <c r="A809" s="3" t="s">
        <v>1102</v>
      </c>
      <c r="B809" s="4" t="s">
        <v>1129</v>
      </c>
      <c r="C809" s="4" t="s">
        <v>1130</v>
      </c>
      <c r="D809" s="4" t="s">
        <v>1748</v>
      </c>
      <c r="E809" s="4">
        <v>40</v>
      </c>
      <c r="F809" s="4">
        <v>3</v>
      </c>
      <c r="G809" s="4" t="s">
        <v>11</v>
      </c>
      <c r="H809" s="4" t="s">
        <v>851</v>
      </c>
    </row>
    <row r="810" spans="1:8">
      <c r="A810" s="3" t="s">
        <v>1102</v>
      </c>
      <c r="B810" s="4" t="s">
        <v>1131</v>
      </c>
      <c r="C810" s="4" t="s">
        <v>1132</v>
      </c>
      <c r="D810" s="4" t="s">
        <v>1748</v>
      </c>
      <c r="E810" s="4">
        <v>55</v>
      </c>
      <c r="F810" s="4">
        <v>3</v>
      </c>
      <c r="G810" s="4" t="s">
        <v>11</v>
      </c>
      <c r="H810" s="4" t="s">
        <v>851</v>
      </c>
    </row>
    <row r="811" spans="1:8">
      <c r="A811" s="3" t="s">
        <v>971</v>
      </c>
      <c r="B811" s="4" t="s">
        <v>1668</v>
      </c>
      <c r="C811" s="4" t="s">
        <v>1669</v>
      </c>
      <c r="D811" s="4" t="s">
        <v>1670</v>
      </c>
      <c r="E811" s="4">
        <v>45</v>
      </c>
      <c r="F811" s="4">
        <v>3</v>
      </c>
      <c r="G811" s="4" t="s">
        <v>11</v>
      </c>
      <c r="H811" s="4" t="s">
        <v>851</v>
      </c>
    </row>
    <row r="812" spans="1:8">
      <c r="A812" s="3" t="s">
        <v>1171</v>
      </c>
      <c r="B812" s="4" t="s">
        <v>1475</v>
      </c>
      <c r="C812" s="4" t="s">
        <v>1476</v>
      </c>
      <c r="D812" s="4" t="s">
        <v>1670</v>
      </c>
      <c r="E812" s="4">
        <v>57</v>
      </c>
      <c r="F812" s="4">
        <v>3</v>
      </c>
      <c r="G812" s="4" t="s">
        <v>11</v>
      </c>
      <c r="H812" s="4" t="s">
        <v>851</v>
      </c>
    </row>
    <row r="813" spans="1:8">
      <c r="A813" s="3" t="s">
        <v>1171</v>
      </c>
      <c r="B813" s="4" t="s">
        <v>1671</v>
      </c>
      <c r="C813" s="4" t="s">
        <v>1672</v>
      </c>
      <c r="D813" s="4" t="s">
        <v>1670</v>
      </c>
      <c r="E813" s="4">
        <v>51</v>
      </c>
      <c r="F813" s="4">
        <v>3</v>
      </c>
      <c r="G813" s="4" t="s">
        <v>11</v>
      </c>
      <c r="H813" s="4" t="s">
        <v>851</v>
      </c>
    </row>
    <row r="814" spans="1:8">
      <c r="A814" s="3" t="s">
        <v>1171</v>
      </c>
      <c r="B814" s="4" t="s">
        <v>1180</v>
      </c>
      <c r="C814" s="4" t="s">
        <v>1181</v>
      </c>
      <c r="D814" s="4" t="s">
        <v>1670</v>
      </c>
      <c r="E814" s="4">
        <v>45</v>
      </c>
      <c r="F814" s="4">
        <v>3</v>
      </c>
      <c r="G814" s="4" t="s">
        <v>11</v>
      </c>
      <c r="H814" s="4" t="s">
        <v>851</v>
      </c>
    </row>
    <row r="815" spans="1:8">
      <c r="A815" s="3" t="s">
        <v>1171</v>
      </c>
      <c r="B815" s="4" t="s">
        <v>1182</v>
      </c>
      <c r="C815" s="4" t="s">
        <v>1183</v>
      </c>
      <c r="D815" s="4" t="s">
        <v>1670</v>
      </c>
      <c r="E815" s="4">
        <v>58</v>
      </c>
      <c r="F815" s="4">
        <v>3</v>
      </c>
      <c r="G815" s="4" t="s">
        <v>11</v>
      </c>
      <c r="H815" s="4" t="s">
        <v>851</v>
      </c>
    </row>
    <row r="816" spans="1:8">
      <c r="A816" s="3" t="s">
        <v>1020</v>
      </c>
      <c r="B816" s="4" t="s">
        <v>1543</v>
      </c>
      <c r="C816" s="4" t="s">
        <v>1544</v>
      </c>
      <c r="D816" s="4" t="s">
        <v>1666</v>
      </c>
      <c r="E816" s="4">
        <v>51</v>
      </c>
      <c r="F816" s="4">
        <v>3</v>
      </c>
      <c r="G816" s="4" t="s">
        <v>583</v>
      </c>
      <c r="H816" s="4" t="s">
        <v>851</v>
      </c>
    </row>
    <row r="817" spans="1:8">
      <c r="A817" s="3" t="s">
        <v>1020</v>
      </c>
      <c r="B817" s="4" t="s">
        <v>1021</v>
      </c>
      <c r="C817" s="4" t="s">
        <v>1022</v>
      </c>
      <c r="D817" s="4" t="s">
        <v>1666</v>
      </c>
      <c r="E817" s="4">
        <v>48</v>
      </c>
      <c r="F817" s="4">
        <v>3</v>
      </c>
      <c r="G817" s="4" t="s">
        <v>583</v>
      </c>
      <c r="H817" s="4" t="s">
        <v>851</v>
      </c>
    </row>
    <row r="818" spans="1:8">
      <c r="A818" s="3" t="s">
        <v>1020</v>
      </c>
      <c r="B818" s="4" t="s">
        <v>1437</v>
      </c>
      <c r="C818" s="4" t="s">
        <v>1438</v>
      </c>
      <c r="D818" s="4" t="s">
        <v>1666</v>
      </c>
      <c r="E818" s="4">
        <v>48</v>
      </c>
      <c r="F818" s="4">
        <v>3</v>
      </c>
      <c r="G818" s="4" t="s">
        <v>583</v>
      </c>
      <c r="H818" s="4" t="s">
        <v>851</v>
      </c>
    </row>
    <row r="819" spans="1:8">
      <c r="A819" s="3" t="s">
        <v>1020</v>
      </c>
      <c r="B819" s="4" t="s">
        <v>1023</v>
      </c>
      <c r="C819" s="4" t="s">
        <v>1024</v>
      </c>
      <c r="D819" s="4" t="s">
        <v>1666</v>
      </c>
      <c r="E819" s="4">
        <v>48</v>
      </c>
      <c r="F819" s="4">
        <v>3</v>
      </c>
      <c r="G819" s="4" t="s">
        <v>583</v>
      </c>
      <c r="H819" s="4" t="s">
        <v>851</v>
      </c>
    </row>
    <row r="820" spans="1:8">
      <c r="A820" s="3" t="s">
        <v>1020</v>
      </c>
      <c r="B820" s="4" t="s">
        <v>1545</v>
      </c>
      <c r="C820" s="4" t="s">
        <v>1546</v>
      </c>
      <c r="D820" s="4" t="s">
        <v>1666</v>
      </c>
      <c r="E820" s="4">
        <v>43</v>
      </c>
      <c r="F820" s="4">
        <v>3</v>
      </c>
      <c r="G820" s="4" t="s">
        <v>583</v>
      </c>
      <c r="H820" s="4" t="s">
        <v>851</v>
      </c>
    </row>
    <row r="821" spans="1:8">
      <c r="A821" s="3" t="s">
        <v>1020</v>
      </c>
      <c r="B821" s="4" t="s">
        <v>1263</v>
      </c>
      <c r="C821" s="4" t="s">
        <v>1264</v>
      </c>
      <c r="D821" s="4" t="s">
        <v>1666</v>
      </c>
      <c r="E821" s="4">
        <v>51</v>
      </c>
      <c r="F821" s="4">
        <v>3</v>
      </c>
      <c r="G821" s="4" t="s">
        <v>583</v>
      </c>
      <c r="H821" s="4" t="s">
        <v>851</v>
      </c>
    </row>
    <row r="822" spans="1:8">
      <c r="A822" s="3" t="s">
        <v>998</v>
      </c>
      <c r="B822" s="4" t="s">
        <v>1584</v>
      </c>
      <c r="C822" s="4" t="s">
        <v>1585</v>
      </c>
      <c r="D822" s="4" t="s">
        <v>1667</v>
      </c>
      <c r="E822" s="4">
        <v>43</v>
      </c>
      <c r="F822" s="4">
        <v>3</v>
      </c>
      <c r="G822" s="4" t="s">
        <v>11</v>
      </c>
      <c r="H822" s="4" t="s">
        <v>851</v>
      </c>
    </row>
    <row r="823" spans="1:8">
      <c r="A823" s="3" t="s">
        <v>998</v>
      </c>
      <c r="B823" s="4" t="s">
        <v>1497</v>
      </c>
      <c r="C823" s="4" t="s">
        <v>1498</v>
      </c>
      <c r="D823" s="4" t="s">
        <v>1667</v>
      </c>
      <c r="E823" s="4">
        <v>47</v>
      </c>
      <c r="F823" s="4">
        <v>3</v>
      </c>
      <c r="G823" s="4" t="s">
        <v>11</v>
      </c>
      <c r="H823" s="4" t="s">
        <v>851</v>
      </c>
    </row>
    <row r="824" spans="1:8">
      <c r="A824" s="3" t="s">
        <v>998</v>
      </c>
      <c r="B824" s="4" t="s">
        <v>1578</v>
      </c>
      <c r="C824" s="4" t="s">
        <v>1579</v>
      </c>
      <c r="D824" s="4" t="s">
        <v>1667</v>
      </c>
      <c r="E824" s="4">
        <v>50</v>
      </c>
      <c r="F824" s="4">
        <v>3</v>
      </c>
      <c r="G824" s="4" t="s">
        <v>11</v>
      </c>
      <c r="H824" s="4" t="s">
        <v>851</v>
      </c>
    </row>
    <row r="825" spans="1:8">
      <c r="A825" s="3" t="s">
        <v>1054</v>
      </c>
      <c r="B825" s="4" t="s">
        <v>1580</v>
      </c>
      <c r="C825" s="4" t="s">
        <v>1581</v>
      </c>
      <c r="D825" s="4" t="s">
        <v>1734</v>
      </c>
      <c r="E825" s="4">
        <v>41</v>
      </c>
      <c r="F825" s="4">
        <v>3</v>
      </c>
      <c r="G825" s="4" t="s">
        <v>11</v>
      </c>
      <c r="H825" s="4" t="s">
        <v>851</v>
      </c>
    </row>
    <row r="826" spans="1:8">
      <c r="A826" s="3" t="s">
        <v>1054</v>
      </c>
      <c r="B826" s="4" t="s">
        <v>1593</v>
      </c>
      <c r="C826" s="4" t="s">
        <v>1594</v>
      </c>
      <c r="D826" s="4" t="s">
        <v>1734</v>
      </c>
      <c r="E826" s="4">
        <v>44</v>
      </c>
      <c r="F826" s="4">
        <v>3</v>
      </c>
      <c r="G826" s="4" t="s">
        <v>11</v>
      </c>
      <c r="H826" s="4" t="s">
        <v>851</v>
      </c>
    </row>
    <row r="827" spans="1:8">
      <c r="A827" s="3" t="s">
        <v>1054</v>
      </c>
      <c r="B827" s="4" t="s">
        <v>1057</v>
      </c>
      <c r="C827" s="4" t="s">
        <v>1058</v>
      </c>
      <c r="D827" s="4" t="s">
        <v>1734</v>
      </c>
      <c r="E827" s="4">
        <v>46</v>
      </c>
      <c r="F827" s="4">
        <v>3</v>
      </c>
      <c r="G827" s="4" t="s">
        <v>11</v>
      </c>
      <c r="H827" s="4" t="s">
        <v>851</v>
      </c>
    </row>
    <row r="828" spans="1:8">
      <c r="A828" s="3" t="s">
        <v>1135</v>
      </c>
      <c r="B828" s="4" t="s">
        <v>1764</v>
      </c>
      <c r="C828" s="4" t="s">
        <v>1765</v>
      </c>
      <c r="D828" s="4" t="s">
        <v>1761</v>
      </c>
      <c r="E828" s="4">
        <v>51</v>
      </c>
      <c r="F828" s="4">
        <v>2</v>
      </c>
      <c r="G828" s="4" t="s">
        <v>11</v>
      </c>
      <c r="H828" s="4" t="s">
        <v>851</v>
      </c>
    </row>
    <row r="829" spans="1:8">
      <c r="A829" s="3" t="s">
        <v>1135</v>
      </c>
      <c r="B829" s="4" t="s">
        <v>1339</v>
      </c>
      <c r="C829" s="4" t="s">
        <v>1340</v>
      </c>
      <c r="D829" s="4" t="s">
        <v>1761</v>
      </c>
      <c r="E829" s="4">
        <v>47</v>
      </c>
      <c r="F829" s="4">
        <v>2</v>
      </c>
      <c r="G829" s="4" t="s">
        <v>11</v>
      </c>
      <c r="H829" s="4" t="s">
        <v>851</v>
      </c>
    </row>
    <row r="830" spans="1:8">
      <c r="A830" s="3" t="s">
        <v>1428</v>
      </c>
      <c r="B830" s="4" t="s">
        <v>1749</v>
      </c>
      <c r="C830" s="4" t="s">
        <v>1750</v>
      </c>
      <c r="D830" s="4" t="s">
        <v>1761</v>
      </c>
      <c r="E830" s="4">
        <v>54</v>
      </c>
      <c r="F830" s="4">
        <v>2</v>
      </c>
      <c r="G830" s="4" t="s">
        <v>11</v>
      </c>
      <c r="H830" s="4" t="s">
        <v>851</v>
      </c>
    </row>
    <row r="831" spans="1:8">
      <c r="A831" s="3" t="s">
        <v>1428</v>
      </c>
      <c r="B831" s="4" t="s">
        <v>1762</v>
      </c>
      <c r="C831" s="4" t="s">
        <v>1763</v>
      </c>
      <c r="D831" s="4" t="s">
        <v>1761</v>
      </c>
      <c r="E831" s="4">
        <v>57</v>
      </c>
      <c r="F831" s="4">
        <v>2</v>
      </c>
      <c r="G831" s="4" t="s">
        <v>11</v>
      </c>
      <c r="H831" s="4" t="s">
        <v>851</v>
      </c>
    </row>
    <row r="832" spans="1:8">
      <c r="A832" s="3" t="s">
        <v>1428</v>
      </c>
      <c r="B832" s="4" t="s">
        <v>1429</v>
      </c>
      <c r="C832" s="4" t="s">
        <v>1430</v>
      </c>
      <c r="D832" s="4" t="s">
        <v>1761</v>
      </c>
      <c r="E832" s="4">
        <v>41</v>
      </c>
      <c r="F832" s="4">
        <v>2</v>
      </c>
      <c r="G832" s="4" t="s">
        <v>11</v>
      </c>
      <c r="H832" s="4" t="s">
        <v>851</v>
      </c>
    </row>
    <row r="833" spans="1:8">
      <c r="A833" s="3" t="s">
        <v>1428</v>
      </c>
      <c r="B833" s="4" t="s">
        <v>1471</v>
      </c>
      <c r="C833" s="4" t="s">
        <v>1472</v>
      </c>
      <c r="D833" s="4" t="s">
        <v>1761</v>
      </c>
      <c r="E833" s="4">
        <v>40</v>
      </c>
      <c r="F833" s="4">
        <v>2</v>
      </c>
      <c r="G833" s="4" t="s">
        <v>11</v>
      </c>
      <c r="H833" s="4" t="s">
        <v>851</v>
      </c>
    </row>
    <row r="834" spans="1:8">
      <c r="A834" s="3" t="s">
        <v>1191</v>
      </c>
      <c r="B834" s="4" t="s">
        <v>1501</v>
      </c>
      <c r="C834" s="4" t="s">
        <v>1502</v>
      </c>
      <c r="D834" s="4" t="s">
        <v>1747</v>
      </c>
      <c r="E834" s="4">
        <v>51</v>
      </c>
      <c r="F834" s="4">
        <v>3</v>
      </c>
      <c r="G834" s="4" t="s">
        <v>11</v>
      </c>
      <c r="H834" s="4" t="s">
        <v>851</v>
      </c>
    </row>
    <row r="835" spans="1:8">
      <c r="A835" s="3" t="s">
        <v>1191</v>
      </c>
      <c r="B835" s="4" t="s">
        <v>1192</v>
      </c>
      <c r="C835" s="4" t="s">
        <v>1193</v>
      </c>
      <c r="D835" s="4" t="s">
        <v>1747</v>
      </c>
      <c r="E835" s="4">
        <v>52</v>
      </c>
      <c r="F835" s="4">
        <v>3</v>
      </c>
      <c r="G835" s="4" t="s">
        <v>11</v>
      </c>
      <c r="H835" s="4" t="s">
        <v>851</v>
      </c>
    </row>
    <row r="836" spans="1:8">
      <c r="A836" s="3" t="s">
        <v>1191</v>
      </c>
      <c r="B836" s="4" t="s">
        <v>1325</v>
      </c>
      <c r="C836" s="4" t="s">
        <v>1326</v>
      </c>
      <c r="D836" s="4" t="s">
        <v>1747</v>
      </c>
      <c r="E836" s="4">
        <v>51</v>
      </c>
      <c r="F836" s="4">
        <v>3</v>
      </c>
      <c r="G836" s="4" t="s">
        <v>11</v>
      </c>
      <c r="H836" s="4" t="s">
        <v>851</v>
      </c>
    </row>
    <row r="837" spans="1:8">
      <c r="A837" s="3" t="s">
        <v>1191</v>
      </c>
      <c r="B837" s="4" t="s">
        <v>1194</v>
      </c>
      <c r="C837" s="4" t="s">
        <v>1195</v>
      </c>
      <c r="D837" s="4" t="s">
        <v>1747</v>
      </c>
      <c r="E837" s="4">
        <v>45</v>
      </c>
      <c r="F837" s="4">
        <v>3</v>
      </c>
      <c r="G837" s="4" t="s">
        <v>11</v>
      </c>
      <c r="H837" s="4" t="s">
        <v>851</v>
      </c>
    </row>
    <row r="838" spans="1:8">
      <c r="A838" s="3" t="s">
        <v>1191</v>
      </c>
      <c r="B838" s="4" t="s">
        <v>1327</v>
      </c>
      <c r="C838" s="4" t="s">
        <v>1328</v>
      </c>
      <c r="D838" s="4" t="s">
        <v>1747</v>
      </c>
      <c r="E838" s="4">
        <v>50</v>
      </c>
      <c r="F838" s="4">
        <v>3</v>
      </c>
      <c r="G838" s="4" t="s">
        <v>11</v>
      </c>
      <c r="H838" s="4" t="s">
        <v>851</v>
      </c>
    </row>
    <row r="839" spans="1:8">
      <c r="A839" s="3" t="s">
        <v>1191</v>
      </c>
      <c r="B839" s="4" t="s">
        <v>1198</v>
      </c>
      <c r="C839" s="4" t="s">
        <v>1199</v>
      </c>
      <c r="D839" s="4" t="s">
        <v>1747</v>
      </c>
      <c r="E839" s="4">
        <v>50</v>
      </c>
      <c r="F839" s="4">
        <v>3</v>
      </c>
      <c r="G839" s="4" t="s">
        <v>11</v>
      </c>
      <c r="H839" s="4" t="s">
        <v>851</v>
      </c>
    </row>
    <row r="840" spans="1:8">
      <c r="A840" s="3" t="s">
        <v>1102</v>
      </c>
      <c r="B840" s="4" t="s">
        <v>1107</v>
      </c>
      <c r="C840" s="4" t="s">
        <v>1108</v>
      </c>
      <c r="D840" s="4" t="s">
        <v>1747</v>
      </c>
      <c r="E840" s="4">
        <v>45</v>
      </c>
      <c r="F840" s="4">
        <v>3</v>
      </c>
      <c r="G840" s="4" t="s">
        <v>11</v>
      </c>
      <c r="H840" s="4" t="s">
        <v>851</v>
      </c>
    </row>
    <row r="841" spans="1:8">
      <c r="A841" s="3" t="s">
        <v>1102</v>
      </c>
      <c r="B841" s="4" t="s">
        <v>1109</v>
      </c>
      <c r="C841" s="4" t="s">
        <v>1110</v>
      </c>
      <c r="D841" s="4" t="s">
        <v>1747</v>
      </c>
      <c r="E841" s="4">
        <v>46</v>
      </c>
      <c r="F841" s="4">
        <v>3</v>
      </c>
      <c r="G841" s="4" t="s">
        <v>11</v>
      </c>
      <c r="H841" s="4" t="s">
        <v>851</v>
      </c>
    </row>
    <row r="842" spans="1:8">
      <c r="A842" s="3" t="s">
        <v>1102</v>
      </c>
      <c r="B842" s="4" t="s">
        <v>1111</v>
      </c>
      <c r="C842" s="4" t="s">
        <v>1112</v>
      </c>
      <c r="D842" s="4" t="s">
        <v>1747</v>
      </c>
      <c r="E842" s="4">
        <v>50</v>
      </c>
      <c r="F842" s="4">
        <v>3</v>
      </c>
      <c r="G842" s="4" t="s">
        <v>11</v>
      </c>
      <c r="H842" s="4" t="s">
        <v>851</v>
      </c>
    </row>
    <row r="843" spans="1:8">
      <c r="A843" s="3" t="s">
        <v>1102</v>
      </c>
      <c r="B843" s="4" t="s">
        <v>1638</v>
      </c>
      <c r="C843" s="4" t="s">
        <v>1639</v>
      </c>
      <c r="D843" s="4" t="s">
        <v>1747</v>
      </c>
      <c r="E843" s="4">
        <v>41</v>
      </c>
      <c r="F843" s="4">
        <v>3</v>
      </c>
      <c r="G843" s="4" t="s">
        <v>11</v>
      </c>
      <c r="H843" s="4" t="s">
        <v>851</v>
      </c>
    </row>
    <row r="844" spans="1:8">
      <c r="A844" s="3" t="s">
        <v>1102</v>
      </c>
      <c r="B844" s="4" t="s">
        <v>1115</v>
      </c>
      <c r="C844" s="4" t="s">
        <v>1116</v>
      </c>
      <c r="D844" s="4" t="s">
        <v>1747</v>
      </c>
      <c r="E844" s="4">
        <v>44</v>
      </c>
      <c r="F844" s="4">
        <v>3</v>
      </c>
      <c r="G844" s="4" t="s">
        <v>11</v>
      </c>
      <c r="H844" s="4" t="s">
        <v>851</v>
      </c>
    </row>
    <row r="845" spans="1:8">
      <c r="A845" s="3" t="s">
        <v>1102</v>
      </c>
      <c r="B845" s="4" t="s">
        <v>1117</v>
      </c>
      <c r="C845" s="4" t="s">
        <v>1118</v>
      </c>
      <c r="D845" s="4" t="s">
        <v>1747</v>
      </c>
      <c r="E845" s="4">
        <v>45</v>
      </c>
      <c r="F845" s="4">
        <v>3</v>
      </c>
      <c r="G845" s="4" t="s">
        <v>11</v>
      </c>
      <c r="H845" s="4" t="s">
        <v>851</v>
      </c>
    </row>
    <row r="846" spans="1:8">
      <c r="A846" s="3" t="s">
        <v>1102</v>
      </c>
      <c r="B846" s="4" t="s">
        <v>1119</v>
      </c>
      <c r="C846" s="4" t="s">
        <v>1120</v>
      </c>
      <c r="D846" s="4" t="s">
        <v>1747</v>
      </c>
      <c r="E846" s="4">
        <v>42</v>
      </c>
      <c r="F846" s="4">
        <v>3</v>
      </c>
      <c r="G846" s="4" t="s">
        <v>11</v>
      </c>
      <c r="H846" s="4" t="s">
        <v>851</v>
      </c>
    </row>
    <row r="847" spans="1:8">
      <c r="A847" s="3" t="s">
        <v>1102</v>
      </c>
      <c r="B847" s="4" t="s">
        <v>1121</v>
      </c>
      <c r="C847" s="4" t="s">
        <v>1122</v>
      </c>
      <c r="D847" s="4" t="s">
        <v>1747</v>
      </c>
      <c r="E847" s="4">
        <v>54</v>
      </c>
      <c r="F847" s="4">
        <v>3</v>
      </c>
      <c r="G847" s="4" t="s">
        <v>11</v>
      </c>
      <c r="H847" s="4" t="s">
        <v>851</v>
      </c>
    </row>
    <row r="848" spans="1:8">
      <c r="A848" s="3" t="s">
        <v>1102</v>
      </c>
      <c r="B848" s="4" t="s">
        <v>1133</v>
      </c>
      <c r="C848" s="4" t="s">
        <v>1134</v>
      </c>
      <c r="D848" s="4" t="s">
        <v>1747</v>
      </c>
      <c r="E848" s="4">
        <v>55</v>
      </c>
      <c r="F848" s="4">
        <v>3</v>
      </c>
      <c r="G848" s="4" t="s">
        <v>11</v>
      </c>
      <c r="H848" s="4" t="s">
        <v>851</v>
      </c>
    </row>
    <row r="849" spans="1:8">
      <c r="A849" s="3" t="s">
        <v>1083</v>
      </c>
      <c r="B849" s="4" t="s">
        <v>1735</v>
      </c>
      <c r="C849" s="4" t="s">
        <v>1736</v>
      </c>
      <c r="D849" s="4" t="s">
        <v>1737</v>
      </c>
      <c r="E849" s="4">
        <v>58</v>
      </c>
      <c r="F849" s="4">
        <v>3</v>
      </c>
      <c r="G849" s="4" t="s">
        <v>11</v>
      </c>
      <c r="H849" s="4" t="s">
        <v>851</v>
      </c>
    </row>
    <row r="850" spans="1:8">
      <c r="A850" s="3" t="s">
        <v>1083</v>
      </c>
      <c r="B850" s="4" t="s">
        <v>1738</v>
      </c>
      <c r="C850" s="4" t="s">
        <v>1739</v>
      </c>
      <c r="D850" s="4" t="s">
        <v>1737</v>
      </c>
      <c r="E850" s="4">
        <v>58</v>
      </c>
      <c r="F850" s="4">
        <v>3</v>
      </c>
      <c r="G850" s="4" t="s">
        <v>11</v>
      </c>
      <c r="H850" s="4" t="s">
        <v>851</v>
      </c>
    </row>
    <row r="851" spans="1:8">
      <c r="A851" s="3" t="s">
        <v>1083</v>
      </c>
      <c r="B851" s="4" t="s">
        <v>1399</v>
      </c>
      <c r="C851" s="4" t="s">
        <v>954</v>
      </c>
      <c r="D851" s="4" t="s">
        <v>1737</v>
      </c>
      <c r="E851" s="4">
        <v>48</v>
      </c>
      <c r="F851" s="4">
        <v>3</v>
      </c>
      <c r="G851" s="4" t="s">
        <v>11</v>
      </c>
      <c r="H851" s="4" t="s">
        <v>851</v>
      </c>
    </row>
    <row r="852" spans="1:8">
      <c r="A852" s="3" t="s">
        <v>1083</v>
      </c>
      <c r="B852" s="4" t="s">
        <v>1740</v>
      </c>
      <c r="C852" s="4" t="s">
        <v>1741</v>
      </c>
      <c r="D852" s="4" t="s">
        <v>1737</v>
      </c>
      <c r="E852" s="4">
        <v>49</v>
      </c>
      <c r="F852" s="4">
        <v>3</v>
      </c>
      <c r="G852" s="4" t="s">
        <v>11</v>
      </c>
      <c r="H852" s="4" t="s">
        <v>851</v>
      </c>
    </row>
    <row r="853" spans="1:8">
      <c r="A853" s="3" t="s">
        <v>1083</v>
      </c>
      <c r="B853" s="4" t="s">
        <v>1742</v>
      </c>
      <c r="C853" s="4" t="s">
        <v>1743</v>
      </c>
      <c r="D853" s="4" t="s">
        <v>1737</v>
      </c>
      <c r="E853" s="4">
        <v>53</v>
      </c>
      <c r="F853" s="4">
        <v>3</v>
      </c>
      <c r="G853" s="4" t="s">
        <v>11</v>
      </c>
      <c r="H853" s="4" t="s">
        <v>851</v>
      </c>
    </row>
    <row r="854" spans="1:8">
      <c r="A854" s="3" t="s">
        <v>1083</v>
      </c>
      <c r="B854" s="4" t="s">
        <v>1402</v>
      </c>
      <c r="C854" s="4" t="s">
        <v>1403</v>
      </c>
      <c r="D854" s="4" t="s">
        <v>1737</v>
      </c>
      <c r="E854" s="4">
        <v>46</v>
      </c>
      <c r="F854" s="4">
        <v>3</v>
      </c>
      <c r="G854" s="4" t="s">
        <v>11</v>
      </c>
      <c r="H854" s="4" t="s">
        <v>851</v>
      </c>
    </row>
    <row r="855" spans="1:8">
      <c r="A855" s="3" t="s">
        <v>1135</v>
      </c>
      <c r="B855" s="4" t="s">
        <v>1140</v>
      </c>
      <c r="C855" s="4" t="s">
        <v>1141</v>
      </c>
      <c r="D855" s="4" t="s">
        <v>1617</v>
      </c>
      <c r="E855" s="4">
        <v>58</v>
      </c>
      <c r="F855" s="4">
        <v>2</v>
      </c>
      <c r="G855" s="4" t="s">
        <v>11</v>
      </c>
      <c r="H855" s="4" t="s">
        <v>851</v>
      </c>
    </row>
    <row r="856" spans="1:8">
      <c r="A856" s="3" t="s">
        <v>1428</v>
      </c>
      <c r="B856" s="4" t="s">
        <v>1618</v>
      </c>
      <c r="C856" s="4" t="s">
        <v>1619</v>
      </c>
      <c r="D856" s="4" t="s">
        <v>1617</v>
      </c>
      <c r="E856" s="4">
        <v>58</v>
      </c>
      <c r="F856" s="4">
        <v>2</v>
      </c>
      <c r="G856" s="4" t="s">
        <v>11</v>
      </c>
      <c r="H856" s="4" t="s">
        <v>851</v>
      </c>
    </row>
    <row r="857" spans="1:8">
      <c r="A857" s="3" t="s">
        <v>1059</v>
      </c>
      <c r="B857" s="4" t="s">
        <v>1607</v>
      </c>
      <c r="C857" s="4" t="s">
        <v>1608</v>
      </c>
      <c r="D857" s="4" t="s">
        <v>1617</v>
      </c>
      <c r="E857" s="4">
        <v>54</v>
      </c>
      <c r="F857" s="4">
        <v>3</v>
      </c>
      <c r="G857" s="4" t="s">
        <v>11</v>
      </c>
      <c r="H857" s="4" t="s">
        <v>851</v>
      </c>
    </row>
    <row r="858" spans="1:8">
      <c r="A858" s="3" t="s">
        <v>1059</v>
      </c>
      <c r="B858" s="4" t="s">
        <v>1620</v>
      </c>
      <c r="C858" s="4" t="s">
        <v>1621</v>
      </c>
      <c r="D858" s="4" t="s">
        <v>1617</v>
      </c>
      <c r="E858" s="4">
        <v>55</v>
      </c>
      <c r="F858" s="4">
        <v>3</v>
      </c>
      <c r="G858" s="4" t="s">
        <v>11</v>
      </c>
      <c r="H858" s="4" t="s">
        <v>851</v>
      </c>
    </row>
    <row r="859" spans="1:8">
      <c r="A859" s="3" t="s">
        <v>1059</v>
      </c>
      <c r="B859" s="4" t="s">
        <v>1622</v>
      </c>
      <c r="C859" s="4" t="s">
        <v>1623</v>
      </c>
      <c r="D859" s="4" t="s">
        <v>1617</v>
      </c>
      <c r="E859" s="4">
        <v>55</v>
      </c>
      <c r="F859" s="4">
        <v>3</v>
      </c>
      <c r="G859" s="4" t="s">
        <v>11</v>
      </c>
      <c r="H859" s="4" t="s">
        <v>851</v>
      </c>
    </row>
    <row r="860" spans="1:8">
      <c r="A860" s="3" t="s">
        <v>1613</v>
      </c>
      <c r="B860" s="4" t="s">
        <v>1828</v>
      </c>
      <c r="C860" s="4" t="s">
        <v>1829</v>
      </c>
      <c r="D860" s="4" t="s">
        <v>1831</v>
      </c>
      <c r="E860" s="4">
        <v>59</v>
      </c>
      <c r="F860" s="4">
        <v>3</v>
      </c>
      <c r="G860" s="4" t="s">
        <v>11</v>
      </c>
      <c r="H860" s="4" t="s">
        <v>851</v>
      </c>
    </row>
    <row r="861" spans="1:8">
      <c r="A861" s="3" t="s">
        <v>1613</v>
      </c>
      <c r="B861" s="4" t="s">
        <v>1826</v>
      </c>
      <c r="C861" s="4" t="s">
        <v>1827</v>
      </c>
      <c r="D861" s="4" t="s">
        <v>1831</v>
      </c>
      <c r="E861" s="4">
        <v>53</v>
      </c>
      <c r="F861" s="4">
        <v>3</v>
      </c>
      <c r="G861" s="4" t="s">
        <v>11</v>
      </c>
      <c r="H861" s="4" t="s">
        <v>851</v>
      </c>
    </row>
    <row r="862" spans="1:8">
      <c r="A862" s="3" t="s">
        <v>1009</v>
      </c>
      <c r="B862" s="4" t="s">
        <v>1012</v>
      </c>
      <c r="C862" s="4" t="s">
        <v>1013</v>
      </c>
      <c r="D862" s="4" t="s">
        <v>1791</v>
      </c>
      <c r="E862" s="4">
        <v>55</v>
      </c>
      <c r="F862" s="4">
        <v>2</v>
      </c>
      <c r="G862" s="4" t="s">
        <v>583</v>
      </c>
      <c r="H862" s="4" t="s">
        <v>851</v>
      </c>
    </row>
    <row r="863" spans="1:8">
      <c r="A863" s="3" t="s">
        <v>1009</v>
      </c>
      <c r="B863" s="4" t="s">
        <v>1018</v>
      </c>
      <c r="C863" s="4" t="s">
        <v>1019</v>
      </c>
      <c r="D863" s="4" t="s">
        <v>1791</v>
      </c>
      <c r="E863" s="4">
        <v>54</v>
      </c>
      <c r="F863" s="4">
        <v>2</v>
      </c>
      <c r="G863" s="4" t="s">
        <v>583</v>
      </c>
      <c r="H863" s="4" t="s">
        <v>851</v>
      </c>
    </row>
    <row r="864" spans="1:8">
      <c r="A864" s="3" t="s">
        <v>1059</v>
      </c>
      <c r="B864" s="4" t="s">
        <v>1792</v>
      </c>
      <c r="C864" s="4" t="s">
        <v>1793</v>
      </c>
      <c r="D864" s="4" t="s">
        <v>1791</v>
      </c>
      <c r="E864" s="4">
        <v>52</v>
      </c>
      <c r="F864" s="4">
        <v>2</v>
      </c>
      <c r="G864" s="4" t="s">
        <v>583</v>
      </c>
      <c r="H864" s="4" t="s">
        <v>851</v>
      </c>
    </row>
    <row r="865" spans="1:8">
      <c r="A865" s="3" t="s">
        <v>1059</v>
      </c>
      <c r="B865" s="4" t="s">
        <v>1060</v>
      </c>
      <c r="C865" s="4" t="s">
        <v>1061</v>
      </c>
      <c r="D865" s="4" t="s">
        <v>1791</v>
      </c>
      <c r="E865" s="4">
        <v>44</v>
      </c>
      <c r="F865" s="4">
        <v>2</v>
      </c>
      <c r="G865" s="4" t="s">
        <v>583</v>
      </c>
      <c r="H865" s="4" t="s">
        <v>851</v>
      </c>
    </row>
    <row r="866" spans="1:8">
      <c r="A866" s="3" t="s">
        <v>1059</v>
      </c>
      <c r="B866" s="4" t="s">
        <v>1794</v>
      </c>
      <c r="C866" s="4" t="s">
        <v>1795</v>
      </c>
      <c r="D866" s="4" t="s">
        <v>1791</v>
      </c>
      <c r="E866" s="4">
        <v>47</v>
      </c>
      <c r="F866" s="4">
        <v>2</v>
      </c>
      <c r="G866" s="4" t="s">
        <v>583</v>
      </c>
      <c r="H866" s="4" t="s">
        <v>851</v>
      </c>
    </row>
    <row r="867" spans="1:8">
      <c r="A867" s="3" t="s">
        <v>1613</v>
      </c>
      <c r="B867" s="4" t="s">
        <v>1826</v>
      </c>
      <c r="C867" s="4" t="s">
        <v>1827</v>
      </c>
      <c r="D867" s="4" t="s">
        <v>1836</v>
      </c>
      <c r="E867" s="4">
        <v>43</v>
      </c>
      <c r="F867" s="4">
        <v>3</v>
      </c>
      <c r="G867" s="4" t="s">
        <v>11</v>
      </c>
      <c r="H867" s="4" t="s">
        <v>851</v>
      </c>
    </row>
    <row r="868" spans="1:8">
      <c r="A868" s="3" t="s">
        <v>1083</v>
      </c>
      <c r="B868" s="4" t="s">
        <v>1086</v>
      </c>
      <c r="C868" s="4" t="s">
        <v>1087</v>
      </c>
      <c r="D868" s="4" t="s">
        <v>1744</v>
      </c>
      <c r="E868" s="4">
        <v>56</v>
      </c>
      <c r="F868" s="4">
        <v>3</v>
      </c>
      <c r="G868" s="4" t="s">
        <v>11</v>
      </c>
      <c r="H868" s="4" t="s">
        <v>851</v>
      </c>
    </row>
    <row r="869" spans="1:8">
      <c r="A869" s="3" t="s">
        <v>1083</v>
      </c>
      <c r="B869" s="4" t="s">
        <v>1092</v>
      </c>
      <c r="C869" s="4" t="s">
        <v>1093</v>
      </c>
      <c r="D869" s="4" t="s">
        <v>1744</v>
      </c>
      <c r="E869" s="4">
        <v>56</v>
      </c>
      <c r="F869" s="4">
        <v>3</v>
      </c>
      <c r="G869" s="4" t="s">
        <v>11</v>
      </c>
      <c r="H869" s="4" t="s">
        <v>851</v>
      </c>
    </row>
    <row r="870" spans="1:8">
      <c r="A870" s="3" t="s">
        <v>1083</v>
      </c>
      <c r="B870" s="4" t="s">
        <v>1745</v>
      </c>
      <c r="C870" s="4" t="s">
        <v>1746</v>
      </c>
      <c r="D870" s="4" t="s">
        <v>1744</v>
      </c>
      <c r="E870" s="4">
        <v>49</v>
      </c>
      <c r="F870" s="4">
        <v>3</v>
      </c>
      <c r="G870" s="4" t="s">
        <v>11</v>
      </c>
      <c r="H870" s="4" t="s">
        <v>851</v>
      </c>
    </row>
    <row r="871" spans="1:8">
      <c r="A871" s="3" t="s">
        <v>1059</v>
      </c>
      <c r="B871" s="4" t="s">
        <v>1784</v>
      </c>
      <c r="C871" s="4" t="s">
        <v>1785</v>
      </c>
      <c r="D871" s="4" t="s">
        <v>1786</v>
      </c>
      <c r="E871" s="4">
        <v>58</v>
      </c>
      <c r="F871" s="4">
        <v>2</v>
      </c>
      <c r="G871" s="4" t="s">
        <v>11</v>
      </c>
      <c r="H871" s="4" t="s">
        <v>851</v>
      </c>
    </row>
    <row r="872" spans="1:8">
      <c r="A872" s="3" t="s">
        <v>1059</v>
      </c>
      <c r="B872" s="4" t="s">
        <v>1787</v>
      </c>
      <c r="C872" s="4" t="s">
        <v>1788</v>
      </c>
      <c r="D872" s="4" t="s">
        <v>1786</v>
      </c>
      <c r="E872" s="4">
        <v>59</v>
      </c>
      <c r="F872" s="4">
        <v>2</v>
      </c>
      <c r="G872" s="4" t="s">
        <v>11</v>
      </c>
      <c r="H872" s="4" t="s">
        <v>851</v>
      </c>
    </row>
    <row r="873" spans="1:8">
      <c r="A873" s="3" t="s">
        <v>1059</v>
      </c>
      <c r="B873" s="4" t="s">
        <v>1495</v>
      </c>
      <c r="C873" s="4" t="s">
        <v>1496</v>
      </c>
      <c r="D873" s="4" t="s">
        <v>1786</v>
      </c>
      <c r="E873" s="4">
        <v>59</v>
      </c>
      <c r="F873" s="4">
        <v>2</v>
      </c>
      <c r="G873" s="4" t="s">
        <v>11</v>
      </c>
      <c r="H873" s="4" t="s">
        <v>851</v>
      </c>
    </row>
    <row r="874" spans="1:8">
      <c r="A874" s="3" t="s">
        <v>1059</v>
      </c>
      <c r="B874" s="4" t="s">
        <v>1789</v>
      </c>
      <c r="C874" s="4" t="s">
        <v>1790</v>
      </c>
      <c r="D874" s="4" t="s">
        <v>1786</v>
      </c>
      <c r="E874" s="4">
        <v>56</v>
      </c>
      <c r="F874" s="4">
        <v>2</v>
      </c>
      <c r="G874" s="4" t="s">
        <v>11</v>
      </c>
      <c r="H874" s="4" t="s">
        <v>851</v>
      </c>
    </row>
    <row r="875" spans="1:8">
      <c r="A875" s="3" t="s">
        <v>1009</v>
      </c>
      <c r="B875" s="4" t="s">
        <v>1010</v>
      </c>
      <c r="C875" s="4" t="s">
        <v>1011</v>
      </c>
      <c r="D875" s="4" t="s">
        <v>1796</v>
      </c>
      <c r="E875" s="4">
        <v>58</v>
      </c>
      <c r="F875" s="4">
        <v>2</v>
      </c>
      <c r="G875" s="4" t="s">
        <v>11</v>
      </c>
      <c r="H875" s="4" t="s">
        <v>851</v>
      </c>
    </row>
    <row r="876" spans="1:8">
      <c r="A876" s="3" t="s">
        <v>1009</v>
      </c>
      <c r="B876" s="4" t="s">
        <v>1797</v>
      </c>
      <c r="C876" s="4" t="s">
        <v>1798</v>
      </c>
      <c r="D876" s="4" t="s">
        <v>1796</v>
      </c>
      <c r="E876" s="4">
        <v>40</v>
      </c>
      <c r="F876" s="4">
        <v>2</v>
      </c>
      <c r="G876" s="4" t="s">
        <v>11</v>
      </c>
      <c r="H876" s="4" t="s">
        <v>851</v>
      </c>
    </row>
    <row r="877" spans="1:8">
      <c r="A877" s="3" t="s">
        <v>1009</v>
      </c>
      <c r="B877" s="4" t="s">
        <v>1016</v>
      </c>
      <c r="C877" s="4" t="s">
        <v>1017</v>
      </c>
      <c r="D877" s="4" t="s">
        <v>1796</v>
      </c>
      <c r="E877" s="4">
        <v>50</v>
      </c>
      <c r="F877" s="4">
        <v>2</v>
      </c>
      <c r="G877" s="4" t="s">
        <v>11</v>
      </c>
      <c r="H877" s="4" t="s">
        <v>851</v>
      </c>
    </row>
    <row r="878" spans="1:8">
      <c r="A878" s="3" t="s">
        <v>1059</v>
      </c>
      <c r="B878" s="4" t="s">
        <v>1487</v>
      </c>
      <c r="C878" s="4" t="s">
        <v>1488</v>
      </c>
      <c r="D878" s="4" t="s">
        <v>1796</v>
      </c>
      <c r="E878" s="4">
        <v>47</v>
      </c>
      <c r="F878" s="4">
        <v>2</v>
      </c>
      <c r="G878" s="4" t="s">
        <v>11</v>
      </c>
      <c r="H878" s="4" t="s">
        <v>851</v>
      </c>
    </row>
    <row r="879" spans="1:8">
      <c r="A879" s="3" t="s">
        <v>1059</v>
      </c>
      <c r="B879" s="4" t="s">
        <v>1799</v>
      </c>
      <c r="C879" s="4" t="s">
        <v>961</v>
      </c>
      <c r="D879" s="4" t="s">
        <v>1796</v>
      </c>
      <c r="E879" s="4">
        <v>50</v>
      </c>
      <c r="F879" s="4">
        <v>2</v>
      </c>
      <c r="G879" s="4" t="s">
        <v>11</v>
      </c>
      <c r="H879" s="4" t="s">
        <v>851</v>
      </c>
    </row>
    <row r="880" spans="1:8">
      <c r="A880" s="3" t="s">
        <v>1059</v>
      </c>
      <c r="B880" s="4" t="s">
        <v>1800</v>
      </c>
      <c r="C880" s="4" t="s">
        <v>1801</v>
      </c>
      <c r="D880" s="4" t="s">
        <v>1796</v>
      </c>
      <c r="E880" s="4">
        <v>49</v>
      </c>
      <c r="F880" s="4">
        <v>2</v>
      </c>
      <c r="G880" s="4" t="s">
        <v>11</v>
      </c>
      <c r="H880" s="4" t="s">
        <v>851</v>
      </c>
    </row>
    <row r="881" spans="1:8">
      <c r="A881" s="3" t="s">
        <v>1059</v>
      </c>
      <c r="B881" s="4" t="s">
        <v>1802</v>
      </c>
      <c r="C881" s="4" t="s">
        <v>1803</v>
      </c>
      <c r="D881" s="4" t="s">
        <v>1796</v>
      </c>
      <c r="E881" s="4">
        <v>46</v>
      </c>
      <c r="F881" s="4">
        <v>2</v>
      </c>
      <c r="G881" s="4" t="s">
        <v>11</v>
      </c>
      <c r="H881" s="4" t="s">
        <v>851</v>
      </c>
    </row>
    <row r="882" spans="1:8">
      <c r="A882" s="3" t="s">
        <v>1009</v>
      </c>
      <c r="B882" s="4" t="s">
        <v>1016</v>
      </c>
      <c r="C882" s="4" t="s">
        <v>1017</v>
      </c>
      <c r="D882" s="4" t="s">
        <v>1780</v>
      </c>
      <c r="E882" s="4">
        <v>43</v>
      </c>
      <c r="F882" s="4">
        <v>2</v>
      </c>
      <c r="G882" s="4" t="s">
        <v>583</v>
      </c>
      <c r="H882" s="4" t="s">
        <v>851</v>
      </c>
    </row>
    <row r="883" spans="1:8">
      <c r="A883" s="3" t="s">
        <v>1059</v>
      </c>
      <c r="B883" s="4" t="s">
        <v>1781</v>
      </c>
      <c r="C883" s="4" t="s">
        <v>1782</v>
      </c>
      <c r="D883" s="4" t="s">
        <v>1780</v>
      </c>
      <c r="E883" s="4">
        <v>53</v>
      </c>
      <c r="F883" s="4">
        <v>2</v>
      </c>
      <c r="G883" s="4" t="s">
        <v>583</v>
      </c>
      <c r="H883" s="4" t="s">
        <v>851</v>
      </c>
    </row>
    <row r="884" spans="1:8">
      <c r="A884" s="3" t="s">
        <v>1009</v>
      </c>
      <c r="B884" s="4" t="s">
        <v>1010</v>
      </c>
      <c r="C884" s="4" t="s">
        <v>1011</v>
      </c>
      <c r="D884" s="4" t="s">
        <v>1815</v>
      </c>
      <c r="E884" s="4">
        <v>50</v>
      </c>
      <c r="F884" s="4">
        <v>2</v>
      </c>
      <c r="G884" s="4" t="s">
        <v>11</v>
      </c>
      <c r="H884" s="4" t="s">
        <v>851</v>
      </c>
    </row>
    <row r="885" spans="1:8">
      <c r="A885" s="3" t="s">
        <v>1009</v>
      </c>
      <c r="B885" s="4" t="s">
        <v>1016</v>
      </c>
      <c r="C885" s="4" t="s">
        <v>1017</v>
      </c>
      <c r="D885" s="4" t="s">
        <v>1815</v>
      </c>
      <c r="E885" s="4">
        <v>51</v>
      </c>
      <c r="F885" s="4">
        <v>2</v>
      </c>
      <c r="G885" s="4" t="s">
        <v>11</v>
      </c>
      <c r="H885" s="4" t="s">
        <v>851</v>
      </c>
    </row>
    <row r="886" spans="1:8">
      <c r="A886" s="3" t="s">
        <v>1059</v>
      </c>
      <c r="B886" s="4" t="s">
        <v>1816</v>
      </c>
      <c r="C886" s="4" t="s">
        <v>1817</v>
      </c>
      <c r="D886" s="4" t="s">
        <v>1815</v>
      </c>
      <c r="E886" s="4">
        <v>49</v>
      </c>
      <c r="F886" s="4">
        <v>2</v>
      </c>
      <c r="G886" s="4" t="s">
        <v>11</v>
      </c>
      <c r="H886" s="4" t="s">
        <v>851</v>
      </c>
    </row>
  </sheetData>
  <sortState xmlns:xlrd2="http://schemas.microsoft.com/office/spreadsheetml/2017/richdata2" ref="A2:H889">
    <sortCondition descending="1" ref="H2:H889"/>
    <sortCondition descending="1" ref="D2:D889"/>
    <sortCondition ref="B2:B889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7927-D330-4271-B891-66FDA3FA360C}">
  <dimension ref="A1:H605"/>
  <sheetViews>
    <sheetView workbookViewId="0">
      <selection activeCell="D621" sqref="D621"/>
    </sheetView>
  </sheetViews>
  <sheetFormatPr defaultRowHeight="12.5"/>
  <cols>
    <col min="1" max="1" width="11.453125" style="3" customWidth="1"/>
    <col min="2" max="2" width="10.36328125" style="4" customWidth="1"/>
    <col min="3" max="3" width="8.90625" style="4"/>
    <col min="4" max="4" width="25.6328125" style="4" bestFit="1" customWidth="1"/>
    <col min="5" max="256" width="8.90625" style="4"/>
    <col min="257" max="257" width="11.453125" style="4" customWidth="1"/>
    <col min="258" max="258" width="10.36328125" style="4" customWidth="1"/>
    <col min="259" max="512" width="8.90625" style="4"/>
    <col min="513" max="513" width="11.453125" style="4" customWidth="1"/>
    <col min="514" max="514" width="10.36328125" style="4" customWidth="1"/>
    <col min="515" max="768" width="8.90625" style="4"/>
    <col min="769" max="769" width="11.453125" style="4" customWidth="1"/>
    <col min="770" max="770" width="10.36328125" style="4" customWidth="1"/>
    <col min="771" max="1024" width="8.90625" style="4"/>
    <col min="1025" max="1025" width="11.453125" style="4" customWidth="1"/>
    <col min="1026" max="1026" width="10.36328125" style="4" customWidth="1"/>
    <col min="1027" max="1280" width="8.90625" style="4"/>
    <col min="1281" max="1281" width="11.453125" style="4" customWidth="1"/>
    <col min="1282" max="1282" width="10.36328125" style="4" customWidth="1"/>
    <col min="1283" max="1536" width="8.90625" style="4"/>
    <col min="1537" max="1537" width="11.453125" style="4" customWidth="1"/>
    <col min="1538" max="1538" width="10.36328125" style="4" customWidth="1"/>
    <col min="1539" max="1792" width="8.90625" style="4"/>
    <col min="1793" max="1793" width="11.453125" style="4" customWidth="1"/>
    <col min="1794" max="1794" width="10.36328125" style="4" customWidth="1"/>
    <col min="1795" max="2048" width="8.90625" style="4"/>
    <col min="2049" max="2049" width="11.453125" style="4" customWidth="1"/>
    <col min="2050" max="2050" width="10.36328125" style="4" customWidth="1"/>
    <col min="2051" max="2304" width="8.90625" style="4"/>
    <col min="2305" max="2305" width="11.453125" style="4" customWidth="1"/>
    <col min="2306" max="2306" width="10.36328125" style="4" customWidth="1"/>
    <col min="2307" max="2560" width="8.90625" style="4"/>
    <col min="2561" max="2561" width="11.453125" style="4" customWidth="1"/>
    <col min="2562" max="2562" width="10.36328125" style="4" customWidth="1"/>
    <col min="2563" max="2816" width="8.90625" style="4"/>
    <col min="2817" max="2817" width="11.453125" style="4" customWidth="1"/>
    <col min="2818" max="2818" width="10.36328125" style="4" customWidth="1"/>
    <col min="2819" max="3072" width="8.90625" style="4"/>
    <col min="3073" max="3073" width="11.453125" style="4" customWidth="1"/>
    <col min="3074" max="3074" width="10.36328125" style="4" customWidth="1"/>
    <col min="3075" max="3328" width="8.90625" style="4"/>
    <col min="3329" max="3329" width="11.453125" style="4" customWidth="1"/>
    <col min="3330" max="3330" width="10.36328125" style="4" customWidth="1"/>
    <col min="3331" max="3584" width="8.90625" style="4"/>
    <col min="3585" max="3585" width="11.453125" style="4" customWidth="1"/>
    <col min="3586" max="3586" width="10.36328125" style="4" customWidth="1"/>
    <col min="3587" max="3840" width="8.90625" style="4"/>
    <col min="3841" max="3841" width="11.453125" style="4" customWidth="1"/>
    <col min="3842" max="3842" width="10.36328125" style="4" customWidth="1"/>
    <col min="3843" max="4096" width="8.90625" style="4"/>
    <col min="4097" max="4097" width="11.453125" style="4" customWidth="1"/>
    <col min="4098" max="4098" width="10.36328125" style="4" customWidth="1"/>
    <col min="4099" max="4352" width="8.90625" style="4"/>
    <col min="4353" max="4353" width="11.453125" style="4" customWidth="1"/>
    <col min="4354" max="4354" width="10.36328125" style="4" customWidth="1"/>
    <col min="4355" max="4608" width="8.90625" style="4"/>
    <col min="4609" max="4609" width="11.453125" style="4" customWidth="1"/>
    <col min="4610" max="4610" width="10.36328125" style="4" customWidth="1"/>
    <col min="4611" max="4864" width="8.90625" style="4"/>
    <col min="4865" max="4865" width="11.453125" style="4" customWidth="1"/>
    <col min="4866" max="4866" width="10.36328125" style="4" customWidth="1"/>
    <col min="4867" max="5120" width="8.90625" style="4"/>
    <col min="5121" max="5121" width="11.453125" style="4" customWidth="1"/>
    <col min="5122" max="5122" width="10.36328125" style="4" customWidth="1"/>
    <col min="5123" max="5376" width="8.90625" style="4"/>
    <col min="5377" max="5377" width="11.453125" style="4" customWidth="1"/>
    <col min="5378" max="5378" width="10.36328125" style="4" customWidth="1"/>
    <col min="5379" max="5632" width="8.90625" style="4"/>
    <col min="5633" max="5633" width="11.453125" style="4" customWidth="1"/>
    <col min="5634" max="5634" width="10.36328125" style="4" customWidth="1"/>
    <col min="5635" max="5888" width="8.90625" style="4"/>
    <col min="5889" max="5889" width="11.453125" style="4" customWidth="1"/>
    <col min="5890" max="5890" width="10.36328125" style="4" customWidth="1"/>
    <col min="5891" max="6144" width="8.90625" style="4"/>
    <col min="6145" max="6145" width="11.453125" style="4" customWidth="1"/>
    <col min="6146" max="6146" width="10.36328125" style="4" customWidth="1"/>
    <col min="6147" max="6400" width="8.90625" style="4"/>
    <col min="6401" max="6401" width="11.453125" style="4" customWidth="1"/>
    <col min="6402" max="6402" width="10.36328125" style="4" customWidth="1"/>
    <col min="6403" max="6656" width="8.90625" style="4"/>
    <col min="6657" max="6657" width="11.453125" style="4" customWidth="1"/>
    <col min="6658" max="6658" width="10.36328125" style="4" customWidth="1"/>
    <col min="6659" max="6912" width="8.90625" style="4"/>
    <col min="6913" max="6913" width="11.453125" style="4" customWidth="1"/>
    <col min="6914" max="6914" width="10.36328125" style="4" customWidth="1"/>
    <col min="6915" max="7168" width="8.90625" style="4"/>
    <col min="7169" max="7169" width="11.453125" style="4" customWidth="1"/>
    <col min="7170" max="7170" width="10.36328125" style="4" customWidth="1"/>
    <col min="7171" max="7424" width="8.90625" style="4"/>
    <col min="7425" max="7425" width="11.453125" style="4" customWidth="1"/>
    <col min="7426" max="7426" width="10.36328125" style="4" customWidth="1"/>
    <col min="7427" max="7680" width="8.90625" style="4"/>
    <col min="7681" max="7681" width="11.453125" style="4" customWidth="1"/>
    <col min="7682" max="7682" width="10.36328125" style="4" customWidth="1"/>
    <col min="7683" max="7936" width="8.90625" style="4"/>
    <col min="7937" max="7937" width="11.453125" style="4" customWidth="1"/>
    <col min="7938" max="7938" width="10.36328125" style="4" customWidth="1"/>
    <col min="7939" max="8192" width="8.90625" style="4"/>
    <col min="8193" max="8193" width="11.453125" style="4" customWidth="1"/>
    <col min="8194" max="8194" width="10.36328125" style="4" customWidth="1"/>
    <col min="8195" max="8448" width="8.90625" style="4"/>
    <col min="8449" max="8449" width="11.453125" style="4" customWidth="1"/>
    <col min="8450" max="8450" width="10.36328125" style="4" customWidth="1"/>
    <col min="8451" max="8704" width="8.90625" style="4"/>
    <col min="8705" max="8705" width="11.453125" style="4" customWidth="1"/>
    <col min="8706" max="8706" width="10.36328125" style="4" customWidth="1"/>
    <col min="8707" max="8960" width="8.90625" style="4"/>
    <col min="8961" max="8961" width="11.453125" style="4" customWidth="1"/>
    <col min="8962" max="8962" width="10.36328125" style="4" customWidth="1"/>
    <col min="8963" max="9216" width="8.90625" style="4"/>
    <col min="9217" max="9217" width="11.453125" style="4" customWidth="1"/>
    <col min="9218" max="9218" width="10.36328125" style="4" customWidth="1"/>
    <col min="9219" max="9472" width="8.90625" style="4"/>
    <col min="9473" max="9473" width="11.453125" style="4" customWidth="1"/>
    <col min="9474" max="9474" width="10.36328125" style="4" customWidth="1"/>
    <col min="9475" max="9728" width="8.90625" style="4"/>
    <col min="9729" max="9729" width="11.453125" style="4" customWidth="1"/>
    <col min="9730" max="9730" width="10.36328125" style="4" customWidth="1"/>
    <col min="9731" max="9984" width="8.90625" style="4"/>
    <col min="9985" max="9985" width="11.453125" style="4" customWidth="1"/>
    <col min="9986" max="9986" width="10.36328125" style="4" customWidth="1"/>
    <col min="9987" max="10240" width="8.90625" style="4"/>
    <col min="10241" max="10241" width="11.453125" style="4" customWidth="1"/>
    <col min="10242" max="10242" width="10.36328125" style="4" customWidth="1"/>
    <col min="10243" max="10496" width="8.90625" style="4"/>
    <col min="10497" max="10497" width="11.453125" style="4" customWidth="1"/>
    <col min="10498" max="10498" width="10.36328125" style="4" customWidth="1"/>
    <col min="10499" max="10752" width="8.90625" style="4"/>
    <col min="10753" max="10753" width="11.453125" style="4" customWidth="1"/>
    <col min="10754" max="10754" width="10.36328125" style="4" customWidth="1"/>
    <col min="10755" max="11008" width="8.90625" style="4"/>
    <col min="11009" max="11009" width="11.453125" style="4" customWidth="1"/>
    <col min="11010" max="11010" width="10.36328125" style="4" customWidth="1"/>
    <col min="11011" max="11264" width="8.90625" style="4"/>
    <col min="11265" max="11265" width="11.453125" style="4" customWidth="1"/>
    <col min="11266" max="11266" width="10.36328125" style="4" customWidth="1"/>
    <col min="11267" max="11520" width="8.90625" style="4"/>
    <col min="11521" max="11521" width="11.453125" style="4" customWidth="1"/>
    <col min="11522" max="11522" width="10.36328125" style="4" customWidth="1"/>
    <col min="11523" max="11776" width="8.90625" style="4"/>
    <col min="11777" max="11777" width="11.453125" style="4" customWidth="1"/>
    <col min="11778" max="11778" width="10.36328125" style="4" customWidth="1"/>
    <col min="11779" max="12032" width="8.90625" style="4"/>
    <col min="12033" max="12033" width="11.453125" style="4" customWidth="1"/>
    <col min="12034" max="12034" width="10.36328125" style="4" customWidth="1"/>
    <col min="12035" max="12288" width="8.90625" style="4"/>
    <col min="12289" max="12289" width="11.453125" style="4" customWidth="1"/>
    <col min="12290" max="12290" width="10.36328125" style="4" customWidth="1"/>
    <col min="12291" max="12544" width="8.90625" style="4"/>
    <col min="12545" max="12545" width="11.453125" style="4" customWidth="1"/>
    <col min="12546" max="12546" width="10.36328125" style="4" customWidth="1"/>
    <col min="12547" max="12800" width="8.90625" style="4"/>
    <col min="12801" max="12801" width="11.453125" style="4" customWidth="1"/>
    <col min="12802" max="12802" width="10.36328125" style="4" customWidth="1"/>
    <col min="12803" max="13056" width="8.90625" style="4"/>
    <col min="13057" max="13057" width="11.453125" style="4" customWidth="1"/>
    <col min="13058" max="13058" width="10.36328125" style="4" customWidth="1"/>
    <col min="13059" max="13312" width="8.90625" style="4"/>
    <col min="13313" max="13313" width="11.453125" style="4" customWidth="1"/>
    <col min="13314" max="13314" width="10.36328125" style="4" customWidth="1"/>
    <col min="13315" max="13568" width="8.90625" style="4"/>
    <col min="13569" max="13569" width="11.453125" style="4" customWidth="1"/>
    <col min="13570" max="13570" width="10.36328125" style="4" customWidth="1"/>
    <col min="13571" max="13824" width="8.90625" style="4"/>
    <col min="13825" max="13825" width="11.453125" style="4" customWidth="1"/>
    <col min="13826" max="13826" width="10.36328125" style="4" customWidth="1"/>
    <col min="13827" max="14080" width="8.90625" style="4"/>
    <col min="14081" max="14081" width="11.453125" style="4" customWidth="1"/>
    <col min="14082" max="14082" width="10.36328125" style="4" customWidth="1"/>
    <col min="14083" max="14336" width="8.90625" style="4"/>
    <col min="14337" max="14337" width="11.453125" style="4" customWidth="1"/>
    <col min="14338" max="14338" width="10.36328125" style="4" customWidth="1"/>
    <col min="14339" max="14592" width="8.90625" style="4"/>
    <col min="14593" max="14593" width="11.453125" style="4" customWidth="1"/>
    <col min="14594" max="14594" width="10.36328125" style="4" customWidth="1"/>
    <col min="14595" max="14848" width="8.90625" style="4"/>
    <col min="14849" max="14849" width="11.453125" style="4" customWidth="1"/>
    <col min="14850" max="14850" width="10.36328125" style="4" customWidth="1"/>
    <col min="14851" max="15104" width="8.90625" style="4"/>
    <col min="15105" max="15105" width="11.453125" style="4" customWidth="1"/>
    <col min="15106" max="15106" width="10.36328125" style="4" customWidth="1"/>
    <col min="15107" max="15360" width="8.90625" style="4"/>
    <col min="15361" max="15361" width="11.453125" style="4" customWidth="1"/>
    <col min="15362" max="15362" width="10.36328125" style="4" customWidth="1"/>
    <col min="15363" max="15616" width="8.90625" style="4"/>
    <col min="15617" max="15617" width="11.453125" style="4" customWidth="1"/>
    <col min="15618" max="15618" width="10.36328125" style="4" customWidth="1"/>
    <col min="15619" max="15872" width="8.90625" style="4"/>
    <col min="15873" max="15873" width="11.453125" style="4" customWidth="1"/>
    <col min="15874" max="15874" width="10.36328125" style="4" customWidth="1"/>
    <col min="15875" max="16128" width="8.90625" style="4"/>
    <col min="16129" max="16129" width="11.453125" style="4" customWidth="1"/>
    <col min="16130" max="16130" width="10.36328125" style="4" customWidth="1"/>
    <col min="16131" max="16384" width="8.90625" style="4"/>
  </cols>
  <sheetData>
    <row r="1" spans="1:8" ht="13.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967</v>
      </c>
      <c r="H1" s="4" t="s">
        <v>6</v>
      </c>
    </row>
    <row r="2" spans="1:8">
      <c r="A2" s="3" t="s">
        <v>1064</v>
      </c>
      <c r="B2" s="4" t="s">
        <v>1065</v>
      </c>
      <c r="C2" s="4" t="s">
        <v>1066</v>
      </c>
      <c r="D2" s="4" t="s">
        <v>1567</v>
      </c>
      <c r="E2" s="4">
        <v>45</v>
      </c>
      <c r="F2" s="4">
        <v>2</v>
      </c>
      <c r="G2" s="4" t="s">
        <v>11</v>
      </c>
      <c r="H2" s="4" t="s">
        <v>12</v>
      </c>
    </row>
    <row r="3" spans="1:8">
      <c r="A3" s="3" t="s">
        <v>1064</v>
      </c>
      <c r="B3" s="4" t="s">
        <v>1305</v>
      </c>
      <c r="C3" s="4" t="s">
        <v>1306</v>
      </c>
      <c r="D3" s="4" t="s">
        <v>1567</v>
      </c>
      <c r="E3" s="4">
        <v>40</v>
      </c>
      <c r="F3" s="4">
        <v>2</v>
      </c>
      <c r="G3" s="4" t="s">
        <v>11</v>
      </c>
      <c r="H3" s="4" t="s">
        <v>12</v>
      </c>
    </row>
    <row r="4" spans="1:8">
      <c r="A4" s="3" t="s">
        <v>1064</v>
      </c>
      <c r="B4" s="4" t="s">
        <v>1568</v>
      </c>
      <c r="C4" s="4" t="s">
        <v>1569</v>
      </c>
      <c r="D4" s="4" t="s">
        <v>1567</v>
      </c>
      <c r="E4" s="4">
        <v>42</v>
      </c>
      <c r="F4" s="4">
        <v>2</v>
      </c>
      <c r="G4" s="4" t="s">
        <v>11</v>
      </c>
      <c r="H4" s="4" t="s">
        <v>12</v>
      </c>
    </row>
    <row r="5" spans="1:8">
      <c r="A5" s="3" t="s">
        <v>1064</v>
      </c>
      <c r="B5" s="4" t="s">
        <v>1073</v>
      </c>
      <c r="C5" s="4" t="s">
        <v>1074</v>
      </c>
      <c r="D5" s="4" t="s">
        <v>1567</v>
      </c>
      <c r="E5" s="4">
        <v>40</v>
      </c>
      <c r="F5" s="4">
        <v>2</v>
      </c>
      <c r="G5" s="4" t="s">
        <v>11</v>
      </c>
      <c r="H5" s="4" t="s">
        <v>12</v>
      </c>
    </row>
    <row r="6" spans="1:8">
      <c r="A6" s="3" t="s">
        <v>1064</v>
      </c>
      <c r="B6" s="4" t="s">
        <v>1317</v>
      </c>
      <c r="C6" s="4" t="s">
        <v>1318</v>
      </c>
      <c r="D6" s="4" t="s">
        <v>1567</v>
      </c>
      <c r="E6" s="4">
        <v>50</v>
      </c>
      <c r="F6" s="4">
        <v>2</v>
      </c>
      <c r="G6" s="4" t="s">
        <v>11</v>
      </c>
      <c r="H6" s="4" t="s">
        <v>12</v>
      </c>
    </row>
    <row r="7" spans="1:8">
      <c r="A7" s="3" t="s">
        <v>1064</v>
      </c>
      <c r="B7" s="4" t="s">
        <v>1513</v>
      </c>
      <c r="C7" s="4" t="s">
        <v>1514</v>
      </c>
      <c r="D7" s="4" t="s">
        <v>1567</v>
      </c>
      <c r="E7" s="4">
        <v>49</v>
      </c>
      <c r="F7" s="4">
        <v>2</v>
      </c>
      <c r="G7" s="4" t="s">
        <v>11</v>
      </c>
      <c r="H7" s="4" t="s">
        <v>12</v>
      </c>
    </row>
    <row r="8" spans="1:8">
      <c r="A8" s="3" t="s">
        <v>1064</v>
      </c>
      <c r="B8" s="4" t="s">
        <v>1079</v>
      </c>
      <c r="C8" s="4" t="s">
        <v>1080</v>
      </c>
      <c r="D8" s="4" t="s">
        <v>1567</v>
      </c>
      <c r="E8" s="4">
        <v>41</v>
      </c>
      <c r="F8" s="4">
        <v>2</v>
      </c>
      <c r="G8" s="4" t="s">
        <v>11</v>
      </c>
      <c r="H8" s="4" t="s">
        <v>12</v>
      </c>
    </row>
    <row r="9" spans="1:8">
      <c r="A9" s="3" t="s">
        <v>1020</v>
      </c>
      <c r="B9" s="4" t="s">
        <v>1543</v>
      </c>
      <c r="C9" s="4" t="s">
        <v>1544</v>
      </c>
      <c r="D9" s="4" t="s">
        <v>1567</v>
      </c>
      <c r="E9" s="4">
        <v>54</v>
      </c>
      <c r="F9" s="4">
        <v>2</v>
      </c>
      <c r="G9" s="4" t="s">
        <v>11</v>
      </c>
      <c r="H9" s="4" t="s">
        <v>12</v>
      </c>
    </row>
    <row r="10" spans="1:8">
      <c r="A10" s="3" t="s">
        <v>1020</v>
      </c>
      <c r="B10" s="4" t="s">
        <v>1021</v>
      </c>
      <c r="C10" s="4" t="s">
        <v>1022</v>
      </c>
      <c r="D10" s="4" t="s">
        <v>1567</v>
      </c>
      <c r="E10" s="4">
        <v>53</v>
      </c>
      <c r="F10" s="4">
        <v>2</v>
      </c>
      <c r="G10" s="4" t="s">
        <v>11</v>
      </c>
      <c r="H10" s="4" t="s">
        <v>12</v>
      </c>
    </row>
    <row r="11" spans="1:8">
      <c r="A11" s="3" t="s">
        <v>1020</v>
      </c>
      <c r="B11" s="4" t="s">
        <v>1023</v>
      </c>
      <c r="C11" s="4" t="s">
        <v>1024</v>
      </c>
      <c r="D11" s="4" t="s">
        <v>1567</v>
      </c>
      <c r="E11" s="4">
        <v>50</v>
      </c>
      <c r="F11" s="4">
        <v>2</v>
      </c>
      <c r="G11" s="4" t="s">
        <v>11</v>
      </c>
      <c r="H11" s="4" t="s">
        <v>12</v>
      </c>
    </row>
    <row r="12" spans="1:8">
      <c r="A12" s="3" t="s">
        <v>1020</v>
      </c>
      <c r="B12" s="4" t="s">
        <v>1545</v>
      </c>
      <c r="C12" s="4" t="s">
        <v>1546</v>
      </c>
      <c r="D12" s="4" t="s">
        <v>1567</v>
      </c>
      <c r="E12" s="4">
        <v>54</v>
      </c>
      <c r="F12" s="4">
        <v>2</v>
      </c>
      <c r="G12" s="4" t="s">
        <v>11</v>
      </c>
      <c r="H12" s="4" t="s">
        <v>12</v>
      </c>
    </row>
    <row r="13" spans="1:8">
      <c r="A13" s="3" t="s">
        <v>1020</v>
      </c>
      <c r="B13" s="4" t="s">
        <v>1029</v>
      </c>
      <c r="C13" s="4" t="s">
        <v>1030</v>
      </c>
      <c r="D13" s="4" t="s">
        <v>1567</v>
      </c>
      <c r="E13" s="4">
        <v>53</v>
      </c>
      <c r="F13" s="4">
        <v>2</v>
      </c>
      <c r="G13" s="4" t="s">
        <v>11</v>
      </c>
      <c r="H13" s="4" t="s">
        <v>12</v>
      </c>
    </row>
    <row r="14" spans="1:8">
      <c r="A14" s="3" t="s">
        <v>1035</v>
      </c>
      <c r="B14" s="4" t="s">
        <v>1291</v>
      </c>
      <c r="C14" s="4" t="s">
        <v>1292</v>
      </c>
      <c r="D14" s="4" t="s">
        <v>1567</v>
      </c>
      <c r="E14" s="4">
        <v>43</v>
      </c>
      <c r="F14" s="4">
        <v>2</v>
      </c>
      <c r="G14" s="4" t="s">
        <v>11</v>
      </c>
      <c r="H14" s="4" t="s">
        <v>12</v>
      </c>
    </row>
    <row r="15" spans="1:8">
      <c r="A15" s="3" t="s">
        <v>1144</v>
      </c>
      <c r="B15" s="4" t="s">
        <v>1149</v>
      </c>
      <c r="C15" s="4" t="s">
        <v>1150</v>
      </c>
      <c r="D15" s="4" t="s">
        <v>1567</v>
      </c>
      <c r="E15" s="4">
        <v>55</v>
      </c>
      <c r="F15" s="4">
        <v>2</v>
      </c>
      <c r="G15" s="4" t="s">
        <v>11</v>
      </c>
      <c r="H15" s="4" t="s">
        <v>12</v>
      </c>
    </row>
    <row r="16" spans="1:8">
      <c r="A16" s="3" t="s">
        <v>1144</v>
      </c>
      <c r="B16" s="4" t="s">
        <v>1151</v>
      </c>
      <c r="C16" s="4" t="s">
        <v>1152</v>
      </c>
      <c r="D16" s="4" t="s">
        <v>1567</v>
      </c>
      <c r="E16" s="4">
        <v>40</v>
      </c>
      <c r="F16" s="4">
        <v>2</v>
      </c>
      <c r="G16" s="4" t="s">
        <v>11</v>
      </c>
      <c r="H16" s="4" t="s">
        <v>12</v>
      </c>
    </row>
    <row r="17" spans="1:8">
      <c r="A17" s="3" t="s">
        <v>1144</v>
      </c>
      <c r="B17" s="4" t="s">
        <v>1157</v>
      </c>
      <c r="C17" s="4" t="s">
        <v>1158</v>
      </c>
      <c r="D17" s="4" t="s">
        <v>1567</v>
      </c>
      <c r="E17" s="4">
        <v>50</v>
      </c>
      <c r="F17" s="4">
        <v>2</v>
      </c>
      <c r="G17" s="4" t="s">
        <v>11</v>
      </c>
      <c r="H17" s="4" t="s">
        <v>12</v>
      </c>
    </row>
    <row r="18" spans="1:8">
      <c r="A18" s="3" t="s">
        <v>1144</v>
      </c>
      <c r="B18" s="4" t="s">
        <v>1165</v>
      </c>
      <c r="C18" s="4" t="s">
        <v>1166</v>
      </c>
      <c r="D18" s="4" t="s">
        <v>1567</v>
      </c>
      <c r="E18" s="4">
        <v>48</v>
      </c>
      <c r="F18" s="4">
        <v>2</v>
      </c>
      <c r="G18" s="4" t="s">
        <v>11</v>
      </c>
      <c r="H18" s="4" t="s">
        <v>12</v>
      </c>
    </row>
    <row r="19" spans="1:8">
      <c r="A19" s="3" t="s">
        <v>1054</v>
      </c>
      <c r="B19" s="4" t="s">
        <v>1055</v>
      </c>
      <c r="C19" s="4" t="s">
        <v>1056</v>
      </c>
      <c r="D19" s="4" t="s">
        <v>1567</v>
      </c>
      <c r="E19" s="4">
        <v>42</v>
      </c>
      <c r="F19" s="4">
        <v>2</v>
      </c>
      <c r="G19" s="4" t="s">
        <v>11</v>
      </c>
      <c r="H19" s="4" t="s">
        <v>12</v>
      </c>
    </row>
    <row r="20" spans="1:8">
      <c r="A20" s="3" t="s">
        <v>1054</v>
      </c>
      <c r="B20" s="4" t="s">
        <v>1385</v>
      </c>
      <c r="C20" s="4" t="s">
        <v>1386</v>
      </c>
      <c r="D20" s="4" t="s">
        <v>1567</v>
      </c>
      <c r="E20" s="4">
        <v>40</v>
      </c>
      <c r="F20" s="4">
        <v>2</v>
      </c>
      <c r="G20" s="4" t="s">
        <v>11</v>
      </c>
      <c r="H20" s="4" t="s">
        <v>12</v>
      </c>
    </row>
    <row r="21" spans="1:8">
      <c r="A21" s="3" t="s">
        <v>1184</v>
      </c>
      <c r="B21" s="4" t="s">
        <v>1570</v>
      </c>
      <c r="C21" s="4" t="s">
        <v>1571</v>
      </c>
      <c r="D21" s="4" t="s">
        <v>1567</v>
      </c>
      <c r="E21" s="4">
        <v>47</v>
      </c>
      <c r="F21" s="4">
        <v>2</v>
      </c>
      <c r="G21" s="4" t="s">
        <v>11</v>
      </c>
      <c r="H21" s="4" t="s">
        <v>12</v>
      </c>
    </row>
    <row r="22" spans="1:8">
      <c r="A22" s="3" t="s">
        <v>1184</v>
      </c>
      <c r="B22" s="4" t="s">
        <v>1187</v>
      </c>
      <c r="C22" s="4" t="s">
        <v>1188</v>
      </c>
      <c r="D22" s="4" t="s">
        <v>1567</v>
      </c>
      <c r="E22" s="4">
        <v>49</v>
      </c>
      <c r="F22" s="4">
        <v>2</v>
      </c>
      <c r="G22" s="4" t="s">
        <v>11</v>
      </c>
      <c r="H22" s="4" t="s">
        <v>12</v>
      </c>
    </row>
    <row r="23" spans="1:8">
      <c r="A23" s="3" t="s">
        <v>1184</v>
      </c>
      <c r="B23" s="4" t="s">
        <v>1189</v>
      </c>
      <c r="C23" s="4" t="s">
        <v>1190</v>
      </c>
      <c r="D23" s="4" t="s">
        <v>1567</v>
      </c>
      <c r="E23" s="4">
        <v>51</v>
      </c>
      <c r="F23" s="4">
        <v>2</v>
      </c>
      <c r="G23" s="4" t="s">
        <v>11</v>
      </c>
      <c r="H23" s="4" t="s">
        <v>12</v>
      </c>
    </row>
    <row r="24" spans="1:8">
      <c r="A24" s="3" t="s">
        <v>1217</v>
      </c>
      <c r="B24" s="4" t="s">
        <v>1572</v>
      </c>
      <c r="C24" s="4" t="s">
        <v>1573</v>
      </c>
      <c r="D24" s="4" t="s">
        <v>1567</v>
      </c>
      <c r="E24" s="4">
        <v>40</v>
      </c>
      <c r="F24" s="4">
        <v>2</v>
      </c>
      <c r="G24" s="4" t="s">
        <v>11</v>
      </c>
      <c r="H24" s="4" t="s">
        <v>12</v>
      </c>
    </row>
    <row r="25" spans="1:8">
      <c r="A25" s="3" t="s">
        <v>1217</v>
      </c>
      <c r="B25" s="4" t="s">
        <v>1228</v>
      </c>
      <c r="C25" s="4" t="s">
        <v>954</v>
      </c>
      <c r="D25" s="4" t="s">
        <v>1567</v>
      </c>
      <c r="E25" s="4">
        <v>52</v>
      </c>
      <c r="F25" s="4">
        <v>2</v>
      </c>
      <c r="G25" s="4" t="s">
        <v>11</v>
      </c>
      <c r="H25" s="4" t="s">
        <v>12</v>
      </c>
    </row>
    <row r="26" spans="1:8">
      <c r="A26" s="3" t="s">
        <v>998</v>
      </c>
      <c r="B26" s="4" t="s">
        <v>1574</v>
      </c>
      <c r="C26" s="4" t="s">
        <v>1575</v>
      </c>
      <c r="D26" s="4" t="s">
        <v>1567</v>
      </c>
      <c r="E26" s="4">
        <v>44</v>
      </c>
      <c r="F26" s="4">
        <v>2</v>
      </c>
      <c r="G26" s="4" t="s">
        <v>11</v>
      </c>
      <c r="H26" s="4" t="s">
        <v>12</v>
      </c>
    </row>
    <row r="27" spans="1:8">
      <c r="A27" s="3" t="s">
        <v>998</v>
      </c>
      <c r="B27" s="4" t="s">
        <v>1576</v>
      </c>
      <c r="C27" s="4" t="s">
        <v>1577</v>
      </c>
      <c r="D27" s="4" t="s">
        <v>1567</v>
      </c>
      <c r="E27" s="4">
        <v>41</v>
      </c>
      <c r="F27" s="4">
        <v>2</v>
      </c>
      <c r="G27" s="4" t="s">
        <v>11</v>
      </c>
      <c r="H27" s="4" t="s">
        <v>12</v>
      </c>
    </row>
    <row r="28" spans="1:8">
      <c r="A28" s="3" t="s">
        <v>998</v>
      </c>
      <c r="B28" s="4" t="s">
        <v>1578</v>
      </c>
      <c r="C28" s="4" t="s">
        <v>1579</v>
      </c>
      <c r="D28" s="4" t="s">
        <v>1567</v>
      </c>
      <c r="E28" s="4">
        <v>46</v>
      </c>
      <c r="F28" s="4">
        <v>2</v>
      </c>
      <c r="G28" s="4" t="s">
        <v>11</v>
      </c>
      <c r="H28" s="4" t="s">
        <v>12</v>
      </c>
    </row>
    <row r="29" spans="1:8">
      <c r="A29" s="3" t="s">
        <v>1171</v>
      </c>
      <c r="B29" s="4" t="s">
        <v>1475</v>
      </c>
      <c r="C29" s="4" t="s">
        <v>1476</v>
      </c>
      <c r="D29" s="4" t="s">
        <v>1640</v>
      </c>
      <c r="E29" s="4">
        <v>53</v>
      </c>
      <c r="F29" s="4">
        <v>2</v>
      </c>
      <c r="G29" s="4" t="s">
        <v>11</v>
      </c>
      <c r="H29" s="4" t="s">
        <v>12</v>
      </c>
    </row>
    <row r="30" spans="1:8">
      <c r="A30" s="3" t="s">
        <v>1171</v>
      </c>
      <c r="B30" s="4" t="s">
        <v>1477</v>
      </c>
      <c r="C30" s="4" t="s">
        <v>1478</v>
      </c>
      <c r="D30" s="4" t="s">
        <v>1640</v>
      </c>
      <c r="E30" s="4">
        <v>51</v>
      </c>
      <c r="F30" s="4">
        <v>2</v>
      </c>
      <c r="G30" s="4" t="s">
        <v>11</v>
      </c>
      <c r="H30" s="4" t="s">
        <v>12</v>
      </c>
    </row>
    <row r="31" spans="1:8">
      <c r="A31" s="3" t="s">
        <v>1171</v>
      </c>
      <c r="B31" s="4" t="s">
        <v>1178</v>
      </c>
      <c r="C31" s="4" t="s">
        <v>1179</v>
      </c>
      <c r="D31" s="4" t="s">
        <v>1640</v>
      </c>
      <c r="E31" s="4">
        <v>42</v>
      </c>
      <c r="F31" s="4">
        <v>2</v>
      </c>
      <c r="G31" s="4" t="s">
        <v>11</v>
      </c>
      <c r="H31" s="4" t="s">
        <v>12</v>
      </c>
    </row>
    <row r="32" spans="1:8">
      <c r="A32" s="3" t="s">
        <v>1171</v>
      </c>
      <c r="B32" s="4" t="s">
        <v>1628</v>
      </c>
      <c r="C32" s="4" t="s">
        <v>1629</v>
      </c>
      <c r="D32" s="4" t="s">
        <v>1640</v>
      </c>
      <c r="E32" s="4">
        <v>54</v>
      </c>
      <c r="F32" s="4">
        <v>2</v>
      </c>
      <c r="G32" s="4" t="s">
        <v>11</v>
      </c>
      <c r="H32" s="4" t="s">
        <v>12</v>
      </c>
    </row>
    <row r="33" spans="1:8">
      <c r="A33" s="3" t="s">
        <v>1171</v>
      </c>
      <c r="B33" s="4" t="s">
        <v>1182</v>
      </c>
      <c r="C33" s="4" t="s">
        <v>1183</v>
      </c>
      <c r="D33" s="4" t="s">
        <v>1640</v>
      </c>
      <c r="E33" s="4">
        <v>53</v>
      </c>
      <c r="F33" s="4">
        <v>2</v>
      </c>
      <c r="G33" s="4" t="s">
        <v>11</v>
      </c>
      <c r="H33" s="4" t="s">
        <v>12</v>
      </c>
    </row>
    <row r="34" spans="1:8">
      <c r="A34" s="3" t="s">
        <v>1171</v>
      </c>
      <c r="B34" s="4" t="s">
        <v>1641</v>
      </c>
      <c r="C34" s="4" t="s">
        <v>1642</v>
      </c>
      <c r="D34" s="4" t="s">
        <v>1640</v>
      </c>
      <c r="E34" s="4">
        <v>52</v>
      </c>
      <c r="F34" s="4">
        <v>2</v>
      </c>
      <c r="G34" s="4" t="s">
        <v>11</v>
      </c>
      <c r="H34" s="4" t="s">
        <v>12</v>
      </c>
    </row>
    <row r="35" spans="1:8">
      <c r="A35" s="3" t="s">
        <v>1064</v>
      </c>
      <c r="B35" s="4" t="s">
        <v>1065</v>
      </c>
      <c r="C35" s="4" t="s">
        <v>1066</v>
      </c>
      <c r="D35" s="4" t="s">
        <v>1640</v>
      </c>
      <c r="E35" s="4">
        <v>44</v>
      </c>
      <c r="F35" s="4">
        <v>2</v>
      </c>
      <c r="G35" s="4" t="s">
        <v>11</v>
      </c>
      <c r="H35" s="4" t="s">
        <v>12</v>
      </c>
    </row>
    <row r="36" spans="1:8">
      <c r="A36" s="3" t="s">
        <v>1020</v>
      </c>
      <c r="B36" s="4" t="s">
        <v>1021</v>
      </c>
      <c r="C36" s="4" t="s">
        <v>1022</v>
      </c>
      <c r="D36" s="4" t="s">
        <v>1640</v>
      </c>
      <c r="E36" s="4">
        <v>48</v>
      </c>
      <c r="F36" s="4">
        <v>2</v>
      </c>
      <c r="G36" s="4" t="s">
        <v>11</v>
      </c>
      <c r="H36" s="4" t="s">
        <v>12</v>
      </c>
    </row>
    <row r="37" spans="1:8">
      <c r="A37" s="3" t="s">
        <v>1020</v>
      </c>
      <c r="B37" s="4" t="s">
        <v>1630</v>
      </c>
      <c r="C37" s="4" t="s">
        <v>1631</v>
      </c>
      <c r="D37" s="4" t="s">
        <v>1640</v>
      </c>
      <c r="E37" s="4">
        <v>47</v>
      </c>
      <c r="F37" s="4">
        <v>2</v>
      </c>
      <c r="G37" s="4" t="s">
        <v>11</v>
      </c>
      <c r="H37" s="4" t="s">
        <v>12</v>
      </c>
    </row>
    <row r="38" spans="1:8">
      <c r="A38" s="3" t="s">
        <v>1020</v>
      </c>
      <c r="B38" s="4" t="s">
        <v>1259</v>
      </c>
      <c r="C38" s="4" t="s">
        <v>1260</v>
      </c>
      <c r="D38" s="4" t="s">
        <v>1640</v>
      </c>
      <c r="E38" s="4">
        <v>56</v>
      </c>
      <c r="F38" s="4">
        <v>2</v>
      </c>
      <c r="G38" s="4" t="s">
        <v>11</v>
      </c>
      <c r="H38" s="4" t="s">
        <v>12</v>
      </c>
    </row>
    <row r="39" spans="1:8">
      <c r="A39" s="3" t="s">
        <v>1020</v>
      </c>
      <c r="B39" s="4" t="s">
        <v>1261</v>
      </c>
      <c r="C39" s="4" t="s">
        <v>1262</v>
      </c>
      <c r="D39" s="4" t="s">
        <v>1640</v>
      </c>
      <c r="E39" s="4">
        <v>55</v>
      </c>
      <c r="F39" s="4">
        <v>2</v>
      </c>
      <c r="G39" s="4" t="s">
        <v>11</v>
      </c>
      <c r="H39" s="4" t="s">
        <v>12</v>
      </c>
    </row>
    <row r="40" spans="1:8">
      <c r="A40" s="3" t="s">
        <v>1020</v>
      </c>
      <c r="B40" s="4" t="s">
        <v>1545</v>
      </c>
      <c r="C40" s="4" t="s">
        <v>1546</v>
      </c>
      <c r="D40" s="4" t="s">
        <v>1640</v>
      </c>
      <c r="E40" s="4">
        <v>40</v>
      </c>
      <c r="F40" s="4">
        <v>2</v>
      </c>
      <c r="G40" s="4" t="s">
        <v>11</v>
      </c>
      <c r="H40" s="4" t="s">
        <v>12</v>
      </c>
    </row>
    <row r="41" spans="1:8">
      <c r="A41" s="3" t="s">
        <v>1020</v>
      </c>
      <c r="B41" s="4" t="s">
        <v>1263</v>
      </c>
      <c r="C41" s="4" t="s">
        <v>1264</v>
      </c>
      <c r="D41" s="4" t="s">
        <v>1640</v>
      </c>
      <c r="E41" s="4">
        <v>45</v>
      </c>
      <c r="F41" s="4">
        <v>2</v>
      </c>
      <c r="G41" s="4" t="s">
        <v>11</v>
      </c>
      <c r="H41" s="4" t="s">
        <v>12</v>
      </c>
    </row>
    <row r="42" spans="1:8">
      <c r="A42" s="3" t="s">
        <v>1217</v>
      </c>
      <c r="B42" s="4" t="s">
        <v>1643</v>
      </c>
      <c r="C42" s="4" t="s">
        <v>1644</v>
      </c>
      <c r="D42" s="4" t="s">
        <v>1640</v>
      </c>
      <c r="E42" s="4">
        <v>53</v>
      </c>
      <c r="F42" s="4">
        <v>2</v>
      </c>
      <c r="G42" s="4" t="s">
        <v>11</v>
      </c>
      <c r="H42" s="4" t="s">
        <v>12</v>
      </c>
    </row>
    <row r="43" spans="1:8">
      <c r="A43" s="3" t="s">
        <v>1217</v>
      </c>
      <c r="B43" s="4" t="s">
        <v>1645</v>
      </c>
      <c r="C43" s="4" t="s">
        <v>1646</v>
      </c>
      <c r="D43" s="4" t="s">
        <v>1640</v>
      </c>
      <c r="E43" s="4">
        <v>48</v>
      </c>
      <c r="F43" s="4">
        <v>2</v>
      </c>
      <c r="G43" s="4" t="s">
        <v>11</v>
      </c>
      <c r="H43" s="4" t="s">
        <v>12</v>
      </c>
    </row>
    <row r="44" spans="1:8">
      <c r="A44" s="3" t="s">
        <v>1217</v>
      </c>
      <c r="B44" s="4" t="s">
        <v>1647</v>
      </c>
      <c r="C44" s="4" t="s">
        <v>1648</v>
      </c>
      <c r="D44" s="4" t="s">
        <v>1640</v>
      </c>
      <c r="E44" s="4">
        <v>55</v>
      </c>
      <c r="F44" s="4">
        <v>2</v>
      </c>
      <c r="G44" s="4" t="s">
        <v>11</v>
      </c>
      <c r="H44" s="4" t="s">
        <v>12</v>
      </c>
    </row>
    <row r="45" spans="1:8">
      <c r="A45" s="3" t="s">
        <v>1217</v>
      </c>
      <c r="B45" s="4" t="s">
        <v>1220</v>
      </c>
      <c r="C45" s="4" t="s">
        <v>1221</v>
      </c>
      <c r="D45" s="4" t="s">
        <v>1640</v>
      </c>
      <c r="E45" s="4">
        <v>47</v>
      </c>
      <c r="F45" s="4">
        <v>2</v>
      </c>
      <c r="G45" s="4" t="s">
        <v>11</v>
      </c>
      <c r="H45" s="4" t="s">
        <v>12</v>
      </c>
    </row>
    <row r="46" spans="1:8">
      <c r="A46" s="3" t="s">
        <v>1217</v>
      </c>
      <c r="B46" s="4" t="s">
        <v>1561</v>
      </c>
      <c r="C46" s="4" t="s">
        <v>1562</v>
      </c>
      <c r="D46" s="4" t="s">
        <v>1640</v>
      </c>
      <c r="E46" s="4">
        <v>45</v>
      </c>
      <c r="F46" s="4">
        <v>2</v>
      </c>
      <c r="G46" s="4" t="s">
        <v>11</v>
      </c>
      <c r="H46" s="4" t="s">
        <v>12</v>
      </c>
    </row>
    <row r="47" spans="1:8">
      <c r="A47" s="3" t="s">
        <v>1217</v>
      </c>
      <c r="B47" s="4" t="s">
        <v>1649</v>
      </c>
      <c r="C47" s="4" t="s">
        <v>1650</v>
      </c>
      <c r="D47" s="4" t="s">
        <v>1640</v>
      </c>
      <c r="E47" s="4">
        <v>46</v>
      </c>
      <c r="F47" s="4">
        <v>2</v>
      </c>
      <c r="G47" s="4" t="s">
        <v>11</v>
      </c>
      <c r="H47" s="4" t="s">
        <v>12</v>
      </c>
    </row>
    <row r="48" spans="1:8">
      <c r="A48" s="3" t="s">
        <v>1217</v>
      </c>
      <c r="B48" s="4" t="s">
        <v>1651</v>
      </c>
      <c r="C48" s="4" t="s">
        <v>1652</v>
      </c>
      <c r="D48" s="4" t="s">
        <v>1640</v>
      </c>
      <c r="E48" s="4">
        <v>52</v>
      </c>
      <c r="F48" s="4">
        <v>2</v>
      </c>
      <c r="G48" s="4" t="s">
        <v>11</v>
      </c>
      <c r="H48" s="4" t="s">
        <v>12</v>
      </c>
    </row>
    <row r="49" spans="1:8">
      <c r="A49" s="3" t="s">
        <v>1217</v>
      </c>
      <c r="B49" s="4" t="s">
        <v>1653</v>
      </c>
      <c r="C49" s="4" t="s">
        <v>1654</v>
      </c>
      <c r="D49" s="4" t="s">
        <v>1640</v>
      </c>
      <c r="E49" s="4">
        <v>53</v>
      </c>
      <c r="F49" s="4">
        <v>2</v>
      </c>
      <c r="G49" s="4" t="s">
        <v>11</v>
      </c>
      <c r="H49" s="4" t="s">
        <v>12</v>
      </c>
    </row>
    <row r="50" spans="1:8">
      <c r="A50" s="3" t="s">
        <v>1217</v>
      </c>
      <c r="B50" s="4" t="s">
        <v>1655</v>
      </c>
      <c r="C50" s="4" t="s">
        <v>1656</v>
      </c>
      <c r="D50" s="4" t="s">
        <v>1640</v>
      </c>
      <c r="E50" s="4">
        <v>48</v>
      </c>
      <c r="F50" s="4">
        <v>2</v>
      </c>
      <c r="G50" s="4" t="s">
        <v>11</v>
      </c>
      <c r="H50" s="4" t="s">
        <v>12</v>
      </c>
    </row>
    <row r="51" spans="1:8">
      <c r="A51" s="3" t="s">
        <v>1217</v>
      </c>
      <c r="B51" s="4" t="s">
        <v>1224</v>
      </c>
      <c r="C51" s="4" t="s">
        <v>1225</v>
      </c>
      <c r="D51" s="4" t="s">
        <v>1640</v>
      </c>
      <c r="E51" s="4">
        <v>43</v>
      </c>
      <c r="F51" s="4">
        <v>2</v>
      </c>
      <c r="G51" s="4" t="s">
        <v>11</v>
      </c>
      <c r="H51" s="4" t="s">
        <v>12</v>
      </c>
    </row>
    <row r="52" spans="1:8">
      <c r="A52" s="3" t="s">
        <v>1217</v>
      </c>
      <c r="B52" s="4" t="s">
        <v>1632</v>
      </c>
      <c r="C52" s="4" t="s">
        <v>1633</v>
      </c>
      <c r="D52" s="4" t="s">
        <v>1640</v>
      </c>
      <c r="E52" s="4">
        <v>55</v>
      </c>
      <c r="F52" s="4">
        <v>2</v>
      </c>
      <c r="G52" s="4" t="s">
        <v>11</v>
      </c>
      <c r="H52" s="4" t="s">
        <v>12</v>
      </c>
    </row>
    <row r="53" spans="1:8">
      <c r="A53" s="3" t="s">
        <v>998</v>
      </c>
      <c r="B53" s="4" t="s">
        <v>1657</v>
      </c>
      <c r="C53" s="4" t="s">
        <v>1658</v>
      </c>
      <c r="D53" s="4" t="s">
        <v>1640</v>
      </c>
      <c r="E53" s="4">
        <v>49</v>
      </c>
      <c r="F53" s="4">
        <v>2</v>
      </c>
      <c r="G53" s="4" t="s">
        <v>11</v>
      </c>
      <c r="H53" s="4" t="s">
        <v>12</v>
      </c>
    </row>
    <row r="54" spans="1:8">
      <c r="A54" s="3" t="s">
        <v>998</v>
      </c>
      <c r="B54" s="4" t="s">
        <v>1659</v>
      </c>
      <c r="C54" s="4" t="s">
        <v>1660</v>
      </c>
      <c r="D54" s="4" t="s">
        <v>1640</v>
      </c>
      <c r="E54" s="4">
        <v>40</v>
      </c>
      <c r="F54" s="4">
        <v>2</v>
      </c>
      <c r="G54" s="4" t="s">
        <v>11</v>
      </c>
      <c r="H54" s="4" t="s">
        <v>12</v>
      </c>
    </row>
    <row r="55" spans="1:8">
      <c r="A55" s="3" t="s">
        <v>998</v>
      </c>
      <c r="B55" s="4" t="s">
        <v>1003</v>
      </c>
      <c r="C55" s="4" t="s">
        <v>1004</v>
      </c>
      <c r="D55" s="4" t="s">
        <v>1640</v>
      </c>
      <c r="E55" s="4">
        <v>40</v>
      </c>
      <c r="F55" s="4">
        <v>2</v>
      </c>
      <c r="G55" s="4" t="s">
        <v>11</v>
      </c>
      <c r="H55" s="4" t="s">
        <v>12</v>
      </c>
    </row>
    <row r="56" spans="1:8">
      <c r="A56" s="3" t="s">
        <v>998</v>
      </c>
      <c r="B56" s="4" t="s">
        <v>1661</v>
      </c>
      <c r="C56" s="4" t="s">
        <v>1662</v>
      </c>
      <c r="D56" s="4" t="s">
        <v>1640</v>
      </c>
      <c r="E56" s="4">
        <v>43</v>
      </c>
      <c r="F56" s="4">
        <v>2</v>
      </c>
      <c r="G56" s="4" t="s">
        <v>11</v>
      </c>
      <c r="H56" s="4" t="s">
        <v>12</v>
      </c>
    </row>
    <row r="57" spans="1:8">
      <c r="A57" s="3" t="s">
        <v>998</v>
      </c>
      <c r="B57" s="4" t="s">
        <v>1576</v>
      </c>
      <c r="C57" s="4" t="s">
        <v>1577</v>
      </c>
      <c r="D57" s="4" t="s">
        <v>1640</v>
      </c>
      <c r="E57" s="4">
        <v>50</v>
      </c>
      <c r="F57" s="4">
        <v>2</v>
      </c>
      <c r="G57" s="4" t="s">
        <v>11</v>
      </c>
      <c r="H57" s="4" t="s">
        <v>12</v>
      </c>
    </row>
    <row r="58" spans="1:8">
      <c r="A58" s="3" t="s">
        <v>1191</v>
      </c>
      <c r="B58" s="4" t="s">
        <v>1501</v>
      </c>
      <c r="C58" s="4" t="s">
        <v>1502</v>
      </c>
      <c r="D58" s="4" t="s">
        <v>1640</v>
      </c>
      <c r="E58" s="4">
        <v>56</v>
      </c>
      <c r="F58" s="4">
        <v>2</v>
      </c>
      <c r="G58" s="4" t="s">
        <v>11</v>
      </c>
      <c r="H58" s="4" t="s">
        <v>12</v>
      </c>
    </row>
    <row r="59" spans="1:8">
      <c r="A59" s="3" t="s">
        <v>1191</v>
      </c>
      <c r="B59" s="4" t="s">
        <v>1634</v>
      </c>
      <c r="C59" s="4" t="s">
        <v>1635</v>
      </c>
      <c r="D59" s="4" t="s">
        <v>1640</v>
      </c>
      <c r="E59" s="4">
        <v>50</v>
      </c>
      <c r="F59" s="4">
        <v>2</v>
      </c>
      <c r="G59" s="4" t="s">
        <v>11</v>
      </c>
      <c r="H59" s="4" t="s">
        <v>12</v>
      </c>
    </row>
    <row r="60" spans="1:8">
      <c r="A60" s="3" t="s">
        <v>1191</v>
      </c>
      <c r="B60" s="4" t="s">
        <v>1192</v>
      </c>
      <c r="C60" s="4" t="s">
        <v>1193</v>
      </c>
      <c r="D60" s="4" t="s">
        <v>1640</v>
      </c>
      <c r="E60" s="4">
        <v>45</v>
      </c>
      <c r="F60" s="4">
        <v>2</v>
      </c>
      <c r="G60" s="4" t="s">
        <v>11</v>
      </c>
      <c r="H60" s="4" t="s">
        <v>12</v>
      </c>
    </row>
    <row r="61" spans="1:8">
      <c r="A61" s="3" t="s">
        <v>1191</v>
      </c>
      <c r="B61" s="4" t="s">
        <v>1587</v>
      </c>
      <c r="C61" s="4" t="s">
        <v>1588</v>
      </c>
      <c r="D61" s="4" t="s">
        <v>1640</v>
      </c>
      <c r="E61" s="4">
        <v>57</v>
      </c>
      <c r="F61" s="4">
        <v>2</v>
      </c>
      <c r="G61" s="4" t="s">
        <v>11</v>
      </c>
      <c r="H61" s="4" t="s">
        <v>12</v>
      </c>
    </row>
    <row r="62" spans="1:8">
      <c r="A62" s="3" t="s">
        <v>1191</v>
      </c>
      <c r="B62" s="4" t="s">
        <v>1194</v>
      </c>
      <c r="C62" s="4" t="s">
        <v>1195</v>
      </c>
      <c r="D62" s="4" t="s">
        <v>1640</v>
      </c>
      <c r="E62" s="4">
        <v>46</v>
      </c>
      <c r="F62" s="4">
        <v>2</v>
      </c>
      <c r="G62" s="4" t="s">
        <v>11</v>
      </c>
      <c r="H62" s="4" t="s">
        <v>12</v>
      </c>
    </row>
    <row r="63" spans="1:8">
      <c r="A63" s="3" t="s">
        <v>1191</v>
      </c>
      <c r="B63" s="4" t="s">
        <v>1503</v>
      </c>
      <c r="C63" s="4" t="s">
        <v>1504</v>
      </c>
      <c r="D63" s="4" t="s">
        <v>1640</v>
      </c>
      <c r="E63" s="4">
        <v>57</v>
      </c>
      <c r="F63" s="4">
        <v>2</v>
      </c>
      <c r="G63" s="4" t="s">
        <v>11</v>
      </c>
      <c r="H63" s="4" t="s">
        <v>12</v>
      </c>
    </row>
    <row r="64" spans="1:8">
      <c r="A64" s="3" t="s">
        <v>1191</v>
      </c>
      <c r="B64" s="4" t="s">
        <v>1505</v>
      </c>
      <c r="C64" s="4" t="s">
        <v>1506</v>
      </c>
      <c r="D64" s="4" t="s">
        <v>1640</v>
      </c>
      <c r="E64" s="4">
        <v>55</v>
      </c>
      <c r="F64" s="4">
        <v>2</v>
      </c>
      <c r="G64" s="4" t="s">
        <v>11</v>
      </c>
      <c r="H64" s="4" t="s">
        <v>12</v>
      </c>
    </row>
    <row r="65" spans="1:8">
      <c r="A65" s="3" t="s">
        <v>1231</v>
      </c>
      <c r="B65" s="4" t="s">
        <v>1240</v>
      </c>
      <c r="C65" s="4" t="s">
        <v>157</v>
      </c>
      <c r="D65" s="4" t="s">
        <v>1640</v>
      </c>
      <c r="E65" s="4">
        <v>49</v>
      </c>
      <c r="F65" s="4">
        <v>2</v>
      </c>
      <c r="G65" s="4" t="s">
        <v>11</v>
      </c>
      <c r="H65" s="4" t="s">
        <v>12</v>
      </c>
    </row>
    <row r="66" spans="1:8">
      <c r="A66" s="3" t="s">
        <v>1231</v>
      </c>
      <c r="B66" s="4" t="s">
        <v>1426</v>
      </c>
      <c r="C66" s="4" t="s">
        <v>1427</v>
      </c>
      <c r="D66" s="4" t="s">
        <v>1640</v>
      </c>
      <c r="E66" s="4">
        <v>45</v>
      </c>
      <c r="F66" s="4">
        <v>2</v>
      </c>
      <c r="G66" s="4" t="s">
        <v>11</v>
      </c>
      <c r="H66" s="4" t="s">
        <v>12</v>
      </c>
    </row>
    <row r="67" spans="1:8">
      <c r="A67" s="3" t="s">
        <v>1102</v>
      </c>
      <c r="B67" s="4" t="s">
        <v>1107</v>
      </c>
      <c r="C67" s="4" t="s">
        <v>1108</v>
      </c>
      <c r="D67" s="4" t="s">
        <v>1640</v>
      </c>
      <c r="E67" s="4">
        <v>46</v>
      </c>
      <c r="F67" s="4">
        <v>2</v>
      </c>
      <c r="G67" s="4" t="s">
        <v>11</v>
      </c>
      <c r="H67" s="4" t="s">
        <v>12</v>
      </c>
    </row>
    <row r="68" spans="1:8">
      <c r="A68" s="3" t="s">
        <v>1102</v>
      </c>
      <c r="B68" s="4" t="s">
        <v>1663</v>
      </c>
      <c r="C68" s="4" t="s">
        <v>1664</v>
      </c>
      <c r="D68" s="4" t="s">
        <v>1640</v>
      </c>
      <c r="E68" s="4">
        <v>41</v>
      </c>
      <c r="F68" s="4">
        <v>2</v>
      </c>
      <c r="G68" s="4" t="s">
        <v>11</v>
      </c>
      <c r="H68" s="4" t="s">
        <v>12</v>
      </c>
    </row>
    <row r="69" spans="1:8">
      <c r="A69" s="3" t="s">
        <v>1102</v>
      </c>
      <c r="B69" s="4" t="s">
        <v>1638</v>
      </c>
      <c r="C69" s="4" t="s">
        <v>1639</v>
      </c>
      <c r="D69" s="4" t="s">
        <v>1640</v>
      </c>
      <c r="E69" s="4">
        <v>51</v>
      </c>
      <c r="F69" s="4">
        <v>2</v>
      </c>
      <c r="G69" s="4" t="s">
        <v>11</v>
      </c>
      <c r="H69" s="4" t="s">
        <v>12</v>
      </c>
    </row>
    <row r="70" spans="1:8">
      <c r="A70" s="3" t="s">
        <v>1102</v>
      </c>
      <c r="B70" s="4" t="s">
        <v>1113</v>
      </c>
      <c r="C70" s="4" t="s">
        <v>1114</v>
      </c>
      <c r="D70" s="4" t="s">
        <v>1640</v>
      </c>
      <c r="E70" s="4">
        <v>58</v>
      </c>
      <c r="F70" s="4">
        <v>2</v>
      </c>
      <c r="G70" s="4" t="s">
        <v>11</v>
      </c>
      <c r="H70" s="4" t="s">
        <v>12</v>
      </c>
    </row>
    <row r="71" spans="1:8">
      <c r="A71" s="3" t="s">
        <v>1102</v>
      </c>
      <c r="B71" s="4" t="s">
        <v>1115</v>
      </c>
      <c r="C71" s="4" t="s">
        <v>1116</v>
      </c>
      <c r="D71" s="4" t="s">
        <v>1640</v>
      </c>
      <c r="E71" s="4">
        <v>50</v>
      </c>
      <c r="F71" s="4">
        <v>2</v>
      </c>
      <c r="G71" s="4" t="s">
        <v>11</v>
      </c>
      <c r="H71" s="4" t="s">
        <v>12</v>
      </c>
    </row>
    <row r="72" spans="1:8">
      <c r="A72" s="3" t="s">
        <v>1102</v>
      </c>
      <c r="B72" s="4" t="s">
        <v>1119</v>
      </c>
      <c r="C72" s="4" t="s">
        <v>1120</v>
      </c>
      <c r="D72" s="4" t="s">
        <v>1640</v>
      </c>
      <c r="E72" s="4">
        <v>53</v>
      </c>
      <c r="F72" s="4">
        <v>2</v>
      </c>
      <c r="G72" s="4" t="s">
        <v>11</v>
      </c>
      <c r="H72" s="4" t="s">
        <v>12</v>
      </c>
    </row>
    <row r="73" spans="1:8">
      <c r="A73" s="3" t="s">
        <v>1102</v>
      </c>
      <c r="B73" s="4" t="s">
        <v>1447</v>
      </c>
      <c r="C73" s="4" t="s">
        <v>1448</v>
      </c>
      <c r="D73" s="4" t="s">
        <v>1640</v>
      </c>
      <c r="E73" s="4">
        <v>52</v>
      </c>
      <c r="F73" s="4">
        <v>2</v>
      </c>
      <c r="G73" s="4" t="s">
        <v>11</v>
      </c>
      <c r="H73" s="4" t="s">
        <v>12</v>
      </c>
    </row>
    <row r="74" spans="1:8">
      <c r="A74" s="3" t="s">
        <v>1102</v>
      </c>
      <c r="B74" s="4" t="s">
        <v>1133</v>
      </c>
      <c r="C74" s="4" t="s">
        <v>1134</v>
      </c>
      <c r="D74" s="4" t="s">
        <v>1640</v>
      </c>
      <c r="E74" s="4">
        <v>56</v>
      </c>
      <c r="F74" s="4">
        <v>2</v>
      </c>
      <c r="G74" s="4" t="s">
        <v>11</v>
      </c>
      <c r="H74" s="4" t="s">
        <v>12</v>
      </c>
    </row>
    <row r="75" spans="1:8">
      <c r="A75" s="3" t="s">
        <v>971</v>
      </c>
      <c r="B75" s="4" t="s">
        <v>996</v>
      </c>
      <c r="C75" s="4" t="s">
        <v>997</v>
      </c>
      <c r="D75" s="4" t="s">
        <v>1627</v>
      </c>
      <c r="E75" s="4">
        <v>40</v>
      </c>
      <c r="F75" s="4">
        <v>2</v>
      </c>
      <c r="G75" s="4" t="s">
        <v>11</v>
      </c>
      <c r="H75" s="4" t="s">
        <v>12</v>
      </c>
    </row>
    <row r="76" spans="1:8">
      <c r="A76" s="3" t="s">
        <v>1171</v>
      </c>
      <c r="B76" s="4" t="s">
        <v>1253</v>
      </c>
      <c r="C76" s="4" t="s">
        <v>1254</v>
      </c>
      <c r="D76" s="4" t="s">
        <v>1627</v>
      </c>
      <c r="E76" s="4">
        <v>41</v>
      </c>
      <c r="F76" s="4">
        <v>2</v>
      </c>
      <c r="G76" s="4" t="s">
        <v>11</v>
      </c>
      <c r="H76" s="4" t="s">
        <v>12</v>
      </c>
    </row>
    <row r="77" spans="1:8">
      <c r="A77" s="3" t="s">
        <v>1171</v>
      </c>
      <c r="B77" s="4" t="s">
        <v>1628</v>
      </c>
      <c r="C77" s="4" t="s">
        <v>1629</v>
      </c>
      <c r="D77" s="4" t="s">
        <v>1627</v>
      </c>
      <c r="E77" s="4">
        <v>51</v>
      </c>
      <c r="F77" s="4">
        <v>2</v>
      </c>
      <c r="G77" s="4" t="s">
        <v>11</v>
      </c>
      <c r="H77" s="4" t="s">
        <v>12</v>
      </c>
    </row>
    <row r="78" spans="1:8">
      <c r="A78" s="3" t="s">
        <v>1171</v>
      </c>
      <c r="B78" s="4" t="s">
        <v>1182</v>
      </c>
      <c r="C78" s="4" t="s">
        <v>1183</v>
      </c>
      <c r="D78" s="4" t="s">
        <v>1627</v>
      </c>
      <c r="E78" s="4">
        <v>49</v>
      </c>
      <c r="F78" s="4">
        <v>2</v>
      </c>
      <c r="G78" s="4" t="s">
        <v>11</v>
      </c>
      <c r="H78" s="4" t="s">
        <v>12</v>
      </c>
    </row>
    <row r="79" spans="1:8">
      <c r="A79" s="3" t="s">
        <v>1064</v>
      </c>
      <c r="B79" s="4" t="s">
        <v>1065</v>
      </c>
      <c r="C79" s="4" t="s">
        <v>1066</v>
      </c>
      <c r="D79" s="4" t="s">
        <v>1627</v>
      </c>
      <c r="E79" s="4">
        <v>40</v>
      </c>
      <c r="F79" s="4">
        <v>2</v>
      </c>
      <c r="G79" s="4" t="s">
        <v>11</v>
      </c>
      <c r="H79" s="4" t="s">
        <v>12</v>
      </c>
    </row>
    <row r="80" spans="1:8">
      <c r="A80" s="3" t="s">
        <v>1064</v>
      </c>
      <c r="B80" s="4" t="s">
        <v>1305</v>
      </c>
      <c r="C80" s="4" t="s">
        <v>1306</v>
      </c>
      <c r="D80" s="4" t="s">
        <v>1627</v>
      </c>
      <c r="E80" s="4">
        <v>50</v>
      </c>
      <c r="F80" s="4">
        <v>2</v>
      </c>
      <c r="G80" s="4" t="s">
        <v>11</v>
      </c>
      <c r="H80" s="4" t="s">
        <v>12</v>
      </c>
    </row>
    <row r="81" spans="1:8">
      <c r="A81" s="3" t="s">
        <v>1064</v>
      </c>
      <c r="B81" s="4" t="s">
        <v>1079</v>
      </c>
      <c r="C81" s="4" t="s">
        <v>1080</v>
      </c>
      <c r="D81" s="4" t="s">
        <v>1627</v>
      </c>
      <c r="E81" s="4">
        <v>49</v>
      </c>
      <c r="F81" s="4">
        <v>2</v>
      </c>
      <c r="G81" s="4" t="s">
        <v>11</v>
      </c>
      <c r="H81" s="4" t="s">
        <v>12</v>
      </c>
    </row>
    <row r="82" spans="1:8">
      <c r="A82" s="3" t="s">
        <v>1020</v>
      </c>
      <c r="B82" s="4" t="s">
        <v>1630</v>
      </c>
      <c r="C82" s="4" t="s">
        <v>1631</v>
      </c>
      <c r="D82" s="4" t="s">
        <v>1627</v>
      </c>
      <c r="E82" s="4">
        <v>54</v>
      </c>
      <c r="F82" s="4">
        <v>2</v>
      </c>
      <c r="G82" s="4" t="s">
        <v>11</v>
      </c>
      <c r="H82" s="4" t="s">
        <v>12</v>
      </c>
    </row>
    <row r="83" spans="1:8">
      <c r="A83" s="3" t="s">
        <v>1020</v>
      </c>
      <c r="B83" s="4" t="s">
        <v>1263</v>
      </c>
      <c r="C83" s="4" t="s">
        <v>1264</v>
      </c>
      <c r="D83" s="4" t="s">
        <v>1627</v>
      </c>
      <c r="E83" s="4">
        <v>41</v>
      </c>
      <c r="F83" s="4">
        <v>2</v>
      </c>
      <c r="G83" s="4" t="s">
        <v>11</v>
      </c>
      <c r="H83" s="4" t="s">
        <v>12</v>
      </c>
    </row>
    <row r="84" spans="1:8">
      <c r="A84" s="3" t="s">
        <v>1217</v>
      </c>
      <c r="B84" s="4" t="s">
        <v>1632</v>
      </c>
      <c r="C84" s="4" t="s">
        <v>1633</v>
      </c>
      <c r="D84" s="4" t="s">
        <v>1627</v>
      </c>
      <c r="E84" s="4">
        <v>48</v>
      </c>
      <c r="F84" s="4">
        <v>2</v>
      </c>
      <c r="G84" s="4" t="s">
        <v>11</v>
      </c>
      <c r="H84" s="4" t="s">
        <v>12</v>
      </c>
    </row>
    <row r="85" spans="1:8">
      <c r="A85" s="3" t="s">
        <v>1191</v>
      </c>
      <c r="B85" s="4" t="s">
        <v>1501</v>
      </c>
      <c r="C85" s="4" t="s">
        <v>1502</v>
      </c>
      <c r="D85" s="4" t="s">
        <v>1627</v>
      </c>
      <c r="E85" s="4">
        <v>54</v>
      </c>
      <c r="F85" s="4">
        <v>2</v>
      </c>
      <c r="G85" s="4" t="s">
        <v>11</v>
      </c>
      <c r="H85" s="4" t="s">
        <v>12</v>
      </c>
    </row>
    <row r="86" spans="1:8">
      <c r="A86" s="3" t="s">
        <v>1191</v>
      </c>
      <c r="B86" s="4" t="s">
        <v>1319</v>
      </c>
      <c r="C86" s="4" t="s">
        <v>1320</v>
      </c>
      <c r="D86" s="4" t="s">
        <v>1627</v>
      </c>
      <c r="E86" s="4">
        <v>55</v>
      </c>
      <c r="F86" s="4">
        <v>2</v>
      </c>
      <c r="G86" s="4" t="s">
        <v>11</v>
      </c>
      <c r="H86" s="4" t="s">
        <v>12</v>
      </c>
    </row>
    <row r="87" spans="1:8">
      <c r="A87" s="3" t="s">
        <v>1191</v>
      </c>
      <c r="B87" s="4" t="s">
        <v>1323</v>
      </c>
      <c r="C87" s="4" t="s">
        <v>1324</v>
      </c>
      <c r="D87" s="4" t="s">
        <v>1627</v>
      </c>
      <c r="E87" s="4">
        <v>57</v>
      </c>
      <c r="F87" s="4">
        <v>2</v>
      </c>
      <c r="G87" s="4" t="s">
        <v>11</v>
      </c>
      <c r="H87" s="4" t="s">
        <v>12</v>
      </c>
    </row>
    <row r="88" spans="1:8">
      <c r="A88" s="3" t="s">
        <v>1191</v>
      </c>
      <c r="B88" s="4" t="s">
        <v>1634</v>
      </c>
      <c r="C88" s="4" t="s">
        <v>1635</v>
      </c>
      <c r="D88" s="4" t="s">
        <v>1627</v>
      </c>
      <c r="E88" s="4">
        <v>53</v>
      </c>
      <c r="F88" s="4">
        <v>2</v>
      </c>
      <c r="G88" s="4" t="s">
        <v>11</v>
      </c>
      <c r="H88" s="4" t="s">
        <v>12</v>
      </c>
    </row>
    <row r="89" spans="1:8">
      <c r="A89" s="3" t="s">
        <v>1191</v>
      </c>
      <c r="B89" s="4" t="s">
        <v>1192</v>
      </c>
      <c r="C89" s="4" t="s">
        <v>1193</v>
      </c>
      <c r="D89" s="4" t="s">
        <v>1627</v>
      </c>
      <c r="E89" s="4">
        <v>51</v>
      </c>
      <c r="F89" s="4">
        <v>2</v>
      </c>
      <c r="G89" s="4" t="s">
        <v>11</v>
      </c>
      <c r="H89" s="4" t="s">
        <v>12</v>
      </c>
    </row>
    <row r="90" spans="1:8">
      <c r="A90" s="3" t="s">
        <v>1191</v>
      </c>
      <c r="B90" s="4" t="s">
        <v>1327</v>
      </c>
      <c r="C90" s="4" t="s">
        <v>1328</v>
      </c>
      <c r="D90" s="4" t="s">
        <v>1627</v>
      </c>
      <c r="E90" s="4">
        <v>58</v>
      </c>
      <c r="F90" s="4">
        <v>2</v>
      </c>
      <c r="G90" s="4" t="s">
        <v>11</v>
      </c>
      <c r="H90" s="4" t="s">
        <v>12</v>
      </c>
    </row>
    <row r="91" spans="1:8">
      <c r="A91" s="3" t="s">
        <v>1191</v>
      </c>
      <c r="B91" s="4" t="s">
        <v>1333</v>
      </c>
      <c r="C91" s="4" t="s">
        <v>1334</v>
      </c>
      <c r="D91" s="4" t="s">
        <v>1627</v>
      </c>
      <c r="E91" s="4">
        <v>57</v>
      </c>
      <c r="F91" s="4">
        <v>2</v>
      </c>
      <c r="G91" s="4" t="s">
        <v>11</v>
      </c>
      <c r="H91" s="4" t="s">
        <v>12</v>
      </c>
    </row>
    <row r="92" spans="1:8">
      <c r="A92" s="3" t="s">
        <v>1191</v>
      </c>
      <c r="B92" s="4" t="s">
        <v>1503</v>
      </c>
      <c r="C92" s="4" t="s">
        <v>1504</v>
      </c>
      <c r="D92" s="4" t="s">
        <v>1627</v>
      </c>
      <c r="E92" s="4">
        <v>56</v>
      </c>
      <c r="F92" s="4">
        <v>2</v>
      </c>
      <c r="G92" s="4" t="s">
        <v>11</v>
      </c>
      <c r="H92" s="4" t="s">
        <v>12</v>
      </c>
    </row>
    <row r="93" spans="1:8">
      <c r="A93" s="3" t="s">
        <v>1191</v>
      </c>
      <c r="B93" s="4" t="s">
        <v>1636</v>
      </c>
      <c r="C93" s="4" t="s">
        <v>1637</v>
      </c>
      <c r="D93" s="4" t="s">
        <v>1627</v>
      </c>
      <c r="E93" s="4">
        <v>51</v>
      </c>
      <c r="F93" s="4">
        <v>2</v>
      </c>
      <c r="G93" s="4" t="s">
        <v>11</v>
      </c>
      <c r="H93" s="4" t="s">
        <v>12</v>
      </c>
    </row>
    <row r="94" spans="1:8">
      <c r="A94" s="3" t="s">
        <v>1191</v>
      </c>
      <c r="B94" s="4" t="s">
        <v>1196</v>
      </c>
      <c r="C94" s="4" t="s">
        <v>1197</v>
      </c>
      <c r="D94" s="4" t="s">
        <v>1627</v>
      </c>
      <c r="E94" s="4">
        <v>50</v>
      </c>
      <c r="F94" s="4">
        <v>2</v>
      </c>
      <c r="G94" s="4" t="s">
        <v>11</v>
      </c>
      <c r="H94" s="4" t="s">
        <v>12</v>
      </c>
    </row>
    <row r="95" spans="1:8">
      <c r="A95" s="3" t="s">
        <v>1191</v>
      </c>
      <c r="B95" s="4" t="s">
        <v>1335</v>
      </c>
      <c r="C95" s="4" t="s">
        <v>1336</v>
      </c>
      <c r="D95" s="4" t="s">
        <v>1627</v>
      </c>
      <c r="E95" s="4">
        <v>53</v>
      </c>
      <c r="F95" s="4">
        <v>2</v>
      </c>
      <c r="G95" s="4" t="s">
        <v>11</v>
      </c>
      <c r="H95" s="4" t="s">
        <v>12</v>
      </c>
    </row>
    <row r="96" spans="1:8">
      <c r="A96" s="3" t="s">
        <v>1191</v>
      </c>
      <c r="B96" s="4" t="s">
        <v>1505</v>
      </c>
      <c r="C96" s="4" t="s">
        <v>1506</v>
      </c>
      <c r="D96" s="4" t="s">
        <v>1627</v>
      </c>
      <c r="E96" s="4">
        <v>55</v>
      </c>
      <c r="F96" s="4">
        <v>2</v>
      </c>
      <c r="G96" s="4" t="s">
        <v>11</v>
      </c>
      <c r="H96" s="4" t="s">
        <v>12</v>
      </c>
    </row>
    <row r="97" spans="1:8">
      <c r="A97" s="3" t="s">
        <v>1191</v>
      </c>
      <c r="B97" s="4" t="s">
        <v>1198</v>
      </c>
      <c r="C97" s="4" t="s">
        <v>1199</v>
      </c>
      <c r="D97" s="4" t="s">
        <v>1627</v>
      </c>
      <c r="E97" s="4">
        <v>56</v>
      </c>
      <c r="F97" s="4">
        <v>2</v>
      </c>
      <c r="G97" s="4" t="s">
        <v>11</v>
      </c>
      <c r="H97" s="4" t="s">
        <v>12</v>
      </c>
    </row>
    <row r="98" spans="1:8">
      <c r="A98" s="3" t="s">
        <v>1231</v>
      </c>
      <c r="B98" s="4" t="s">
        <v>1426</v>
      </c>
      <c r="C98" s="4" t="s">
        <v>1427</v>
      </c>
      <c r="D98" s="4" t="s">
        <v>1627</v>
      </c>
      <c r="E98" s="4">
        <v>50</v>
      </c>
      <c r="F98" s="4">
        <v>2</v>
      </c>
      <c r="G98" s="4" t="s">
        <v>11</v>
      </c>
      <c r="H98" s="4" t="s">
        <v>12</v>
      </c>
    </row>
    <row r="99" spans="1:8">
      <c r="A99" s="3" t="s">
        <v>1102</v>
      </c>
      <c r="B99" s="4" t="s">
        <v>1105</v>
      </c>
      <c r="C99" s="4" t="s">
        <v>1106</v>
      </c>
      <c r="D99" s="4" t="s">
        <v>1627</v>
      </c>
      <c r="E99" s="4">
        <v>53</v>
      </c>
      <c r="F99" s="4">
        <v>2</v>
      </c>
      <c r="G99" s="4" t="s">
        <v>11</v>
      </c>
      <c r="H99" s="4" t="s">
        <v>12</v>
      </c>
    </row>
    <row r="100" spans="1:8">
      <c r="A100" s="3" t="s">
        <v>1102</v>
      </c>
      <c r="B100" s="4" t="s">
        <v>1111</v>
      </c>
      <c r="C100" s="4" t="s">
        <v>1112</v>
      </c>
      <c r="D100" s="4" t="s">
        <v>1627</v>
      </c>
      <c r="E100" s="4">
        <v>58</v>
      </c>
      <c r="F100" s="4">
        <v>2</v>
      </c>
      <c r="G100" s="4" t="s">
        <v>11</v>
      </c>
      <c r="H100" s="4" t="s">
        <v>12</v>
      </c>
    </row>
    <row r="101" spans="1:8">
      <c r="A101" s="3" t="s">
        <v>1102</v>
      </c>
      <c r="B101" s="4" t="s">
        <v>1445</v>
      </c>
      <c r="C101" s="4" t="s">
        <v>1446</v>
      </c>
      <c r="D101" s="4" t="s">
        <v>1627</v>
      </c>
      <c r="E101" s="4">
        <v>49</v>
      </c>
      <c r="F101" s="4">
        <v>2</v>
      </c>
      <c r="G101" s="4" t="s">
        <v>11</v>
      </c>
      <c r="H101" s="4" t="s">
        <v>12</v>
      </c>
    </row>
    <row r="102" spans="1:8">
      <c r="A102" s="3" t="s">
        <v>1102</v>
      </c>
      <c r="B102" s="4" t="s">
        <v>1638</v>
      </c>
      <c r="C102" s="4" t="s">
        <v>1639</v>
      </c>
      <c r="D102" s="4" t="s">
        <v>1627</v>
      </c>
      <c r="E102" s="4">
        <v>54</v>
      </c>
      <c r="F102" s="4">
        <v>2</v>
      </c>
      <c r="G102" s="4" t="s">
        <v>11</v>
      </c>
      <c r="H102" s="4" t="s">
        <v>12</v>
      </c>
    </row>
    <row r="103" spans="1:8">
      <c r="A103" s="3" t="s">
        <v>1102</v>
      </c>
      <c r="B103" s="4" t="s">
        <v>1113</v>
      </c>
      <c r="C103" s="4" t="s">
        <v>1114</v>
      </c>
      <c r="D103" s="4" t="s">
        <v>1627</v>
      </c>
      <c r="E103" s="4">
        <v>56</v>
      </c>
      <c r="F103" s="4">
        <v>2</v>
      </c>
      <c r="G103" s="4" t="s">
        <v>11</v>
      </c>
      <c r="H103" s="4" t="s">
        <v>12</v>
      </c>
    </row>
    <row r="104" spans="1:8">
      <c r="A104" s="3" t="s">
        <v>1102</v>
      </c>
      <c r="B104" s="4" t="s">
        <v>1119</v>
      </c>
      <c r="C104" s="4" t="s">
        <v>1120</v>
      </c>
      <c r="D104" s="4" t="s">
        <v>1627</v>
      </c>
      <c r="E104" s="4">
        <v>59</v>
      </c>
      <c r="F104" s="4">
        <v>2</v>
      </c>
      <c r="G104" s="4" t="s">
        <v>11</v>
      </c>
      <c r="H104" s="4" t="s">
        <v>12</v>
      </c>
    </row>
    <row r="105" spans="1:8">
      <c r="A105" s="3" t="s">
        <v>1102</v>
      </c>
      <c r="B105" s="4" t="s">
        <v>1123</v>
      </c>
      <c r="C105" s="4" t="s">
        <v>1124</v>
      </c>
      <c r="D105" s="4" t="s">
        <v>1627</v>
      </c>
      <c r="E105" s="4">
        <v>57</v>
      </c>
      <c r="F105" s="4">
        <v>2</v>
      </c>
      <c r="G105" s="4" t="s">
        <v>11</v>
      </c>
      <c r="H105" s="4" t="s">
        <v>12</v>
      </c>
    </row>
    <row r="106" spans="1:8">
      <c r="A106" s="3" t="s">
        <v>1102</v>
      </c>
      <c r="B106" s="4" t="s">
        <v>1129</v>
      </c>
      <c r="C106" s="4" t="s">
        <v>1130</v>
      </c>
      <c r="D106" s="4" t="s">
        <v>1627</v>
      </c>
      <c r="E106" s="4">
        <v>53</v>
      </c>
      <c r="F106" s="4">
        <v>2</v>
      </c>
      <c r="G106" s="4" t="s">
        <v>11</v>
      </c>
      <c r="H106" s="4" t="s">
        <v>12</v>
      </c>
    </row>
    <row r="107" spans="1:8">
      <c r="A107" s="3" t="s">
        <v>1102</v>
      </c>
      <c r="B107" s="4" t="s">
        <v>1131</v>
      </c>
      <c r="C107" s="4" t="s">
        <v>1132</v>
      </c>
      <c r="D107" s="4" t="s">
        <v>1627</v>
      </c>
      <c r="E107" s="4">
        <v>59</v>
      </c>
      <c r="F107" s="4">
        <v>2</v>
      </c>
      <c r="G107" s="4" t="s">
        <v>11</v>
      </c>
      <c r="H107" s="4" t="s">
        <v>12</v>
      </c>
    </row>
    <row r="108" spans="1:8">
      <c r="A108" s="3" t="s">
        <v>968</v>
      </c>
      <c r="B108" s="4" t="s">
        <v>1271</v>
      </c>
      <c r="C108" s="4" t="s">
        <v>1272</v>
      </c>
      <c r="D108" s="4" t="s">
        <v>636</v>
      </c>
      <c r="E108" s="4">
        <v>43</v>
      </c>
      <c r="F108" s="4">
        <v>2</v>
      </c>
      <c r="G108" s="4" t="s">
        <v>11</v>
      </c>
      <c r="H108" s="4" t="s">
        <v>12</v>
      </c>
    </row>
    <row r="109" spans="1:8">
      <c r="A109" s="3" t="s">
        <v>968</v>
      </c>
      <c r="B109" s="4" t="s">
        <v>1273</v>
      </c>
      <c r="C109" s="4" t="s">
        <v>1274</v>
      </c>
      <c r="D109" s="4" t="s">
        <v>636</v>
      </c>
      <c r="E109" s="4">
        <v>40</v>
      </c>
      <c r="F109" s="4">
        <v>2</v>
      </c>
      <c r="G109" s="4" t="s">
        <v>11</v>
      </c>
      <c r="H109" s="4" t="s">
        <v>12</v>
      </c>
    </row>
    <row r="110" spans="1:8">
      <c r="A110" s="3" t="s">
        <v>968</v>
      </c>
      <c r="B110" s="4" t="s">
        <v>1533</v>
      </c>
      <c r="C110" s="4" t="s">
        <v>1534</v>
      </c>
      <c r="D110" s="4" t="s">
        <v>636</v>
      </c>
      <c r="E110" s="4">
        <v>50</v>
      </c>
      <c r="F110" s="4">
        <v>2</v>
      </c>
      <c r="G110" s="4" t="s">
        <v>11</v>
      </c>
      <c r="H110" s="4" t="s">
        <v>12</v>
      </c>
    </row>
    <row r="111" spans="1:8">
      <c r="A111" s="3" t="s">
        <v>968</v>
      </c>
      <c r="B111" s="4" t="s">
        <v>1535</v>
      </c>
      <c r="C111" s="4" t="s">
        <v>1536</v>
      </c>
      <c r="D111" s="4" t="s">
        <v>636</v>
      </c>
      <c r="E111" s="4">
        <v>46</v>
      </c>
      <c r="F111" s="4">
        <v>2</v>
      </c>
      <c r="G111" s="4" t="s">
        <v>11</v>
      </c>
      <c r="H111" s="4" t="s">
        <v>12</v>
      </c>
    </row>
    <row r="112" spans="1:8">
      <c r="A112" s="3" t="s">
        <v>968</v>
      </c>
      <c r="B112" s="4" t="s">
        <v>1275</v>
      </c>
      <c r="C112" s="4" t="s">
        <v>1276</v>
      </c>
      <c r="D112" s="4" t="s">
        <v>636</v>
      </c>
      <c r="E112" s="4">
        <v>41</v>
      </c>
      <c r="F112" s="4">
        <v>2</v>
      </c>
      <c r="G112" s="4" t="s">
        <v>11</v>
      </c>
      <c r="H112" s="4" t="s">
        <v>12</v>
      </c>
    </row>
    <row r="113" spans="1:8">
      <c r="A113" s="3" t="s">
        <v>968</v>
      </c>
      <c r="B113" s="4" t="s">
        <v>1277</v>
      </c>
      <c r="C113" s="4" t="s">
        <v>1278</v>
      </c>
      <c r="D113" s="4" t="s">
        <v>636</v>
      </c>
      <c r="E113" s="4">
        <v>40</v>
      </c>
      <c r="F113" s="4">
        <v>2</v>
      </c>
      <c r="G113" s="4" t="s">
        <v>11</v>
      </c>
      <c r="H113" s="4" t="s">
        <v>12</v>
      </c>
    </row>
    <row r="114" spans="1:8">
      <c r="A114" s="3" t="s">
        <v>968</v>
      </c>
      <c r="B114" s="4" t="s">
        <v>1537</v>
      </c>
      <c r="C114" s="4" t="s">
        <v>1538</v>
      </c>
      <c r="D114" s="4" t="s">
        <v>636</v>
      </c>
      <c r="E114" s="4">
        <v>55</v>
      </c>
      <c r="F114" s="4">
        <v>2</v>
      </c>
      <c r="G114" s="4" t="s">
        <v>11</v>
      </c>
      <c r="H114" s="4" t="s">
        <v>12</v>
      </c>
    </row>
    <row r="115" spans="1:8">
      <c r="A115" s="3" t="s">
        <v>968</v>
      </c>
      <c r="B115" s="4" t="s">
        <v>1279</v>
      </c>
      <c r="C115" s="4" t="s">
        <v>1280</v>
      </c>
      <c r="D115" s="4" t="s">
        <v>636</v>
      </c>
      <c r="E115" s="4">
        <v>42</v>
      </c>
      <c r="F115" s="4">
        <v>2</v>
      </c>
      <c r="G115" s="4" t="s">
        <v>11</v>
      </c>
      <c r="H115" s="4" t="s">
        <v>12</v>
      </c>
    </row>
    <row r="116" spans="1:8">
      <c r="A116" s="3" t="s">
        <v>968</v>
      </c>
      <c r="B116" s="4" t="s">
        <v>1539</v>
      </c>
      <c r="C116" s="4" t="s">
        <v>1540</v>
      </c>
      <c r="D116" s="4" t="s">
        <v>636</v>
      </c>
      <c r="E116" s="4">
        <v>40</v>
      </c>
      <c r="F116" s="4">
        <v>2</v>
      </c>
      <c r="G116" s="4" t="s">
        <v>11</v>
      </c>
      <c r="H116" s="4" t="s">
        <v>12</v>
      </c>
    </row>
    <row r="117" spans="1:8">
      <c r="A117" s="3" t="s">
        <v>971</v>
      </c>
      <c r="B117" s="4" t="s">
        <v>1281</v>
      </c>
      <c r="C117" s="4" t="s">
        <v>1282</v>
      </c>
      <c r="D117" s="4" t="s">
        <v>636</v>
      </c>
      <c r="E117" s="4">
        <v>40</v>
      </c>
      <c r="F117" s="4">
        <v>4</v>
      </c>
      <c r="G117" s="4" t="s">
        <v>11</v>
      </c>
      <c r="H117" s="4" t="s">
        <v>12</v>
      </c>
    </row>
    <row r="118" spans="1:8">
      <c r="A118" s="3" t="s">
        <v>971</v>
      </c>
      <c r="B118" s="4" t="s">
        <v>1555</v>
      </c>
      <c r="C118" s="4" t="s">
        <v>1556</v>
      </c>
      <c r="D118" s="4" t="s">
        <v>636</v>
      </c>
      <c r="E118" s="4">
        <v>40</v>
      </c>
      <c r="F118" s="4">
        <v>4</v>
      </c>
      <c r="G118" s="4" t="s">
        <v>11</v>
      </c>
      <c r="H118" s="4" t="s">
        <v>12</v>
      </c>
    </row>
    <row r="119" spans="1:8">
      <c r="A119" s="3" t="s">
        <v>971</v>
      </c>
      <c r="B119" s="4" t="s">
        <v>1285</v>
      </c>
      <c r="C119" s="4" t="s">
        <v>1286</v>
      </c>
      <c r="D119" s="4" t="s">
        <v>636</v>
      </c>
      <c r="E119" s="4">
        <v>42</v>
      </c>
      <c r="F119" s="4">
        <v>4</v>
      </c>
      <c r="G119" s="4" t="s">
        <v>11</v>
      </c>
      <c r="H119" s="4" t="s">
        <v>12</v>
      </c>
    </row>
    <row r="120" spans="1:8">
      <c r="A120" s="3" t="s">
        <v>971</v>
      </c>
      <c r="B120" s="4" t="s">
        <v>984</v>
      </c>
      <c r="C120" s="4" t="s">
        <v>985</v>
      </c>
      <c r="D120" s="4" t="s">
        <v>636</v>
      </c>
      <c r="E120" s="4">
        <v>52</v>
      </c>
      <c r="F120" s="4">
        <v>4</v>
      </c>
      <c r="G120" s="4" t="s">
        <v>11</v>
      </c>
      <c r="H120" s="4" t="s">
        <v>12</v>
      </c>
    </row>
    <row r="121" spans="1:8">
      <c r="A121" s="3" t="s">
        <v>971</v>
      </c>
      <c r="B121" s="4" t="s">
        <v>986</v>
      </c>
      <c r="C121" s="4" t="s">
        <v>987</v>
      </c>
      <c r="D121" s="4" t="s">
        <v>636</v>
      </c>
      <c r="E121" s="4">
        <v>56</v>
      </c>
      <c r="F121" s="4">
        <v>4</v>
      </c>
      <c r="G121" s="4" t="s">
        <v>11</v>
      </c>
      <c r="H121" s="4" t="s">
        <v>12</v>
      </c>
    </row>
    <row r="122" spans="1:8">
      <c r="A122" s="3" t="s">
        <v>971</v>
      </c>
      <c r="B122" s="4" t="s">
        <v>1557</v>
      </c>
      <c r="C122" s="4" t="s">
        <v>1558</v>
      </c>
      <c r="D122" s="4" t="s">
        <v>636</v>
      </c>
      <c r="E122" s="4">
        <v>52</v>
      </c>
      <c r="F122" s="4">
        <v>4</v>
      </c>
      <c r="G122" s="4" t="s">
        <v>11</v>
      </c>
      <c r="H122" s="4" t="s">
        <v>12</v>
      </c>
    </row>
    <row r="123" spans="1:8">
      <c r="A123" s="3" t="s">
        <v>971</v>
      </c>
      <c r="B123" s="4" t="s">
        <v>992</v>
      </c>
      <c r="C123" s="4" t="s">
        <v>993</v>
      </c>
      <c r="D123" s="4" t="s">
        <v>636</v>
      </c>
      <c r="E123" s="4">
        <v>45</v>
      </c>
      <c r="F123" s="4">
        <v>4</v>
      </c>
      <c r="G123" s="4" t="s">
        <v>11</v>
      </c>
      <c r="H123" s="4" t="s">
        <v>12</v>
      </c>
    </row>
    <row r="124" spans="1:8">
      <c r="A124" s="3" t="s">
        <v>971</v>
      </c>
      <c r="B124" s="4" t="s">
        <v>996</v>
      </c>
      <c r="C124" s="4" t="s">
        <v>997</v>
      </c>
      <c r="D124" s="4" t="s">
        <v>636</v>
      </c>
      <c r="E124" s="4">
        <v>45</v>
      </c>
      <c r="F124" s="4">
        <v>4</v>
      </c>
      <c r="G124" s="4" t="s">
        <v>11</v>
      </c>
      <c r="H124" s="4" t="s">
        <v>12</v>
      </c>
    </row>
    <row r="125" spans="1:8">
      <c r="A125" s="3" t="s">
        <v>1171</v>
      </c>
      <c r="B125" s="4" t="s">
        <v>1475</v>
      </c>
      <c r="C125" s="4" t="s">
        <v>1476</v>
      </c>
      <c r="D125" s="4" t="s">
        <v>636</v>
      </c>
      <c r="E125" s="4">
        <v>40</v>
      </c>
      <c r="F125" s="4">
        <v>4</v>
      </c>
      <c r="G125" s="4" t="s">
        <v>11</v>
      </c>
      <c r="H125" s="4" t="s">
        <v>12</v>
      </c>
    </row>
    <row r="126" spans="1:8">
      <c r="A126" s="3" t="s">
        <v>1171</v>
      </c>
      <c r="B126" s="4" t="s">
        <v>1247</v>
      </c>
      <c r="C126" s="4" t="s">
        <v>1248</v>
      </c>
      <c r="D126" s="4" t="s">
        <v>636</v>
      </c>
      <c r="E126" s="4">
        <v>40</v>
      </c>
      <c r="F126" s="4">
        <v>4</v>
      </c>
      <c r="G126" s="4" t="s">
        <v>11</v>
      </c>
      <c r="H126" s="4" t="s">
        <v>12</v>
      </c>
    </row>
    <row r="127" spans="1:8">
      <c r="A127" s="3" t="s">
        <v>1171</v>
      </c>
      <c r="B127" s="4" t="s">
        <v>1477</v>
      </c>
      <c r="C127" s="4" t="s">
        <v>1478</v>
      </c>
      <c r="D127" s="4" t="s">
        <v>636</v>
      </c>
      <c r="E127" s="4">
        <v>44</v>
      </c>
      <c r="F127" s="4">
        <v>4</v>
      </c>
      <c r="G127" s="4" t="s">
        <v>11</v>
      </c>
      <c r="H127" s="4" t="s">
        <v>12</v>
      </c>
    </row>
    <row r="128" spans="1:8">
      <c r="A128" s="3" t="s">
        <v>1171</v>
      </c>
      <c r="B128" s="4" t="s">
        <v>1479</v>
      </c>
      <c r="C128" s="4" t="s">
        <v>1480</v>
      </c>
      <c r="D128" s="4" t="s">
        <v>636</v>
      </c>
      <c r="E128" s="4">
        <v>40</v>
      </c>
      <c r="F128" s="4">
        <v>4</v>
      </c>
      <c r="G128" s="4" t="s">
        <v>11</v>
      </c>
      <c r="H128" s="4" t="s">
        <v>12</v>
      </c>
    </row>
    <row r="129" spans="1:8">
      <c r="A129" s="3" t="s">
        <v>1171</v>
      </c>
      <c r="B129" s="4" t="s">
        <v>1251</v>
      </c>
      <c r="C129" s="4" t="s">
        <v>1252</v>
      </c>
      <c r="D129" s="4" t="s">
        <v>636</v>
      </c>
      <c r="E129" s="4">
        <v>40</v>
      </c>
      <c r="F129" s="4">
        <v>4</v>
      </c>
      <c r="G129" s="4" t="s">
        <v>11</v>
      </c>
      <c r="H129" s="4" t="s">
        <v>12</v>
      </c>
    </row>
    <row r="130" spans="1:8">
      <c r="A130" s="3" t="s">
        <v>1171</v>
      </c>
      <c r="B130" s="4" t="s">
        <v>1180</v>
      </c>
      <c r="C130" s="4" t="s">
        <v>1181</v>
      </c>
      <c r="D130" s="4" t="s">
        <v>636</v>
      </c>
      <c r="E130" s="4">
        <v>40</v>
      </c>
      <c r="F130" s="4">
        <v>4</v>
      </c>
      <c r="G130" s="4" t="s">
        <v>11</v>
      </c>
      <c r="H130" s="4" t="s">
        <v>12</v>
      </c>
    </row>
    <row r="131" spans="1:8">
      <c r="A131" s="3" t="s">
        <v>1171</v>
      </c>
      <c r="B131" s="4" t="s">
        <v>1253</v>
      </c>
      <c r="C131" s="4" t="s">
        <v>1254</v>
      </c>
      <c r="D131" s="4" t="s">
        <v>636</v>
      </c>
      <c r="E131" s="4">
        <v>40</v>
      </c>
      <c r="F131" s="4">
        <v>4</v>
      </c>
      <c r="G131" s="4" t="s">
        <v>11</v>
      </c>
      <c r="H131" s="4" t="s">
        <v>12</v>
      </c>
    </row>
    <row r="132" spans="1:8">
      <c r="A132" s="3" t="s">
        <v>1171</v>
      </c>
      <c r="B132" s="4" t="s">
        <v>1481</v>
      </c>
      <c r="C132" s="4" t="s">
        <v>1482</v>
      </c>
      <c r="D132" s="4" t="s">
        <v>636</v>
      </c>
      <c r="E132" s="4">
        <v>52</v>
      </c>
      <c r="F132" s="4">
        <v>4</v>
      </c>
      <c r="G132" s="4" t="s">
        <v>11</v>
      </c>
      <c r="H132" s="4" t="s">
        <v>12</v>
      </c>
    </row>
    <row r="133" spans="1:8">
      <c r="A133" s="3" t="s">
        <v>1171</v>
      </c>
      <c r="B133" s="4" t="s">
        <v>1182</v>
      </c>
      <c r="C133" s="4" t="s">
        <v>1183</v>
      </c>
      <c r="D133" s="4" t="s">
        <v>636</v>
      </c>
      <c r="E133" s="4">
        <v>52</v>
      </c>
      <c r="F133" s="4">
        <v>4</v>
      </c>
      <c r="G133" s="4" t="s">
        <v>11</v>
      </c>
      <c r="H133" s="4" t="s">
        <v>12</v>
      </c>
    </row>
    <row r="134" spans="1:8">
      <c r="A134" s="3" t="s">
        <v>1064</v>
      </c>
      <c r="B134" s="4" t="s">
        <v>1065</v>
      </c>
      <c r="C134" s="4" t="s">
        <v>1066</v>
      </c>
      <c r="D134" s="4" t="s">
        <v>636</v>
      </c>
      <c r="E134" s="4">
        <v>48</v>
      </c>
      <c r="F134" s="4">
        <v>4</v>
      </c>
      <c r="G134" s="4" t="s">
        <v>11</v>
      </c>
      <c r="H134" s="4" t="s">
        <v>12</v>
      </c>
    </row>
    <row r="135" spans="1:8">
      <c r="A135" s="3" t="s">
        <v>1064</v>
      </c>
      <c r="B135" s="4" t="s">
        <v>1305</v>
      </c>
      <c r="C135" s="4" t="s">
        <v>1306</v>
      </c>
      <c r="D135" s="4" t="s">
        <v>636</v>
      </c>
      <c r="E135" s="4">
        <v>51</v>
      </c>
      <c r="F135" s="4">
        <v>4</v>
      </c>
      <c r="G135" s="4" t="s">
        <v>11</v>
      </c>
      <c r="H135" s="4" t="s">
        <v>12</v>
      </c>
    </row>
    <row r="136" spans="1:8">
      <c r="A136" s="3" t="s">
        <v>1064</v>
      </c>
      <c r="B136" s="4" t="s">
        <v>1507</v>
      </c>
      <c r="C136" s="4" t="s">
        <v>1508</v>
      </c>
      <c r="D136" s="4" t="s">
        <v>636</v>
      </c>
      <c r="E136" s="4">
        <v>50</v>
      </c>
      <c r="F136" s="4">
        <v>4</v>
      </c>
      <c r="G136" s="4" t="s">
        <v>11</v>
      </c>
      <c r="H136" s="4" t="s">
        <v>12</v>
      </c>
    </row>
    <row r="137" spans="1:8">
      <c r="A137" s="3" t="s">
        <v>1064</v>
      </c>
      <c r="B137" s="4" t="s">
        <v>1509</v>
      </c>
      <c r="C137" s="4" t="s">
        <v>1510</v>
      </c>
      <c r="D137" s="4" t="s">
        <v>636</v>
      </c>
      <c r="E137" s="4">
        <v>45</v>
      </c>
      <c r="F137" s="4">
        <v>4</v>
      </c>
      <c r="G137" s="4" t="s">
        <v>11</v>
      </c>
      <c r="H137" s="4" t="s">
        <v>12</v>
      </c>
    </row>
    <row r="138" spans="1:8">
      <c r="A138" s="3" t="s">
        <v>1064</v>
      </c>
      <c r="B138" s="4" t="s">
        <v>1307</v>
      </c>
      <c r="C138" s="4" t="s">
        <v>1308</v>
      </c>
      <c r="D138" s="4" t="s">
        <v>636</v>
      </c>
      <c r="E138" s="4">
        <v>52</v>
      </c>
      <c r="F138" s="4">
        <v>4</v>
      </c>
      <c r="G138" s="4" t="s">
        <v>11</v>
      </c>
      <c r="H138" s="4" t="s">
        <v>12</v>
      </c>
    </row>
    <row r="139" spans="1:8">
      <c r="A139" s="3" t="s">
        <v>1064</v>
      </c>
      <c r="B139" s="4" t="s">
        <v>1309</v>
      </c>
      <c r="C139" s="4" t="s">
        <v>1310</v>
      </c>
      <c r="D139" s="4" t="s">
        <v>636</v>
      </c>
      <c r="E139" s="4">
        <v>49</v>
      </c>
      <c r="F139" s="4">
        <v>4</v>
      </c>
      <c r="G139" s="4" t="s">
        <v>11</v>
      </c>
      <c r="H139" s="4" t="s">
        <v>12</v>
      </c>
    </row>
    <row r="140" spans="1:8">
      <c r="A140" s="3" t="s">
        <v>1064</v>
      </c>
      <c r="B140" s="4" t="s">
        <v>1069</v>
      </c>
      <c r="C140" s="4" t="s">
        <v>1070</v>
      </c>
      <c r="D140" s="4" t="s">
        <v>636</v>
      </c>
      <c r="E140" s="4">
        <v>55</v>
      </c>
      <c r="F140" s="4">
        <v>4</v>
      </c>
      <c r="G140" s="4" t="s">
        <v>11</v>
      </c>
      <c r="H140" s="4" t="s">
        <v>12</v>
      </c>
    </row>
    <row r="141" spans="1:8">
      <c r="A141" s="3" t="s">
        <v>1064</v>
      </c>
      <c r="B141" s="4" t="s">
        <v>1071</v>
      </c>
      <c r="C141" s="4" t="s">
        <v>1072</v>
      </c>
      <c r="D141" s="4" t="s">
        <v>636</v>
      </c>
      <c r="E141" s="4">
        <v>51</v>
      </c>
      <c r="F141" s="4">
        <v>4</v>
      </c>
      <c r="G141" s="4" t="s">
        <v>11</v>
      </c>
      <c r="H141" s="4" t="s">
        <v>12</v>
      </c>
    </row>
    <row r="142" spans="1:8">
      <c r="A142" s="3" t="s">
        <v>1064</v>
      </c>
      <c r="B142" s="4" t="s">
        <v>1511</v>
      </c>
      <c r="C142" s="4" t="s">
        <v>1512</v>
      </c>
      <c r="D142" s="4" t="s">
        <v>636</v>
      </c>
      <c r="E142" s="4">
        <v>46</v>
      </c>
      <c r="F142" s="4">
        <v>4</v>
      </c>
      <c r="G142" s="4" t="s">
        <v>11</v>
      </c>
      <c r="H142" s="4" t="s">
        <v>12</v>
      </c>
    </row>
    <row r="143" spans="1:8">
      <c r="A143" s="3" t="s">
        <v>1064</v>
      </c>
      <c r="B143" s="4" t="s">
        <v>1317</v>
      </c>
      <c r="C143" s="4" t="s">
        <v>1318</v>
      </c>
      <c r="D143" s="4" t="s">
        <v>636</v>
      </c>
      <c r="E143" s="4">
        <v>54</v>
      </c>
      <c r="F143" s="4">
        <v>4</v>
      </c>
      <c r="G143" s="4" t="s">
        <v>11</v>
      </c>
      <c r="H143" s="4" t="s">
        <v>12</v>
      </c>
    </row>
    <row r="144" spans="1:8">
      <c r="A144" s="3" t="s">
        <v>1064</v>
      </c>
      <c r="B144" s="4" t="s">
        <v>1513</v>
      </c>
      <c r="C144" s="4" t="s">
        <v>1514</v>
      </c>
      <c r="D144" s="4" t="s">
        <v>636</v>
      </c>
      <c r="E144" s="4">
        <v>46</v>
      </c>
      <c r="F144" s="4">
        <v>4</v>
      </c>
      <c r="G144" s="4" t="s">
        <v>11</v>
      </c>
      <c r="H144" s="4" t="s">
        <v>12</v>
      </c>
    </row>
    <row r="145" spans="1:8">
      <c r="A145" s="3" t="s">
        <v>1064</v>
      </c>
      <c r="B145" s="4" t="s">
        <v>1079</v>
      </c>
      <c r="C145" s="4" t="s">
        <v>1080</v>
      </c>
      <c r="D145" s="4" t="s">
        <v>636</v>
      </c>
      <c r="E145" s="4">
        <v>46</v>
      </c>
      <c r="F145" s="4">
        <v>4</v>
      </c>
      <c r="G145" s="4" t="s">
        <v>11</v>
      </c>
      <c r="H145" s="4" t="s">
        <v>12</v>
      </c>
    </row>
    <row r="146" spans="1:8">
      <c r="A146" s="3" t="s">
        <v>1020</v>
      </c>
      <c r="B146" s="4" t="s">
        <v>1541</v>
      </c>
      <c r="C146" s="4" t="s">
        <v>1542</v>
      </c>
      <c r="D146" s="4" t="s">
        <v>636</v>
      </c>
      <c r="E146" s="4">
        <v>45</v>
      </c>
      <c r="F146" s="4">
        <v>4</v>
      </c>
      <c r="G146" s="4" t="s">
        <v>11</v>
      </c>
      <c r="H146" s="4" t="s">
        <v>12</v>
      </c>
    </row>
    <row r="147" spans="1:8">
      <c r="A147" s="3" t="s">
        <v>1020</v>
      </c>
      <c r="B147" s="4" t="s">
        <v>1543</v>
      </c>
      <c r="C147" s="4" t="s">
        <v>1544</v>
      </c>
      <c r="D147" s="4" t="s">
        <v>636</v>
      </c>
      <c r="E147" s="4">
        <v>40</v>
      </c>
      <c r="F147" s="4">
        <v>4</v>
      </c>
      <c r="G147" s="4" t="s">
        <v>11</v>
      </c>
      <c r="H147" s="4" t="s">
        <v>12</v>
      </c>
    </row>
    <row r="148" spans="1:8">
      <c r="A148" s="3" t="s">
        <v>1020</v>
      </c>
      <c r="B148" s="4" t="s">
        <v>1021</v>
      </c>
      <c r="C148" s="4" t="s">
        <v>1022</v>
      </c>
      <c r="D148" s="4" t="s">
        <v>636</v>
      </c>
      <c r="E148" s="4">
        <v>40</v>
      </c>
      <c r="F148" s="4">
        <v>4</v>
      </c>
      <c r="G148" s="4" t="s">
        <v>11</v>
      </c>
      <c r="H148" s="4" t="s">
        <v>12</v>
      </c>
    </row>
    <row r="149" spans="1:8">
      <c r="A149" s="3" t="s">
        <v>1020</v>
      </c>
      <c r="B149" s="4" t="s">
        <v>1437</v>
      </c>
      <c r="C149" s="4" t="s">
        <v>1438</v>
      </c>
      <c r="D149" s="4" t="s">
        <v>636</v>
      </c>
      <c r="E149" s="4">
        <v>52</v>
      </c>
      <c r="F149" s="4">
        <v>4</v>
      </c>
      <c r="G149" s="4" t="s">
        <v>11</v>
      </c>
      <c r="H149" s="4" t="s">
        <v>12</v>
      </c>
    </row>
    <row r="150" spans="1:8">
      <c r="A150" s="3" t="s">
        <v>1020</v>
      </c>
      <c r="B150" s="4" t="s">
        <v>1259</v>
      </c>
      <c r="C150" s="4" t="s">
        <v>1260</v>
      </c>
      <c r="D150" s="4" t="s">
        <v>636</v>
      </c>
      <c r="E150" s="4">
        <v>41</v>
      </c>
      <c r="F150" s="4">
        <v>4</v>
      </c>
      <c r="G150" s="4" t="s">
        <v>11</v>
      </c>
      <c r="H150" s="4" t="s">
        <v>12</v>
      </c>
    </row>
    <row r="151" spans="1:8">
      <c r="A151" s="3" t="s">
        <v>1020</v>
      </c>
      <c r="B151" s="4" t="s">
        <v>1023</v>
      </c>
      <c r="C151" s="4" t="s">
        <v>1024</v>
      </c>
      <c r="D151" s="4" t="s">
        <v>636</v>
      </c>
      <c r="E151" s="4">
        <v>50</v>
      </c>
      <c r="F151" s="4">
        <v>4</v>
      </c>
      <c r="G151" s="4" t="s">
        <v>11</v>
      </c>
      <c r="H151" s="4" t="s">
        <v>12</v>
      </c>
    </row>
    <row r="152" spans="1:8">
      <c r="A152" s="3" t="s">
        <v>1020</v>
      </c>
      <c r="B152" s="4" t="s">
        <v>1261</v>
      </c>
      <c r="C152" s="4" t="s">
        <v>1262</v>
      </c>
      <c r="D152" s="4" t="s">
        <v>636</v>
      </c>
      <c r="E152" s="4">
        <v>40</v>
      </c>
      <c r="F152" s="4">
        <v>4</v>
      </c>
      <c r="G152" s="4" t="s">
        <v>11</v>
      </c>
      <c r="H152" s="4" t="s">
        <v>12</v>
      </c>
    </row>
    <row r="153" spans="1:8">
      <c r="A153" s="3" t="s">
        <v>1020</v>
      </c>
      <c r="B153" s="4" t="s">
        <v>1545</v>
      </c>
      <c r="C153" s="4" t="s">
        <v>1546</v>
      </c>
      <c r="D153" s="4" t="s">
        <v>636</v>
      </c>
      <c r="E153" s="4">
        <v>40</v>
      </c>
      <c r="F153" s="4">
        <v>4</v>
      </c>
      <c r="G153" s="4" t="s">
        <v>11</v>
      </c>
      <c r="H153" s="4" t="s">
        <v>12</v>
      </c>
    </row>
    <row r="154" spans="1:8">
      <c r="A154" s="3" t="s">
        <v>1020</v>
      </c>
      <c r="B154" s="4" t="s">
        <v>1263</v>
      </c>
      <c r="C154" s="4" t="s">
        <v>1264</v>
      </c>
      <c r="D154" s="4" t="s">
        <v>636</v>
      </c>
      <c r="E154" s="4">
        <v>44</v>
      </c>
      <c r="F154" s="4">
        <v>4</v>
      </c>
      <c r="G154" s="4" t="s">
        <v>11</v>
      </c>
      <c r="H154" s="4" t="s">
        <v>12</v>
      </c>
    </row>
    <row r="155" spans="1:8">
      <c r="A155" s="3" t="s">
        <v>1020</v>
      </c>
      <c r="B155" s="4" t="s">
        <v>1025</v>
      </c>
      <c r="C155" s="4" t="s">
        <v>1026</v>
      </c>
      <c r="D155" s="4" t="s">
        <v>636</v>
      </c>
      <c r="E155" s="4">
        <v>45</v>
      </c>
      <c r="F155" s="4">
        <v>4</v>
      </c>
      <c r="G155" s="4" t="s">
        <v>11</v>
      </c>
      <c r="H155" s="4" t="s">
        <v>12</v>
      </c>
    </row>
    <row r="156" spans="1:8">
      <c r="A156" s="3" t="s">
        <v>1020</v>
      </c>
      <c r="B156" s="4" t="s">
        <v>1547</v>
      </c>
      <c r="C156" s="4" t="s">
        <v>1548</v>
      </c>
      <c r="D156" s="4" t="s">
        <v>636</v>
      </c>
      <c r="E156" s="4">
        <v>52</v>
      </c>
      <c r="F156" s="4">
        <v>4</v>
      </c>
      <c r="G156" s="4" t="s">
        <v>11</v>
      </c>
      <c r="H156" s="4" t="s">
        <v>12</v>
      </c>
    </row>
    <row r="157" spans="1:8">
      <c r="A157" s="3" t="s">
        <v>1020</v>
      </c>
      <c r="B157" s="4" t="s">
        <v>1267</v>
      </c>
      <c r="C157" s="4" t="s">
        <v>1268</v>
      </c>
      <c r="D157" s="4" t="s">
        <v>636</v>
      </c>
      <c r="E157" s="4">
        <v>45</v>
      </c>
      <c r="F157" s="4">
        <v>4</v>
      </c>
      <c r="G157" s="4" t="s">
        <v>11</v>
      </c>
      <c r="H157" s="4" t="s">
        <v>12</v>
      </c>
    </row>
    <row r="158" spans="1:8">
      <c r="A158" s="3" t="s">
        <v>1020</v>
      </c>
      <c r="B158" s="4" t="s">
        <v>1033</v>
      </c>
      <c r="C158" s="4" t="s">
        <v>1034</v>
      </c>
      <c r="D158" s="4" t="s">
        <v>636</v>
      </c>
      <c r="E158" s="4">
        <v>53</v>
      </c>
      <c r="F158" s="4">
        <v>4</v>
      </c>
      <c r="G158" s="4" t="s">
        <v>11</v>
      </c>
      <c r="H158" s="4" t="s">
        <v>12</v>
      </c>
    </row>
    <row r="159" spans="1:8">
      <c r="A159" s="3" t="s">
        <v>1035</v>
      </c>
      <c r="B159" s="4" t="s">
        <v>1036</v>
      </c>
      <c r="C159" s="4" t="s">
        <v>1037</v>
      </c>
      <c r="D159" s="4" t="s">
        <v>636</v>
      </c>
      <c r="E159" s="4">
        <v>40</v>
      </c>
      <c r="F159" s="4">
        <v>4</v>
      </c>
      <c r="G159" s="4" t="s">
        <v>11</v>
      </c>
      <c r="H159" s="4" t="s">
        <v>12</v>
      </c>
    </row>
    <row r="160" spans="1:8">
      <c r="A160" s="3" t="s">
        <v>1035</v>
      </c>
      <c r="B160" s="4" t="s">
        <v>1038</v>
      </c>
      <c r="C160" s="4" t="s">
        <v>1039</v>
      </c>
      <c r="D160" s="4" t="s">
        <v>636</v>
      </c>
      <c r="E160" s="4">
        <v>45</v>
      </c>
      <c r="F160" s="4">
        <v>4</v>
      </c>
      <c r="G160" s="4" t="s">
        <v>11</v>
      </c>
      <c r="H160" s="4" t="s">
        <v>12</v>
      </c>
    </row>
    <row r="161" spans="1:8">
      <c r="A161" s="3" t="s">
        <v>1035</v>
      </c>
      <c r="B161" s="4" t="s">
        <v>1291</v>
      </c>
      <c r="C161" s="4" t="s">
        <v>1292</v>
      </c>
      <c r="D161" s="4" t="s">
        <v>636</v>
      </c>
      <c r="E161" s="4">
        <v>49</v>
      </c>
      <c r="F161" s="4">
        <v>4</v>
      </c>
      <c r="G161" s="4" t="s">
        <v>11</v>
      </c>
      <c r="H161" s="4" t="s">
        <v>12</v>
      </c>
    </row>
    <row r="162" spans="1:8">
      <c r="A162" s="3" t="s">
        <v>1035</v>
      </c>
      <c r="B162" s="4" t="s">
        <v>1549</v>
      </c>
      <c r="C162" s="4" t="s">
        <v>1550</v>
      </c>
      <c r="D162" s="4" t="s">
        <v>636</v>
      </c>
      <c r="E162" s="4">
        <v>44</v>
      </c>
      <c r="F162" s="4">
        <v>4</v>
      </c>
      <c r="G162" s="4" t="s">
        <v>11</v>
      </c>
      <c r="H162" s="4" t="s">
        <v>12</v>
      </c>
    </row>
    <row r="163" spans="1:8">
      <c r="A163" s="3" t="s">
        <v>1035</v>
      </c>
      <c r="B163" s="4" t="s">
        <v>1551</v>
      </c>
      <c r="C163" s="4" t="s">
        <v>1552</v>
      </c>
      <c r="D163" s="4" t="s">
        <v>636</v>
      </c>
      <c r="E163" s="4">
        <v>42</v>
      </c>
      <c r="F163" s="4">
        <v>4</v>
      </c>
      <c r="G163" s="4" t="s">
        <v>11</v>
      </c>
      <c r="H163" s="4" t="s">
        <v>12</v>
      </c>
    </row>
    <row r="164" spans="1:8">
      <c r="A164" s="3" t="s">
        <v>1035</v>
      </c>
      <c r="B164" s="4" t="s">
        <v>1553</v>
      </c>
      <c r="C164" s="4" t="s">
        <v>1554</v>
      </c>
      <c r="D164" s="4" t="s">
        <v>636</v>
      </c>
      <c r="E164" s="4">
        <v>46</v>
      </c>
      <c r="F164" s="4">
        <v>4</v>
      </c>
      <c r="G164" s="4" t="s">
        <v>11</v>
      </c>
      <c r="H164" s="4" t="s">
        <v>12</v>
      </c>
    </row>
    <row r="165" spans="1:8">
      <c r="A165" s="3" t="s">
        <v>1035</v>
      </c>
      <c r="B165" s="4" t="s">
        <v>1293</v>
      </c>
      <c r="C165" s="4" t="s">
        <v>1294</v>
      </c>
      <c r="D165" s="4" t="s">
        <v>636</v>
      </c>
      <c r="E165" s="4">
        <v>52</v>
      </c>
      <c r="F165" s="4">
        <v>4</v>
      </c>
      <c r="G165" s="4" t="s">
        <v>11</v>
      </c>
      <c r="H165" s="4" t="s">
        <v>12</v>
      </c>
    </row>
    <row r="166" spans="1:8">
      <c r="A166" s="3" t="s">
        <v>1144</v>
      </c>
      <c r="B166" s="4" t="s">
        <v>1153</v>
      </c>
      <c r="C166" s="4" t="s">
        <v>1154</v>
      </c>
      <c r="D166" s="4" t="s">
        <v>636</v>
      </c>
      <c r="E166" s="4">
        <v>59</v>
      </c>
      <c r="F166" s="4">
        <v>4</v>
      </c>
      <c r="G166" s="4" t="s">
        <v>11</v>
      </c>
      <c r="H166" s="4" t="s">
        <v>12</v>
      </c>
    </row>
    <row r="167" spans="1:8">
      <c r="A167" s="3" t="s">
        <v>1144</v>
      </c>
      <c r="B167" s="4" t="s">
        <v>1357</v>
      </c>
      <c r="C167" s="4" t="s">
        <v>1358</v>
      </c>
      <c r="D167" s="4" t="s">
        <v>636</v>
      </c>
      <c r="E167" s="4">
        <v>52</v>
      </c>
      <c r="F167" s="4">
        <v>4</v>
      </c>
      <c r="G167" s="4" t="s">
        <v>11</v>
      </c>
      <c r="H167" s="4" t="s">
        <v>12</v>
      </c>
    </row>
    <row r="168" spans="1:8">
      <c r="A168" s="3" t="s">
        <v>1144</v>
      </c>
      <c r="B168" s="4" t="s">
        <v>1359</v>
      </c>
      <c r="C168" s="4" t="s">
        <v>1360</v>
      </c>
      <c r="D168" s="4" t="s">
        <v>636</v>
      </c>
      <c r="E168" s="4">
        <v>45</v>
      </c>
      <c r="F168" s="4">
        <v>4</v>
      </c>
      <c r="G168" s="4" t="s">
        <v>11</v>
      </c>
      <c r="H168" s="4" t="s">
        <v>12</v>
      </c>
    </row>
    <row r="169" spans="1:8">
      <c r="A169" s="3" t="s">
        <v>1054</v>
      </c>
      <c r="B169" s="4" t="s">
        <v>1483</v>
      </c>
      <c r="C169" s="4" t="s">
        <v>1484</v>
      </c>
      <c r="D169" s="4" t="s">
        <v>636</v>
      </c>
      <c r="E169" s="4">
        <v>40</v>
      </c>
      <c r="F169" s="4">
        <v>4</v>
      </c>
      <c r="G169" s="4" t="s">
        <v>11</v>
      </c>
      <c r="H169" s="4" t="s">
        <v>12</v>
      </c>
    </row>
    <row r="170" spans="1:8">
      <c r="A170" s="3" t="s">
        <v>1200</v>
      </c>
      <c r="B170" s="4" t="s">
        <v>1515</v>
      </c>
      <c r="C170" s="4" t="s">
        <v>1516</v>
      </c>
      <c r="D170" s="4" t="s">
        <v>636</v>
      </c>
      <c r="E170" s="4">
        <v>46</v>
      </c>
      <c r="F170" s="4">
        <v>4</v>
      </c>
      <c r="G170" s="4" t="s">
        <v>11</v>
      </c>
      <c r="H170" s="4" t="s">
        <v>12</v>
      </c>
    </row>
    <row r="171" spans="1:8">
      <c r="A171" s="3" t="s">
        <v>1200</v>
      </c>
      <c r="B171" s="4" t="s">
        <v>1201</v>
      </c>
      <c r="C171" s="4" t="s">
        <v>1202</v>
      </c>
      <c r="D171" s="4" t="s">
        <v>636</v>
      </c>
      <c r="E171" s="4">
        <v>42</v>
      </c>
      <c r="F171" s="4">
        <v>4</v>
      </c>
      <c r="G171" s="4" t="s">
        <v>11</v>
      </c>
      <c r="H171" s="4" t="s">
        <v>12</v>
      </c>
    </row>
    <row r="172" spans="1:8">
      <c r="A172" s="3" t="s">
        <v>1200</v>
      </c>
      <c r="B172" s="4" t="s">
        <v>1203</v>
      </c>
      <c r="C172" s="4" t="s">
        <v>1204</v>
      </c>
      <c r="D172" s="4" t="s">
        <v>636</v>
      </c>
      <c r="E172" s="4">
        <v>40</v>
      </c>
      <c r="F172" s="4">
        <v>4</v>
      </c>
      <c r="G172" s="4" t="s">
        <v>11</v>
      </c>
      <c r="H172" s="4" t="s">
        <v>12</v>
      </c>
    </row>
    <row r="173" spans="1:8">
      <c r="A173" s="3" t="s">
        <v>1200</v>
      </c>
      <c r="B173" s="4" t="s">
        <v>1209</v>
      </c>
      <c r="C173" s="4" t="s">
        <v>1210</v>
      </c>
      <c r="D173" s="4" t="s">
        <v>636</v>
      </c>
      <c r="E173" s="4">
        <v>40</v>
      </c>
      <c r="F173" s="4">
        <v>4</v>
      </c>
      <c r="G173" s="4" t="s">
        <v>11</v>
      </c>
      <c r="H173" s="4" t="s">
        <v>12</v>
      </c>
    </row>
    <row r="174" spans="1:8">
      <c r="A174" s="3" t="s">
        <v>1200</v>
      </c>
      <c r="B174" s="4" t="s">
        <v>1211</v>
      </c>
      <c r="C174" s="4" t="s">
        <v>1212</v>
      </c>
      <c r="D174" s="4" t="s">
        <v>636</v>
      </c>
      <c r="E174" s="4">
        <v>48</v>
      </c>
      <c r="F174" s="4">
        <v>4</v>
      </c>
      <c r="G174" s="4" t="s">
        <v>11</v>
      </c>
      <c r="H174" s="4" t="s">
        <v>12</v>
      </c>
    </row>
    <row r="175" spans="1:8">
      <c r="A175" s="3" t="s">
        <v>1200</v>
      </c>
      <c r="B175" s="4" t="s">
        <v>1213</v>
      </c>
      <c r="C175" s="4" t="s">
        <v>1214</v>
      </c>
      <c r="D175" s="4" t="s">
        <v>636</v>
      </c>
      <c r="E175" s="4">
        <v>40</v>
      </c>
      <c r="F175" s="4">
        <v>4</v>
      </c>
      <c r="G175" s="4" t="s">
        <v>11</v>
      </c>
      <c r="H175" s="4" t="s">
        <v>12</v>
      </c>
    </row>
    <row r="176" spans="1:8">
      <c r="A176" s="3" t="s">
        <v>1200</v>
      </c>
      <c r="B176" s="4" t="s">
        <v>1215</v>
      </c>
      <c r="C176" s="4" t="s">
        <v>1216</v>
      </c>
      <c r="D176" s="4" t="s">
        <v>636</v>
      </c>
      <c r="E176" s="4">
        <v>40</v>
      </c>
      <c r="F176" s="4">
        <v>4</v>
      </c>
      <c r="G176" s="4" t="s">
        <v>11</v>
      </c>
      <c r="H176" s="4" t="s">
        <v>12</v>
      </c>
    </row>
    <row r="177" spans="1:8">
      <c r="A177" s="3" t="s">
        <v>1184</v>
      </c>
      <c r="B177" s="4" t="s">
        <v>1517</v>
      </c>
      <c r="C177" s="4" t="s">
        <v>1518</v>
      </c>
      <c r="D177" s="4" t="s">
        <v>636</v>
      </c>
      <c r="E177" s="4">
        <v>46</v>
      </c>
      <c r="F177" s="4">
        <v>4</v>
      </c>
      <c r="G177" s="4" t="s">
        <v>11</v>
      </c>
      <c r="H177" s="4" t="s">
        <v>12</v>
      </c>
    </row>
    <row r="178" spans="1:8">
      <c r="A178" s="3" t="s">
        <v>1184</v>
      </c>
      <c r="B178" s="4" t="s">
        <v>1519</v>
      </c>
      <c r="C178" s="4" t="s">
        <v>1520</v>
      </c>
      <c r="D178" s="4" t="s">
        <v>636</v>
      </c>
      <c r="E178" s="4">
        <v>50</v>
      </c>
      <c r="F178" s="4">
        <v>4</v>
      </c>
      <c r="G178" s="4" t="s">
        <v>11</v>
      </c>
      <c r="H178" s="4" t="s">
        <v>12</v>
      </c>
    </row>
    <row r="179" spans="1:8">
      <c r="A179" s="3" t="s">
        <v>1184</v>
      </c>
      <c r="B179" s="4" t="s">
        <v>1187</v>
      </c>
      <c r="C179" s="4" t="s">
        <v>1188</v>
      </c>
      <c r="D179" s="4" t="s">
        <v>636</v>
      </c>
      <c r="E179" s="4">
        <v>50</v>
      </c>
      <c r="F179" s="4">
        <v>4</v>
      </c>
      <c r="G179" s="4" t="s">
        <v>11</v>
      </c>
      <c r="H179" s="4" t="s">
        <v>12</v>
      </c>
    </row>
    <row r="180" spans="1:8">
      <c r="A180" s="3" t="s">
        <v>1184</v>
      </c>
      <c r="B180" s="4" t="s">
        <v>1521</v>
      </c>
      <c r="C180" s="4" t="s">
        <v>1522</v>
      </c>
      <c r="D180" s="4" t="s">
        <v>636</v>
      </c>
      <c r="E180" s="4">
        <v>46</v>
      </c>
      <c r="F180" s="4">
        <v>4</v>
      </c>
      <c r="G180" s="4" t="s">
        <v>11</v>
      </c>
      <c r="H180" s="4" t="s">
        <v>12</v>
      </c>
    </row>
    <row r="181" spans="1:8">
      <c r="A181" s="3" t="s">
        <v>1184</v>
      </c>
      <c r="B181" s="4" t="s">
        <v>1523</v>
      </c>
      <c r="C181" s="4" t="s">
        <v>1524</v>
      </c>
      <c r="D181" s="4" t="s">
        <v>636</v>
      </c>
      <c r="E181" s="4">
        <v>51</v>
      </c>
      <c r="F181" s="4">
        <v>4</v>
      </c>
      <c r="G181" s="4" t="s">
        <v>11</v>
      </c>
      <c r="H181" s="4" t="s">
        <v>12</v>
      </c>
    </row>
    <row r="182" spans="1:8">
      <c r="A182" s="3" t="s">
        <v>1184</v>
      </c>
      <c r="B182" s="4" t="s">
        <v>1393</v>
      </c>
      <c r="C182" s="4" t="s">
        <v>1394</v>
      </c>
      <c r="D182" s="4" t="s">
        <v>636</v>
      </c>
      <c r="E182" s="4">
        <v>43</v>
      </c>
      <c r="F182" s="4">
        <v>4</v>
      </c>
      <c r="G182" s="4" t="s">
        <v>11</v>
      </c>
      <c r="H182" s="4" t="s">
        <v>12</v>
      </c>
    </row>
    <row r="183" spans="1:8">
      <c r="A183" s="3" t="s">
        <v>1184</v>
      </c>
      <c r="B183" s="4" t="s">
        <v>1395</v>
      </c>
      <c r="C183" s="4" t="s">
        <v>1396</v>
      </c>
      <c r="D183" s="4" t="s">
        <v>636</v>
      </c>
      <c r="E183" s="4">
        <v>40</v>
      </c>
      <c r="F183" s="4">
        <v>4</v>
      </c>
      <c r="G183" s="4" t="s">
        <v>11</v>
      </c>
      <c r="H183" s="4" t="s">
        <v>12</v>
      </c>
    </row>
    <row r="184" spans="1:8">
      <c r="A184" s="3" t="s">
        <v>1083</v>
      </c>
      <c r="B184" s="4" t="s">
        <v>1086</v>
      </c>
      <c r="C184" s="4" t="s">
        <v>1087</v>
      </c>
      <c r="D184" s="4" t="s">
        <v>636</v>
      </c>
      <c r="E184" s="4">
        <v>51</v>
      </c>
      <c r="F184" s="4">
        <v>4</v>
      </c>
      <c r="G184" s="4" t="s">
        <v>11</v>
      </c>
      <c r="H184" s="4" t="s">
        <v>12</v>
      </c>
    </row>
    <row r="185" spans="1:8">
      <c r="A185" s="3" t="s">
        <v>1083</v>
      </c>
      <c r="B185" s="4" t="s">
        <v>1399</v>
      </c>
      <c r="C185" s="4" t="s">
        <v>954</v>
      </c>
      <c r="D185" s="4" t="s">
        <v>636</v>
      </c>
      <c r="E185" s="4">
        <v>55</v>
      </c>
      <c r="F185" s="4">
        <v>4</v>
      </c>
      <c r="G185" s="4" t="s">
        <v>11</v>
      </c>
      <c r="H185" s="4" t="s">
        <v>12</v>
      </c>
    </row>
    <row r="186" spans="1:8">
      <c r="A186" s="3" t="s">
        <v>1083</v>
      </c>
      <c r="B186" s="4" t="s">
        <v>1400</v>
      </c>
      <c r="C186" s="4" t="s">
        <v>1401</v>
      </c>
      <c r="D186" s="4" t="s">
        <v>636</v>
      </c>
      <c r="E186" s="4">
        <v>41</v>
      </c>
      <c r="F186" s="4">
        <v>4</v>
      </c>
      <c r="G186" s="4" t="s">
        <v>11</v>
      </c>
      <c r="H186" s="4" t="s">
        <v>12</v>
      </c>
    </row>
    <row r="187" spans="1:8">
      <c r="A187" s="3" t="s">
        <v>1083</v>
      </c>
      <c r="B187" s="4" t="s">
        <v>1402</v>
      </c>
      <c r="C187" s="4" t="s">
        <v>1403</v>
      </c>
      <c r="D187" s="4" t="s">
        <v>636</v>
      </c>
      <c r="E187" s="4">
        <v>57</v>
      </c>
      <c r="F187" s="4">
        <v>4</v>
      </c>
      <c r="G187" s="4" t="s">
        <v>11</v>
      </c>
      <c r="H187" s="4" t="s">
        <v>12</v>
      </c>
    </row>
    <row r="188" spans="1:8">
      <c r="A188" s="3" t="s">
        <v>1083</v>
      </c>
      <c r="B188" s="4" t="s">
        <v>1100</v>
      </c>
      <c r="C188" s="4" t="s">
        <v>1101</v>
      </c>
      <c r="D188" s="4" t="s">
        <v>636</v>
      </c>
      <c r="E188" s="4">
        <v>41</v>
      </c>
      <c r="F188" s="4">
        <v>4</v>
      </c>
      <c r="G188" s="4" t="s">
        <v>11</v>
      </c>
      <c r="H188" s="4" t="s">
        <v>12</v>
      </c>
    </row>
    <row r="189" spans="1:8">
      <c r="A189" s="3" t="s">
        <v>1217</v>
      </c>
      <c r="B189" s="4" t="s">
        <v>1404</v>
      </c>
      <c r="C189" s="4" t="s">
        <v>1405</v>
      </c>
      <c r="D189" s="4" t="s">
        <v>636</v>
      </c>
      <c r="E189" s="4">
        <v>40</v>
      </c>
      <c r="F189" s="4">
        <v>4</v>
      </c>
      <c r="G189" s="4" t="s">
        <v>11</v>
      </c>
      <c r="H189" s="4" t="s">
        <v>12</v>
      </c>
    </row>
    <row r="190" spans="1:8">
      <c r="A190" s="3" t="s">
        <v>1217</v>
      </c>
      <c r="B190" s="4" t="s">
        <v>1559</v>
      </c>
      <c r="C190" s="4" t="s">
        <v>1560</v>
      </c>
      <c r="D190" s="4" t="s">
        <v>636</v>
      </c>
      <c r="E190" s="4">
        <v>56</v>
      </c>
      <c r="F190" s="4">
        <v>4</v>
      </c>
      <c r="G190" s="4" t="s">
        <v>11</v>
      </c>
      <c r="H190" s="4" t="s">
        <v>12</v>
      </c>
    </row>
    <row r="191" spans="1:8">
      <c r="A191" s="3" t="s">
        <v>1217</v>
      </c>
      <c r="B191" s="4" t="s">
        <v>1561</v>
      </c>
      <c r="C191" s="4" t="s">
        <v>1562</v>
      </c>
      <c r="D191" s="4" t="s">
        <v>636</v>
      </c>
      <c r="E191" s="4">
        <v>58</v>
      </c>
      <c r="F191" s="4">
        <v>4</v>
      </c>
      <c r="G191" s="4" t="s">
        <v>11</v>
      </c>
      <c r="H191" s="4" t="s">
        <v>12</v>
      </c>
    </row>
    <row r="192" spans="1:8">
      <c r="A192" s="3" t="s">
        <v>1217</v>
      </c>
      <c r="B192" s="4" t="s">
        <v>1222</v>
      </c>
      <c r="C192" s="4" t="s">
        <v>1223</v>
      </c>
      <c r="D192" s="4" t="s">
        <v>636</v>
      </c>
      <c r="E192" s="4">
        <v>40</v>
      </c>
      <c r="F192" s="4">
        <v>4</v>
      </c>
      <c r="G192" s="4" t="s">
        <v>11</v>
      </c>
      <c r="H192" s="4" t="s">
        <v>12</v>
      </c>
    </row>
    <row r="193" spans="1:8">
      <c r="A193" s="3" t="s">
        <v>1217</v>
      </c>
      <c r="B193" s="4" t="s">
        <v>1408</v>
      </c>
      <c r="C193" s="4" t="s">
        <v>1409</v>
      </c>
      <c r="D193" s="4" t="s">
        <v>636</v>
      </c>
      <c r="E193" s="4">
        <v>58</v>
      </c>
      <c r="F193" s="4">
        <v>4</v>
      </c>
      <c r="G193" s="4" t="s">
        <v>11</v>
      </c>
      <c r="H193" s="4" t="s">
        <v>12</v>
      </c>
    </row>
    <row r="194" spans="1:8">
      <c r="A194" s="3" t="s">
        <v>998</v>
      </c>
      <c r="B194" s="4" t="s">
        <v>999</v>
      </c>
      <c r="C194" s="4" t="s">
        <v>1000</v>
      </c>
      <c r="D194" s="4" t="s">
        <v>636</v>
      </c>
      <c r="E194" s="4">
        <v>55</v>
      </c>
      <c r="F194" s="4">
        <v>4</v>
      </c>
      <c r="G194" s="4" t="s">
        <v>11</v>
      </c>
      <c r="H194" s="4" t="s">
        <v>12</v>
      </c>
    </row>
    <row r="195" spans="1:8">
      <c r="A195" s="3" t="s">
        <v>998</v>
      </c>
      <c r="B195" s="4" t="s">
        <v>1003</v>
      </c>
      <c r="C195" s="4" t="s">
        <v>1004</v>
      </c>
      <c r="D195" s="4" t="s">
        <v>636</v>
      </c>
      <c r="E195" s="4">
        <v>50</v>
      </c>
      <c r="F195" s="4">
        <v>4</v>
      </c>
      <c r="G195" s="4" t="s">
        <v>11</v>
      </c>
      <c r="H195" s="4" t="s">
        <v>12</v>
      </c>
    </row>
    <row r="196" spans="1:8">
      <c r="A196" s="3" t="s">
        <v>998</v>
      </c>
      <c r="B196" s="4" t="s">
        <v>1497</v>
      </c>
      <c r="C196" s="4" t="s">
        <v>1498</v>
      </c>
      <c r="D196" s="4" t="s">
        <v>636</v>
      </c>
      <c r="E196" s="4">
        <v>47</v>
      </c>
      <c r="F196" s="4">
        <v>4</v>
      </c>
      <c r="G196" s="4" t="s">
        <v>11</v>
      </c>
      <c r="H196" s="4" t="s">
        <v>12</v>
      </c>
    </row>
    <row r="197" spans="1:8">
      <c r="A197" s="3" t="s">
        <v>1191</v>
      </c>
      <c r="B197" s="4" t="s">
        <v>1501</v>
      </c>
      <c r="C197" s="4" t="s">
        <v>1502</v>
      </c>
      <c r="D197" s="4" t="s">
        <v>636</v>
      </c>
      <c r="E197" s="4">
        <v>50</v>
      </c>
      <c r="F197" s="4">
        <v>4</v>
      </c>
      <c r="G197" s="4" t="s">
        <v>11</v>
      </c>
      <c r="H197" s="4" t="s">
        <v>12</v>
      </c>
    </row>
    <row r="198" spans="1:8">
      <c r="A198" s="3" t="s">
        <v>1191</v>
      </c>
      <c r="B198" s="4" t="s">
        <v>1453</v>
      </c>
      <c r="C198" s="4" t="s">
        <v>1454</v>
      </c>
      <c r="D198" s="4" t="s">
        <v>636</v>
      </c>
      <c r="E198" s="4">
        <v>55</v>
      </c>
      <c r="F198" s="4">
        <v>4</v>
      </c>
      <c r="G198" s="4" t="s">
        <v>11</v>
      </c>
      <c r="H198" s="4" t="s">
        <v>12</v>
      </c>
    </row>
    <row r="199" spans="1:8">
      <c r="A199" s="3" t="s">
        <v>1191</v>
      </c>
      <c r="B199" s="4" t="s">
        <v>1192</v>
      </c>
      <c r="C199" s="4" t="s">
        <v>1193</v>
      </c>
      <c r="D199" s="4" t="s">
        <v>636</v>
      </c>
      <c r="E199" s="4">
        <v>49</v>
      </c>
      <c r="F199" s="4">
        <v>4</v>
      </c>
      <c r="G199" s="4" t="s">
        <v>11</v>
      </c>
      <c r="H199" s="4" t="s">
        <v>12</v>
      </c>
    </row>
    <row r="200" spans="1:8">
      <c r="A200" s="3" t="s">
        <v>1191</v>
      </c>
      <c r="B200" s="4" t="s">
        <v>1325</v>
      </c>
      <c r="C200" s="4" t="s">
        <v>1326</v>
      </c>
      <c r="D200" s="4" t="s">
        <v>636</v>
      </c>
      <c r="E200" s="4">
        <v>48</v>
      </c>
      <c r="F200" s="4">
        <v>4</v>
      </c>
      <c r="G200" s="4" t="s">
        <v>11</v>
      </c>
      <c r="H200" s="4" t="s">
        <v>12</v>
      </c>
    </row>
    <row r="201" spans="1:8">
      <c r="A201" s="3" t="s">
        <v>1191</v>
      </c>
      <c r="B201" s="4" t="s">
        <v>1194</v>
      </c>
      <c r="C201" s="4" t="s">
        <v>1195</v>
      </c>
      <c r="D201" s="4" t="s">
        <v>636</v>
      </c>
      <c r="E201" s="4">
        <v>51</v>
      </c>
      <c r="F201" s="4">
        <v>4</v>
      </c>
      <c r="G201" s="4" t="s">
        <v>11</v>
      </c>
      <c r="H201" s="4" t="s">
        <v>12</v>
      </c>
    </row>
    <row r="202" spans="1:8">
      <c r="A202" s="3" t="s">
        <v>1191</v>
      </c>
      <c r="B202" s="4" t="s">
        <v>1327</v>
      </c>
      <c r="C202" s="4" t="s">
        <v>1328</v>
      </c>
      <c r="D202" s="4" t="s">
        <v>636</v>
      </c>
      <c r="E202" s="4">
        <v>51</v>
      </c>
      <c r="F202" s="4">
        <v>4</v>
      </c>
      <c r="G202" s="4" t="s">
        <v>11</v>
      </c>
      <c r="H202" s="4" t="s">
        <v>12</v>
      </c>
    </row>
    <row r="203" spans="1:8">
      <c r="A203" s="3" t="s">
        <v>1191</v>
      </c>
      <c r="B203" s="4" t="s">
        <v>1331</v>
      </c>
      <c r="C203" s="4" t="s">
        <v>1332</v>
      </c>
      <c r="D203" s="4" t="s">
        <v>636</v>
      </c>
      <c r="E203" s="4">
        <v>44</v>
      </c>
      <c r="F203" s="4">
        <v>4</v>
      </c>
      <c r="G203" s="4" t="s">
        <v>11</v>
      </c>
      <c r="H203" s="4" t="s">
        <v>12</v>
      </c>
    </row>
    <row r="204" spans="1:8">
      <c r="A204" s="3" t="s">
        <v>1191</v>
      </c>
      <c r="B204" s="4" t="s">
        <v>1503</v>
      </c>
      <c r="C204" s="4" t="s">
        <v>1504</v>
      </c>
      <c r="D204" s="4" t="s">
        <v>636</v>
      </c>
      <c r="E204" s="4">
        <v>51</v>
      </c>
      <c r="F204" s="4">
        <v>4</v>
      </c>
      <c r="G204" s="4" t="s">
        <v>11</v>
      </c>
      <c r="H204" s="4" t="s">
        <v>12</v>
      </c>
    </row>
    <row r="205" spans="1:8">
      <c r="A205" s="3" t="s">
        <v>1191</v>
      </c>
      <c r="B205" s="4" t="s">
        <v>1196</v>
      </c>
      <c r="C205" s="4" t="s">
        <v>1197</v>
      </c>
      <c r="D205" s="4" t="s">
        <v>636</v>
      </c>
      <c r="E205" s="4">
        <v>55</v>
      </c>
      <c r="F205" s="4">
        <v>4</v>
      </c>
      <c r="G205" s="4" t="s">
        <v>11</v>
      </c>
      <c r="H205" s="4" t="s">
        <v>12</v>
      </c>
    </row>
    <row r="206" spans="1:8">
      <c r="A206" s="3" t="s">
        <v>1191</v>
      </c>
      <c r="B206" s="4" t="s">
        <v>1335</v>
      </c>
      <c r="C206" s="4" t="s">
        <v>1336</v>
      </c>
      <c r="D206" s="4" t="s">
        <v>636</v>
      </c>
      <c r="E206" s="4">
        <v>47</v>
      </c>
      <c r="F206" s="4">
        <v>4</v>
      </c>
      <c r="G206" s="4" t="s">
        <v>11</v>
      </c>
      <c r="H206" s="4" t="s">
        <v>12</v>
      </c>
    </row>
    <row r="207" spans="1:8">
      <c r="A207" s="3" t="s">
        <v>1191</v>
      </c>
      <c r="B207" s="4" t="s">
        <v>1505</v>
      </c>
      <c r="C207" s="4" t="s">
        <v>1506</v>
      </c>
      <c r="D207" s="4" t="s">
        <v>636</v>
      </c>
      <c r="E207" s="4">
        <v>45</v>
      </c>
      <c r="F207" s="4">
        <v>4</v>
      </c>
      <c r="G207" s="4" t="s">
        <v>11</v>
      </c>
      <c r="H207" s="4" t="s">
        <v>12</v>
      </c>
    </row>
    <row r="208" spans="1:8">
      <c r="A208" s="3" t="s">
        <v>1231</v>
      </c>
      <c r="B208" s="4" t="s">
        <v>1232</v>
      </c>
      <c r="C208" s="4" t="s">
        <v>1233</v>
      </c>
      <c r="D208" s="4" t="s">
        <v>636</v>
      </c>
      <c r="E208" s="4">
        <v>46</v>
      </c>
      <c r="F208" s="4">
        <v>4</v>
      </c>
      <c r="G208" s="4" t="s">
        <v>11</v>
      </c>
      <c r="H208" s="4" t="s">
        <v>12</v>
      </c>
    </row>
    <row r="209" spans="1:8">
      <c r="A209" s="3" t="s">
        <v>1231</v>
      </c>
      <c r="B209" s="4" t="s">
        <v>1412</v>
      </c>
      <c r="C209" s="4" t="s">
        <v>1413</v>
      </c>
      <c r="D209" s="4" t="s">
        <v>636</v>
      </c>
      <c r="E209" s="4">
        <v>41</v>
      </c>
      <c r="F209" s="4">
        <v>4</v>
      </c>
      <c r="G209" s="4" t="s">
        <v>11</v>
      </c>
      <c r="H209" s="4" t="s">
        <v>12</v>
      </c>
    </row>
    <row r="210" spans="1:8">
      <c r="A210" s="3" t="s">
        <v>1231</v>
      </c>
      <c r="B210" s="4" t="s">
        <v>1414</v>
      </c>
      <c r="C210" s="4" t="s">
        <v>1415</v>
      </c>
      <c r="D210" s="4" t="s">
        <v>636</v>
      </c>
      <c r="E210" s="4">
        <v>54</v>
      </c>
      <c r="F210" s="4">
        <v>4</v>
      </c>
      <c r="G210" s="4" t="s">
        <v>11</v>
      </c>
      <c r="H210" s="4" t="s">
        <v>12</v>
      </c>
    </row>
    <row r="211" spans="1:8">
      <c r="A211" s="3" t="s">
        <v>1231</v>
      </c>
      <c r="B211" s="4" t="s">
        <v>1465</v>
      </c>
      <c r="C211" s="4" t="s">
        <v>1466</v>
      </c>
      <c r="D211" s="4" t="s">
        <v>636</v>
      </c>
      <c r="E211" s="4">
        <v>46</v>
      </c>
      <c r="F211" s="4">
        <v>4</v>
      </c>
      <c r="G211" s="4" t="s">
        <v>11</v>
      </c>
      <c r="H211" s="4" t="s">
        <v>12</v>
      </c>
    </row>
    <row r="212" spans="1:8">
      <c r="A212" s="3" t="s">
        <v>1231</v>
      </c>
      <c r="B212" s="4" t="s">
        <v>1467</v>
      </c>
      <c r="C212" s="4" t="s">
        <v>1468</v>
      </c>
      <c r="D212" s="4" t="s">
        <v>636</v>
      </c>
      <c r="E212" s="4">
        <v>47</v>
      </c>
      <c r="F212" s="4">
        <v>4</v>
      </c>
      <c r="G212" s="4" t="s">
        <v>11</v>
      </c>
      <c r="H212" s="4" t="s">
        <v>12</v>
      </c>
    </row>
    <row r="213" spans="1:8">
      <c r="A213" s="3" t="s">
        <v>1231</v>
      </c>
      <c r="B213" s="4" t="s">
        <v>1418</v>
      </c>
      <c r="C213" s="4" t="s">
        <v>1419</v>
      </c>
      <c r="D213" s="4" t="s">
        <v>636</v>
      </c>
      <c r="E213" s="4">
        <v>48</v>
      </c>
      <c r="F213" s="4">
        <v>4</v>
      </c>
      <c r="G213" s="4" t="s">
        <v>11</v>
      </c>
      <c r="H213" s="4" t="s">
        <v>12</v>
      </c>
    </row>
    <row r="214" spans="1:8">
      <c r="A214" s="3" t="s">
        <v>1231</v>
      </c>
      <c r="B214" s="4" t="s">
        <v>1525</v>
      </c>
      <c r="C214" s="4" t="s">
        <v>1526</v>
      </c>
      <c r="D214" s="4" t="s">
        <v>636</v>
      </c>
      <c r="E214" s="4">
        <v>55</v>
      </c>
      <c r="F214" s="4">
        <v>4</v>
      </c>
      <c r="G214" s="4" t="s">
        <v>11</v>
      </c>
      <c r="H214" s="4" t="s">
        <v>12</v>
      </c>
    </row>
    <row r="215" spans="1:8">
      <c r="A215" s="3" t="s">
        <v>1231</v>
      </c>
      <c r="B215" s="4" t="s">
        <v>1238</v>
      </c>
      <c r="C215" s="4" t="s">
        <v>1239</v>
      </c>
      <c r="D215" s="4" t="s">
        <v>636</v>
      </c>
      <c r="E215" s="4">
        <v>40</v>
      </c>
      <c r="F215" s="4">
        <v>4</v>
      </c>
      <c r="G215" s="4" t="s">
        <v>11</v>
      </c>
      <c r="H215" s="4" t="s">
        <v>12</v>
      </c>
    </row>
    <row r="216" spans="1:8">
      <c r="A216" s="3" t="s">
        <v>1231</v>
      </c>
      <c r="B216" s="4" t="s">
        <v>1240</v>
      </c>
      <c r="C216" s="4" t="s">
        <v>157</v>
      </c>
      <c r="D216" s="4" t="s">
        <v>636</v>
      </c>
      <c r="E216" s="4">
        <v>44</v>
      </c>
      <c r="F216" s="4">
        <v>4</v>
      </c>
      <c r="G216" s="4" t="s">
        <v>11</v>
      </c>
      <c r="H216" s="4" t="s">
        <v>12</v>
      </c>
    </row>
    <row r="217" spans="1:8">
      <c r="A217" s="3" t="s">
        <v>1231</v>
      </c>
      <c r="B217" s="4" t="s">
        <v>1527</v>
      </c>
      <c r="C217" s="4" t="s">
        <v>1528</v>
      </c>
      <c r="D217" s="4" t="s">
        <v>636</v>
      </c>
      <c r="E217" s="4">
        <v>48</v>
      </c>
      <c r="F217" s="4">
        <v>4</v>
      </c>
      <c r="G217" s="4" t="s">
        <v>11</v>
      </c>
      <c r="H217" s="4" t="s">
        <v>12</v>
      </c>
    </row>
    <row r="218" spans="1:8">
      <c r="A218" s="3" t="s">
        <v>1231</v>
      </c>
      <c r="B218" s="4" t="s">
        <v>1529</v>
      </c>
      <c r="C218" s="4" t="s">
        <v>1530</v>
      </c>
      <c r="D218" s="4" t="s">
        <v>636</v>
      </c>
      <c r="E218" s="4">
        <v>49</v>
      </c>
      <c r="F218" s="4">
        <v>4</v>
      </c>
      <c r="G218" s="4" t="s">
        <v>11</v>
      </c>
      <c r="H218" s="4" t="s">
        <v>12</v>
      </c>
    </row>
    <row r="219" spans="1:8">
      <c r="A219" s="3" t="s">
        <v>1231</v>
      </c>
      <c r="B219" s="4" t="s">
        <v>1241</v>
      </c>
      <c r="C219" s="4" t="s">
        <v>1242</v>
      </c>
      <c r="D219" s="4" t="s">
        <v>636</v>
      </c>
      <c r="E219" s="4">
        <v>54</v>
      </c>
      <c r="F219" s="4">
        <v>4</v>
      </c>
      <c r="G219" s="4" t="s">
        <v>11</v>
      </c>
      <c r="H219" s="4" t="s">
        <v>12</v>
      </c>
    </row>
    <row r="220" spans="1:8">
      <c r="A220" s="3" t="s">
        <v>1231</v>
      </c>
      <c r="B220" s="4" t="s">
        <v>1531</v>
      </c>
      <c r="C220" s="4" t="s">
        <v>1532</v>
      </c>
      <c r="D220" s="4" t="s">
        <v>636</v>
      </c>
      <c r="E220" s="4">
        <v>54</v>
      </c>
      <c r="F220" s="4">
        <v>4</v>
      </c>
      <c r="G220" s="4" t="s">
        <v>11</v>
      </c>
      <c r="H220" s="4" t="s">
        <v>12</v>
      </c>
    </row>
    <row r="221" spans="1:8">
      <c r="A221" s="3" t="s">
        <v>1102</v>
      </c>
      <c r="B221" s="4" t="s">
        <v>1107</v>
      </c>
      <c r="C221" s="4" t="s">
        <v>1108</v>
      </c>
      <c r="D221" s="4" t="s">
        <v>636</v>
      </c>
      <c r="E221" s="4">
        <v>40</v>
      </c>
      <c r="F221" s="4">
        <v>4</v>
      </c>
      <c r="G221" s="4" t="s">
        <v>11</v>
      </c>
      <c r="H221" s="4" t="s">
        <v>12</v>
      </c>
    </row>
    <row r="222" spans="1:8">
      <c r="A222" s="3" t="s">
        <v>1102</v>
      </c>
      <c r="B222" s="4" t="s">
        <v>1445</v>
      </c>
      <c r="C222" s="4" t="s">
        <v>1446</v>
      </c>
      <c r="D222" s="4" t="s">
        <v>636</v>
      </c>
      <c r="E222" s="4">
        <v>49</v>
      </c>
      <c r="F222" s="4">
        <v>4</v>
      </c>
      <c r="G222" s="4" t="s">
        <v>11</v>
      </c>
      <c r="H222" s="4" t="s">
        <v>12</v>
      </c>
    </row>
    <row r="223" spans="1:8">
      <c r="A223" s="3" t="s">
        <v>1102</v>
      </c>
      <c r="B223" s="4" t="s">
        <v>1117</v>
      </c>
      <c r="C223" s="4" t="s">
        <v>1118</v>
      </c>
      <c r="D223" s="4" t="s">
        <v>636</v>
      </c>
      <c r="E223" s="4">
        <v>40</v>
      </c>
      <c r="F223" s="4">
        <v>4</v>
      </c>
      <c r="G223" s="4" t="s">
        <v>11</v>
      </c>
      <c r="H223" s="4" t="s">
        <v>12</v>
      </c>
    </row>
    <row r="224" spans="1:8">
      <c r="A224" s="3" t="s">
        <v>1102</v>
      </c>
      <c r="B224" s="4" t="s">
        <v>1121</v>
      </c>
      <c r="C224" s="4" t="s">
        <v>1122</v>
      </c>
      <c r="D224" s="4" t="s">
        <v>636</v>
      </c>
      <c r="E224" s="4">
        <v>52</v>
      </c>
      <c r="F224" s="4">
        <v>4</v>
      </c>
      <c r="G224" s="4" t="s">
        <v>11</v>
      </c>
      <c r="H224" s="4" t="s">
        <v>12</v>
      </c>
    </row>
    <row r="225" spans="1:8">
      <c r="A225" s="3" t="s">
        <v>1102</v>
      </c>
      <c r="B225" s="4" t="s">
        <v>1125</v>
      </c>
      <c r="C225" s="4" t="s">
        <v>1126</v>
      </c>
      <c r="D225" s="4" t="s">
        <v>636</v>
      </c>
      <c r="E225" s="4">
        <v>55</v>
      </c>
      <c r="F225" s="4">
        <v>4</v>
      </c>
      <c r="G225" s="4" t="s">
        <v>11</v>
      </c>
      <c r="H225" s="4" t="s">
        <v>12</v>
      </c>
    </row>
    <row r="226" spans="1:8">
      <c r="A226" s="3" t="s">
        <v>1102</v>
      </c>
      <c r="B226" s="4" t="s">
        <v>1499</v>
      </c>
      <c r="C226" s="4" t="s">
        <v>1500</v>
      </c>
      <c r="D226" s="4" t="s">
        <v>636</v>
      </c>
      <c r="E226" s="4">
        <v>49</v>
      </c>
      <c r="F226" s="4">
        <v>4</v>
      </c>
      <c r="G226" s="4" t="s">
        <v>11</v>
      </c>
      <c r="H226" s="4" t="s">
        <v>12</v>
      </c>
    </row>
    <row r="227" spans="1:8">
      <c r="A227" s="3" t="s">
        <v>1102</v>
      </c>
      <c r="B227" s="4" t="s">
        <v>1129</v>
      </c>
      <c r="C227" s="4" t="s">
        <v>1130</v>
      </c>
      <c r="D227" s="4" t="s">
        <v>636</v>
      </c>
      <c r="E227" s="4">
        <v>46</v>
      </c>
      <c r="F227" s="4">
        <v>4</v>
      </c>
      <c r="G227" s="4" t="s">
        <v>11</v>
      </c>
      <c r="H227" s="4" t="s">
        <v>12</v>
      </c>
    </row>
    <row r="228" spans="1:8">
      <c r="A228" s="3" t="s">
        <v>1102</v>
      </c>
      <c r="B228" s="4" t="s">
        <v>1133</v>
      </c>
      <c r="C228" s="4" t="s">
        <v>1134</v>
      </c>
      <c r="D228" s="4" t="s">
        <v>636</v>
      </c>
      <c r="E228" s="4">
        <v>55</v>
      </c>
      <c r="F228" s="4">
        <v>4</v>
      </c>
      <c r="G228" s="4" t="s">
        <v>11</v>
      </c>
      <c r="H228" s="4" t="s">
        <v>12</v>
      </c>
    </row>
    <row r="229" spans="1:8">
      <c r="A229" s="3" t="s">
        <v>1135</v>
      </c>
      <c r="B229" s="4" t="s">
        <v>1563</v>
      </c>
      <c r="C229" s="4" t="s">
        <v>1564</v>
      </c>
      <c r="D229" s="4" t="s">
        <v>636</v>
      </c>
      <c r="E229" s="4">
        <v>52</v>
      </c>
      <c r="F229" s="4">
        <v>3</v>
      </c>
      <c r="G229" s="4" t="s">
        <v>11</v>
      </c>
      <c r="H229" s="4" t="s">
        <v>12</v>
      </c>
    </row>
    <row r="230" spans="1:8">
      <c r="A230" s="3" t="s">
        <v>1135</v>
      </c>
      <c r="B230" s="4" t="s">
        <v>1341</v>
      </c>
      <c r="C230" s="4" t="s">
        <v>1342</v>
      </c>
      <c r="D230" s="4" t="s">
        <v>636</v>
      </c>
      <c r="E230" s="4">
        <v>46</v>
      </c>
      <c r="F230" s="4">
        <v>3</v>
      </c>
      <c r="G230" s="4" t="s">
        <v>11</v>
      </c>
      <c r="H230" s="4" t="s">
        <v>12</v>
      </c>
    </row>
    <row r="231" spans="1:8">
      <c r="A231" s="3" t="s">
        <v>1135</v>
      </c>
      <c r="B231" s="4" t="s">
        <v>1142</v>
      </c>
      <c r="C231" s="4" t="s">
        <v>1143</v>
      </c>
      <c r="D231" s="4" t="s">
        <v>636</v>
      </c>
      <c r="E231" s="4">
        <v>58</v>
      </c>
      <c r="F231" s="4">
        <v>3</v>
      </c>
      <c r="G231" s="4" t="s">
        <v>11</v>
      </c>
      <c r="H231" s="4" t="s">
        <v>12</v>
      </c>
    </row>
    <row r="232" spans="1:8">
      <c r="A232" s="3" t="s">
        <v>1135</v>
      </c>
      <c r="B232" s="4" t="s">
        <v>1349</v>
      </c>
      <c r="C232" s="4" t="s">
        <v>1350</v>
      </c>
      <c r="D232" s="4" t="s">
        <v>636</v>
      </c>
      <c r="E232" s="4">
        <v>56</v>
      </c>
      <c r="F232" s="4">
        <v>3</v>
      </c>
      <c r="G232" s="4" t="s">
        <v>11</v>
      </c>
      <c r="H232" s="4" t="s">
        <v>12</v>
      </c>
    </row>
    <row r="233" spans="1:8">
      <c r="A233" s="3" t="s">
        <v>1428</v>
      </c>
      <c r="B233" s="4" t="s">
        <v>1471</v>
      </c>
      <c r="C233" s="4" t="s">
        <v>1472</v>
      </c>
      <c r="D233" s="4" t="s">
        <v>636</v>
      </c>
      <c r="E233" s="4">
        <v>41</v>
      </c>
      <c r="F233" s="4">
        <v>3</v>
      </c>
      <c r="G233" s="4" t="s">
        <v>11</v>
      </c>
      <c r="H233" s="4" t="s">
        <v>12</v>
      </c>
    </row>
    <row r="234" spans="1:8">
      <c r="A234" s="3" t="s">
        <v>1428</v>
      </c>
      <c r="B234" s="4" t="s">
        <v>1565</v>
      </c>
      <c r="C234" s="4" t="s">
        <v>1566</v>
      </c>
      <c r="D234" s="4" t="s">
        <v>636</v>
      </c>
      <c r="E234" s="4">
        <v>58</v>
      </c>
      <c r="F234" s="4">
        <v>3</v>
      </c>
      <c r="G234" s="4" t="s">
        <v>11</v>
      </c>
      <c r="H234" s="4" t="s">
        <v>12</v>
      </c>
    </row>
    <row r="235" spans="1:8">
      <c r="A235" s="3" t="s">
        <v>1009</v>
      </c>
      <c r="B235" s="4" t="s">
        <v>1485</v>
      </c>
      <c r="C235" s="4" t="s">
        <v>1486</v>
      </c>
      <c r="D235" s="4" t="s">
        <v>636</v>
      </c>
      <c r="E235" s="4">
        <v>42</v>
      </c>
      <c r="F235" s="4">
        <v>3</v>
      </c>
      <c r="G235" s="4" t="s">
        <v>11</v>
      </c>
      <c r="H235" s="4" t="s">
        <v>12</v>
      </c>
    </row>
    <row r="236" spans="1:8">
      <c r="A236" s="3" t="s">
        <v>1059</v>
      </c>
      <c r="B236" s="4" t="s">
        <v>1487</v>
      </c>
      <c r="C236" s="4" t="s">
        <v>1488</v>
      </c>
      <c r="D236" s="4" t="s">
        <v>636</v>
      </c>
      <c r="E236" s="4">
        <v>40</v>
      </c>
      <c r="F236" s="4">
        <v>3</v>
      </c>
      <c r="G236" s="4" t="s">
        <v>11</v>
      </c>
      <c r="H236" s="4" t="s">
        <v>12</v>
      </c>
    </row>
    <row r="237" spans="1:8">
      <c r="A237" s="3" t="s">
        <v>1059</v>
      </c>
      <c r="B237" s="4" t="s">
        <v>1489</v>
      </c>
      <c r="C237" s="4" t="s">
        <v>1490</v>
      </c>
      <c r="D237" s="4" t="s">
        <v>636</v>
      </c>
      <c r="E237" s="4">
        <v>40</v>
      </c>
      <c r="F237" s="4">
        <v>3</v>
      </c>
      <c r="G237" s="4" t="s">
        <v>11</v>
      </c>
      <c r="H237" s="4" t="s">
        <v>12</v>
      </c>
    </row>
    <row r="238" spans="1:8">
      <c r="A238" s="3" t="s">
        <v>1059</v>
      </c>
      <c r="B238" s="4" t="s">
        <v>1491</v>
      </c>
      <c r="C238" s="4" t="s">
        <v>1492</v>
      </c>
      <c r="D238" s="4" t="s">
        <v>636</v>
      </c>
      <c r="E238" s="4">
        <v>48</v>
      </c>
      <c r="F238" s="4">
        <v>3</v>
      </c>
      <c r="G238" s="4" t="s">
        <v>11</v>
      </c>
      <c r="H238" s="4" t="s">
        <v>12</v>
      </c>
    </row>
    <row r="239" spans="1:8">
      <c r="A239" s="3" t="s">
        <v>1059</v>
      </c>
      <c r="B239" s="4" t="s">
        <v>1493</v>
      </c>
      <c r="C239" s="4" t="s">
        <v>1494</v>
      </c>
      <c r="D239" s="4" t="s">
        <v>636</v>
      </c>
      <c r="E239" s="4">
        <v>55</v>
      </c>
      <c r="F239" s="4">
        <v>3</v>
      </c>
      <c r="G239" s="4" t="s">
        <v>11</v>
      </c>
      <c r="H239" s="4" t="s">
        <v>12</v>
      </c>
    </row>
    <row r="240" spans="1:8">
      <c r="A240" s="3" t="s">
        <v>1059</v>
      </c>
      <c r="B240" s="4" t="s">
        <v>1495</v>
      </c>
      <c r="C240" s="4" t="s">
        <v>1496</v>
      </c>
      <c r="D240" s="4" t="s">
        <v>636</v>
      </c>
      <c r="E240" s="4">
        <v>59</v>
      </c>
      <c r="F240" s="4">
        <v>3</v>
      </c>
      <c r="G240" s="4" t="s">
        <v>11</v>
      </c>
      <c r="H240" s="4" t="s">
        <v>12</v>
      </c>
    </row>
    <row r="241" spans="1:8">
      <c r="A241" s="3" t="s">
        <v>1054</v>
      </c>
      <c r="B241" s="4" t="s">
        <v>1483</v>
      </c>
      <c r="C241" s="4" t="s">
        <v>1484</v>
      </c>
      <c r="D241" s="4" t="s">
        <v>1727</v>
      </c>
      <c r="E241" s="4">
        <v>40</v>
      </c>
      <c r="F241" s="4">
        <v>3</v>
      </c>
      <c r="G241" s="4" t="s">
        <v>11</v>
      </c>
      <c r="H241" s="4" t="s">
        <v>12</v>
      </c>
    </row>
    <row r="242" spans="1:8">
      <c r="A242" s="3" t="s">
        <v>1054</v>
      </c>
      <c r="B242" s="4" t="s">
        <v>1375</v>
      </c>
      <c r="C242" s="4" t="s">
        <v>1376</v>
      </c>
      <c r="D242" s="4" t="s">
        <v>1727</v>
      </c>
      <c r="E242" s="4">
        <v>50</v>
      </c>
      <c r="F242" s="4">
        <v>3</v>
      </c>
      <c r="G242" s="4" t="s">
        <v>11</v>
      </c>
      <c r="H242" s="4" t="s">
        <v>12</v>
      </c>
    </row>
    <row r="243" spans="1:8">
      <c r="A243" s="3" t="s">
        <v>1054</v>
      </c>
      <c r="B243" s="4" t="s">
        <v>1593</v>
      </c>
      <c r="C243" s="4" t="s">
        <v>1594</v>
      </c>
      <c r="D243" s="4" t="s">
        <v>1727</v>
      </c>
      <c r="E243" s="4">
        <v>46</v>
      </c>
      <c r="F243" s="4">
        <v>3</v>
      </c>
      <c r="G243" s="4" t="s">
        <v>11</v>
      </c>
      <c r="H243" s="4" t="s">
        <v>12</v>
      </c>
    </row>
    <row r="244" spans="1:8">
      <c r="A244" s="3" t="s">
        <v>1054</v>
      </c>
      <c r="B244" s="4" t="s">
        <v>1379</v>
      </c>
      <c r="C244" s="4" t="s">
        <v>1380</v>
      </c>
      <c r="D244" s="4" t="s">
        <v>1727</v>
      </c>
      <c r="E244" s="4">
        <v>40</v>
      </c>
      <c r="F244" s="4">
        <v>3</v>
      </c>
      <c r="G244" s="4" t="s">
        <v>11</v>
      </c>
      <c r="H244" s="4" t="s">
        <v>12</v>
      </c>
    </row>
    <row r="245" spans="1:8">
      <c r="A245" s="3" t="s">
        <v>1054</v>
      </c>
      <c r="B245" s="4" t="s">
        <v>1459</v>
      </c>
      <c r="C245" s="4" t="s">
        <v>1460</v>
      </c>
      <c r="D245" s="4" t="s">
        <v>1727</v>
      </c>
      <c r="E245" s="4">
        <v>55</v>
      </c>
      <c r="F245" s="4">
        <v>3</v>
      </c>
      <c r="G245" s="4" t="s">
        <v>11</v>
      </c>
      <c r="H245" s="4" t="s">
        <v>12</v>
      </c>
    </row>
    <row r="246" spans="1:8">
      <c r="A246" s="3" t="s">
        <v>1054</v>
      </c>
      <c r="B246" s="4" t="s">
        <v>1385</v>
      </c>
      <c r="C246" s="4" t="s">
        <v>1386</v>
      </c>
      <c r="D246" s="4" t="s">
        <v>1727</v>
      </c>
      <c r="E246" s="4">
        <v>40</v>
      </c>
      <c r="F246" s="4">
        <v>3</v>
      </c>
      <c r="G246" s="4" t="s">
        <v>11</v>
      </c>
      <c r="H246" s="4" t="s">
        <v>12</v>
      </c>
    </row>
    <row r="247" spans="1:8">
      <c r="A247" s="3" t="s">
        <v>1200</v>
      </c>
      <c r="B247" s="4" t="s">
        <v>1595</v>
      </c>
      <c r="C247" s="4" t="s">
        <v>1596</v>
      </c>
      <c r="D247" s="4" t="s">
        <v>1727</v>
      </c>
      <c r="E247" s="4">
        <v>44</v>
      </c>
      <c r="F247" s="4">
        <v>3</v>
      </c>
      <c r="G247" s="4" t="s">
        <v>11</v>
      </c>
      <c r="H247" s="4" t="s">
        <v>12</v>
      </c>
    </row>
    <row r="248" spans="1:8">
      <c r="A248" s="3" t="s">
        <v>1200</v>
      </c>
      <c r="B248" s="4" t="s">
        <v>1205</v>
      </c>
      <c r="C248" s="4" t="s">
        <v>1206</v>
      </c>
      <c r="D248" s="4" t="s">
        <v>1727</v>
      </c>
      <c r="E248" s="4">
        <v>54</v>
      </c>
      <c r="F248" s="4">
        <v>3</v>
      </c>
      <c r="G248" s="4" t="s">
        <v>11</v>
      </c>
      <c r="H248" s="4" t="s">
        <v>12</v>
      </c>
    </row>
    <row r="249" spans="1:8">
      <c r="A249" s="3" t="s">
        <v>1200</v>
      </c>
      <c r="B249" s="4" t="s">
        <v>1207</v>
      </c>
      <c r="C249" s="4" t="s">
        <v>1208</v>
      </c>
      <c r="D249" s="4" t="s">
        <v>1727</v>
      </c>
      <c r="E249" s="4">
        <v>50</v>
      </c>
      <c r="F249" s="4">
        <v>3</v>
      </c>
      <c r="G249" s="4" t="s">
        <v>11</v>
      </c>
      <c r="H249" s="4" t="s">
        <v>12</v>
      </c>
    </row>
    <row r="250" spans="1:8">
      <c r="A250" s="3" t="s">
        <v>1200</v>
      </c>
      <c r="B250" s="4" t="s">
        <v>1728</v>
      </c>
      <c r="C250" s="4" t="s">
        <v>1729</v>
      </c>
      <c r="D250" s="4" t="s">
        <v>1727</v>
      </c>
      <c r="E250" s="4">
        <v>53</v>
      </c>
      <c r="F250" s="4">
        <v>3</v>
      </c>
      <c r="G250" s="4" t="s">
        <v>11</v>
      </c>
      <c r="H250" s="4" t="s">
        <v>12</v>
      </c>
    </row>
    <row r="251" spans="1:8">
      <c r="A251" s="3" t="s">
        <v>1200</v>
      </c>
      <c r="B251" s="4" t="s">
        <v>1301</v>
      </c>
      <c r="C251" s="4" t="s">
        <v>1302</v>
      </c>
      <c r="D251" s="4" t="s">
        <v>1727</v>
      </c>
      <c r="E251" s="4">
        <v>52</v>
      </c>
      <c r="F251" s="4">
        <v>3</v>
      </c>
      <c r="G251" s="4" t="s">
        <v>11</v>
      </c>
      <c r="H251" s="4" t="s">
        <v>12</v>
      </c>
    </row>
    <row r="252" spans="1:8">
      <c r="A252" s="3" t="s">
        <v>1200</v>
      </c>
      <c r="B252" s="4" t="s">
        <v>1730</v>
      </c>
      <c r="C252" s="4" t="s">
        <v>1731</v>
      </c>
      <c r="D252" s="4" t="s">
        <v>1727</v>
      </c>
      <c r="E252" s="4">
        <v>50</v>
      </c>
      <c r="F252" s="4">
        <v>3</v>
      </c>
      <c r="G252" s="4" t="s">
        <v>11</v>
      </c>
      <c r="H252" s="4" t="s">
        <v>12</v>
      </c>
    </row>
    <row r="253" spans="1:8">
      <c r="A253" s="3" t="s">
        <v>1184</v>
      </c>
      <c r="B253" s="4" t="s">
        <v>1570</v>
      </c>
      <c r="C253" s="4" t="s">
        <v>1571</v>
      </c>
      <c r="D253" s="4" t="s">
        <v>1727</v>
      </c>
      <c r="E253" s="4">
        <v>40</v>
      </c>
      <c r="F253" s="4">
        <v>3</v>
      </c>
      <c r="G253" s="4" t="s">
        <v>11</v>
      </c>
      <c r="H253" s="4" t="s">
        <v>12</v>
      </c>
    </row>
    <row r="254" spans="1:8">
      <c r="A254" s="3" t="s">
        <v>1184</v>
      </c>
      <c r="B254" s="4" t="s">
        <v>1387</v>
      </c>
      <c r="C254" s="4" t="s">
        <v>1388</v>
      </c>
      <c r="D254" s="4" t="s">
        <v>1727</v>
      </c>
      <c r="E254" s="4">
        <v>48</v>
      </c>
      <c r="F254" s="4">
        <v>3</v>
      </c>
      <c r="G254" s="4" t="s">
        <v>11</v>
      </c>
      <c r="H254" s="4" t="s">
        <v>12</v>
      </c>
    </row>
    <row r="255" spans="1:8">
      <c r="A255" s="3" t="s">
        <v>1184</v>
      </c>
      <c r="B255" s="4" t="s">
        <v>1389</v>
      </c>
      <c r="C255" s="4" t="s">
        <v>1390</v>
      </c>
      <c r="D255" s="4" t="s">
        <v>1727</v>
      </c>
      <c r="E255" s="4">
        <v>48</v>
      </c>
      <c r="F255" s="4">
        <v>3</v>
      </c>
      <c r="G255" s="4" t="s">
        <v>11</v>
      </c>
      <c r="H255" s="4" t="s">
        <v>12</v>
      </c>
    </row>
    <row r="256" spans="1:8">
      <c r="A256" s="3" t="s">
        <v>1184</v>
      </c>
      <c r="B256" s="4" t="s">
        <v>1517</v>
      </c>
      <c r="C256" s="4" t="s">
        <v>1518</v>
      </c>
      <c r="D256" s="4" t="s">
        <v>1727</v>
      </c>
      <c r="E256" s="4">
        <v>40</v>
      </c>
      <c r="F256" s="4">
        <v>3</v>
      </c>
      <c r="G256" s="4" t="s">
        <v>11</v>
      </c>
      <c r="H256" s="4" t="s">
        <v>12</v>
      </c>
    </row>
    <row r="257" spans="1:8">
      <c r="A257" s="3" t="s">
        <v>1184</v>
      </c>
      <c r="B257" s="4" t="s">
        <v>1519</v>
      </c>
      <c r="C257" s="4" t="s">
        <v>1520</v>
      </c>
      <c r="D257" s="4" t="s">
        <v>1727</v>
      </c>
      <c r="E257" s="4">
        <v>46</v>
      </c>
      <c r="F257" s="4">
        <v>3</v>
      </c>
      <c r="G257" s="4" t="s">
        <v>11</v>
      </c>
      <c r="H257" s="4" t="s">
        <v>12</v>
      </c>
    </row>
    <row r="258" spans="1:8">
      <c r="A258" s="3" t="s">
        <v>1184</v>
      </c>
      <c r="B258" s="4" t="s">
        <v>1185</v>
      </c>
      <c r="C258" s="4" t="s">
        <v>1186</v>
      </c>
      <c r="D258" s="4" t="s">
        <v>1727</v>
      </c>
      <c r="E258" s="4">
        <v>52</v>
      </c>
      <c r="F258" s="4">
        <v>3</v>
      </c>
      <c r="G258" s="4" t="s">
        <v>11</v>
      </c>
      <c r="H258" s="4" t="s">
        <v>12</v>
      </c>
    </row>
    <row r="259" spans="1:8">
      <c r="A259" s="3" t="s">
        <v>1184</v>
      </c>
      <c r="B259" s="4" t="s">
        <v>1521</v>
      </c>
      <c r="C259" s="4" t="s">
        <v>1522</v>
      </c>
      <c r="D259" s="4" t="s">
        <v>1727</v>
      </c>
      <c r="E259" s="4">
        <v>47</v>
      </c>
      <c r="F259" s="4">
        <v>3</v>
      </c>
      <c r="G259" s="4" t="s">
        <v>11</v>
      </c>
      <c r="H259" s="4" t="s">
        <v>12</v>
      </c>
    </row>
    <row r="260" spans="1:8">
      <c r="A260" s="3" t="s">
        <v>1184</v>
      </c>
      <c r="B260" s="4" t="s">
        <v>1391</v>
      </c>
      <c r="C260" s="4" t="s">
        <v>1392</v>
      </c>
      <c r="D260" s="4" t="s">
        <v>1727</v>
      </c>
      <c r="E260" s="4">
        <v>40</v>
      </c>
      <c r="F260" s="4">
        <v>3</v>
      </c>
      <c r="G260" s="4" t="s">
        <v>11</v>
      </c>
      <c r="H260" s="4" t="s">
        <v>12</v>
      </c>
    </row>
    <row r="261" spans="1:8">
      <c r="A261" s="3" t="s">
        <v>1184</v>
      </c>
      <c r="B261" s="4" t="s">
        <v>1732</v>
      </c>
      <c r="C261" s="4" t="s">
        <v>1733</v>
      </c>
      <c r="D261" s="4" t="s">
        <v>1727</v>
      </c>
      <c r="E261" s="4">
        <v>49</v>
      </c>
      <c r="F261" s="4">
        <v>3</v>
      </c>
      <c r="G261" s="4" t="s">
        <v>11</v>
      </c>
      <c r="H261" s="4" t="s">
        <v>12</v>
      </c>
    </row>
    <row r="262" spans="1:8">
      <c r="A262" s="3" t="s">
        <v>1184</v>
      </c>
      <c r="B262" s="4" t="s">
        <v>1523</v>
      </c>
      <c r="C262" s="4" t="s">
        <v>1524</v>
      </c>
      <c r="D262" s="4" t="s">
        <v>1727</v>
      </c>
      <c r="E262" s="4">
        <v>40</v>
      </c>
      <c r="F262" s="4">
        <v>3</v>
      </c>
      <c r="G262" s="4" t="s">
        <v>11</v>
      </c>
      <c r="H262" s="4" t="s">
        <v>12</v>
      </c>
    </row>
    <row r="263" spans="1:8">
      <c r="A263" s="3" t="s">
        <v>1184</v>
      </c>
      <c r="B263" s="4" t="s">
        <v>1461</v>
      </c>
      <c r="C263" s="4" t="s">
        <v>1462</v>
      </c>
      <c r="D263" s="4" t="s">
        <v>1727</v>
      </c>
      <c r="E263" s="4">
        <v>50</v>
      </c>
      <c r="F263" s="4">
        <v>3</v>
      </c>
      <c r="G263" s="4" t="s">
        <v>11</v>
      </c>
      <c r="H263" s="4" t="s">
        <v>12</v>
      </c>
    </row>
    <row r="264" spans="1:8">
      <c r="A264" s="3" t="s">
        <v>1054</v>
      </c>
      <c r="B264" s="4" t="s">
        <v>1483</v>
      </c>
      <c r="C264" s="4" t="s">
        <v>1484</v>
      </c>
      <c r="D264" s="4" t="s">
        <v>1695</v>
      </c>
      <c r="E264" s="4">
        <v>40</v>
      </c>
      <c r="F264" s="4">
        <v>3</v>
      </c>
      <c r="G264" s="4" t="s">
        <v>11</v>
      </c>
      <c r="H264" s="4" t="s">
        <v>12</v>
      </c>
    </row>
    <row r="265" spans="1:8">
      <c r="A265" s="3" t="s">
        <v>1054</v>
      </c>
      <c r="B265" s="4" t="s">
        <v>1718</v>
      </c>
      <c r="C265" s="4" t="s">
        <v>1719</v>
      </c>
      <c r="D265" s="4" t="s">
        <v>1695</v>
      </c>
      <c r="E265" s="4">
        <v>40</v>
      </c>
      <c r="F265" s="4">
        <v>3</v>
      </c>
      <c r="G265" s="4" t="s">
        <v>11</v>
      </c>
      <c r="H265" s="4" t="s">
        <v>12</v>
      </c>
    </row>
    <row r="266" spans="1:8">
      <c r="A266" s="3" t="s">
        <v>1054</v>
      </c>
      <c r="B266" s="4" t="s">
        <v>1369</v>
      </c>
      <c r="C266" s="4" t="s">
        <v>1370</v>
      </c>
      <c r="D266" s="4" t="s">
        <v>1695</v>
      </c>
      <c r="E266" s="4">
        <v>58</v>
      </c>
      <c r="F266" s="4">
        <v>3</v>
      </c>
      <c r="G266" s="4" t="s">
        <v>11</v>
      </c>
      <c r="H266" s="4" t="s">
        <v>12</v>
      </c>
    </row>
    <row r="267" spans="1:8">
      <c r="A267" s="3" t="s">
        <v>1054</v>
      </c>
      <c r="B267" s="4" t="s">
        <v>1371</v>
      </c>
      <c r="C267" s="4" t="s">
        <v>1372</v>
      </c>
      <c r="D267" s="4" t="s">
        <v>1695</v>
      </c>
      <c r="E267" s="4">
        <v>41</v>
      </c>
      <c r="F267" s="4">
        <v>3</v>
      </c>
      <c r="G267" s="4" t="s">
        <v>11</v>
      </c>
      <c r="H267" s="4" t="s">
        <v>12</v>
      </c>
    </row>
    <row r="268" spans="1:8">
      <c r="A268" s="3" t="s">
        <v>1054</v>
      </c>
      <c r="B268" s="4" t="s">
        <v>1720</v>
      </c>
      <c r="C268" s="4" t="s">
        <v>1600</v>
      </c>
      <c r="D268" s="4" t="s">
        <v>1695</v>
      </c>
      <c r="E268" s="4">
        <v>56</v>
      </c>
      <c r="F268" s="4">
        <v>3</v>
      </c>
      <c r="G268" s="4" t="s">
        <v>11</v>
      </c>
      <c r="H268" s="4" t="s">
        <v>12</v>
      </c>
    </row>
    <row r="269" spans="1:8">
      <c r="A269" s="3" t="s">
        <v>1054</v>
      </c>
      <c r="B269" s="4" t="s">
        <v>1375</v>
      </c>
      <c r="C269" s="4" t="s">
        <v>1376</v>
      </c>
      <c r="D269" s="4" t="s">
        <v>1695</v>
      </c>
      <c r="E269" s="4">
        <v>53</v>
      </c>
      <c r="F269" s="4">
        <v>3</v>
      </c>
      <c r="G269" s="4" t="s">
        <v>11</v>
      </c>
      <c r="H269" s="4" t="s">
        <v>12</v>
      </c>
    </row>
    <row r="270" spans="1:8">
      <c r="A270" s="3" t="s">
        <v>1054</v>
      </c>
      <c r="B270" s="4" t="s">
        <v>1721</v>
      </c>
      <c r="C270" s="4" t="s">
        <v>1722</v>
      </c>
      <c r="D270" s="4" t="s">
        <v>1695</v>
      </c>
      <c r="E270" s="4">
        <v>47</v>
      </c>
      <c r="F270" s="4">
        <v>3</v>
      </c>
      <c r="G270" s="4" t="s">
        <v>11</v>
      </c>
      <c r="H270" s="4" t="s">
        <v>12</v>
      </c>
    </row>
    <row r="271" spans="1:8">
      <c r="A271" s="3" t="s">
        <v>1054</v>
      </c>
      <c r="B271" s="4" t="s">
        <v>1377</v>
      </c>
      <c r="C271" s="4" t="s">
        <v>1378</v>
      </c>
      <c r="D271" s="4" t="s">
        <v>1695</v>
      </c>
      <c r="E271" s="4">
        <v>56</v>
      </c>
      <c r="F271" s="4">
        <v>3</v>
      </c>
      <c r="G271" s="4" t="s">
        <v>11</v>
      </c>
      <c r="H271" s="4" t="s">
        <v>12</v>
      </c>
    </row>
    <row r="272" spans="1:8">
      <c r="A272" s="3" t="s">
        <v>1054</v>
      </c>
      <c r="B272" s="4" t="s">
        <v>1057</v>
      </c>
      <c r="C272" s="4" t="s">
        <v>1058</v>
      </c>
      <c r="D272" s="4" t="s">
        <v>1695</v>
      </c>
      <c r="E272" s="4">
        <v>51</v>
      </c>
      <c r="F272" s="4">
        <v>3</v>
      </c>
      <c r="G272" s="4" t="s">
        <v>11</v>
      </c>
      <c r="H272" s="4" t="s">
        <v>12</v>
      </c>
    </row>
    <row r="273" spans="1:8">
      <c r="A273" s="3" t="s">
        <v>1054</v>
      </c>
      <c r="B273" s="4" t="s">
        <v>1723</v>
      </c>
      <c r="C273" s="4" t="s">
        <v>1724</v>
      </c>
      <c r="D273" s="4" t="s">
        <v>1695</v>
      </c>
      <c r="E273" s="4">
        <v>41</v>
      </c>
      <c r="F273" s="4">
        <v>3</v>
      </c>
      <c r="G273" s="4" t="s">
        <v>11</v>
      </c>
      <c r="H273" s="4" t="s">
        <v>12</v>
      </c>
    </row>
    <row r="274" spans="1:8">
      <c r="A274" s="3" t="s">
        <v>1054</v>
      </c>
      <c r="B274" s="4" t="s">
        <v>1381</v>
      </c>
      <c r="C274" s="4" t="s">
        <v>1382</v>
      </c>
      <c r="D274" s="4" t="s">
        <v>1695</v>
      </c>
      <c r="E274" s="4">
        <v>46</v>
      </c>
      <c r="F274" s="4">
        <v>3</v>
      </c>
      <c r="G274" s="4" t="s">
        <v>11</v>
      </c>
      <c r="H274" s="4" t="s">
        <v>12</v>
      </c>
    </row>
    <row r="275" spans="1:8">
      <c r="A275" s="3" t="s">
        <v>1054</v>
      </c>
      <c r="B275" s="4" t="s">
        <v>1725</v>
      </c>
      <c r="C275" s="4" t="s">
        <v>1726</v>
      </c>
      <c r="D275" s="4" t="s">
        <v>1695</v>
      </c>
      <c r="E275" s="4">
        <v>45</v>
      </c>
      <c r="F275" s="4">
        <v>3</v>
      </c>
      <c r="G275" s="4" t="s">
        <v>11</v>
      </c>
      <c r="H275" s="4" t="s">
        <v>12</v>
      </c>
    </row>
    <row r="276" spans="1:8">
      <c r="A276" s="3" t="s">
        <v>1054</v>
      </c>
      <c r="B276" s="4" t="s">
        <v>1383</v>
      </c>
      <c r="C276" s="4" t="s">
        <v>1384</v>
      </c>
      <c r="D276" s="4" t="s">
        <v>1695</v>
      </c>
      <c r="E276" s="4">
        <v>51</v>
      </c>
      <c r="F276" s="4">
        <v>3</v>
      </c>
      <c r="G276" s="4" t="s">
        <v>11</v>
      </c>
      <c r="H276" s="4" t="s">
        <v>12</v>
      </c>
    </row>
    <row r="277" spans="1:8">
      <c r="A277" s="3" t="s">
        <v>1054</v>
      </c>
      <c r="B277" s="4" t="s">
        <v>1459</v>
      </c>
      <c r="C277" s="4" t="s">
        <v>1460</v>
      </c>
      <c r="D277" s="4" t="s">
        <v>1695</v>
      </c>
      <c r="E277" s="4">
        <v>49</v>
      </c>
      <c r="F277" s="4">
        <v>3</v>
      </c>
      <c r="G277" s="4" t="s">
        <v>11</v>
      </c>
      <c r="H277" s="4" t="s">
        <v>12</v>
      </c>
    </row>
    <row r="278" spans="1:8">
      <c r="A278" s="3" t="s">
        <v>1200</v>
      </c>
      <c r="B278" s="4" t="s">
        <v>1595</v>
      </c>
      <c r="C278" s="4" t="s">
        <v>1596</v>
      </c>
      <c r="D278" s="4" t="s">
        <v>1695</v>
      </c>
      <c r="E278" s="4">
        <v>52</v>
      </c>
      <c r="F278" s="4">
        <v>3</v>
      </c>
      <c r="G278" s="4" t="s">
        <v>11</v>
      </c>
      <c r="H278" s="4" t="s">
        <v>12</v>
      </c>
    </row>
    <row r="279" spans="1:8">
      <c r="A279" s="3" t="s">
        <v>1200</v>
      </c>
      <c r="B279" s="4" t="s">
        <v>1441</v>
      </c>
      <c r="C279" s="4" t="s">
        <v>1442</v>
      </c>
      <c r="D279" s="4" t="s">
        <v>1695</v>
      </c>
      <c r="E279" s="4">
        <v>56</v>
      </c>
      <c r="F279" s="4">
        <v>3</v>
      </c>
      <c r="G279" s="4" t="s">
        <v>11</v>
      </c>
      <c r="H279" s="4" t="s">
        <v>12</v>
      </c>
    </row>
    <row r="280" spans="1:8">
      <c r="A280" s="3" t="s">
        <v>1200</v>
      </c>
      <c r="B280" s="4" t="s">
        <v>1201</v>
      </c>
      <c r="C280" s="4" t="s">
        <v>1202</v>
      </c>
      <c r="D280" s="4" t="s">
        <v>1695</v>
      </c>
      <c r="E280" s="4">
        <v>46</v>
      </c>
      <c r="F280" s="4">
        <v>3</v>
      </c>
      <c r="G280" s="4" t="s">
        <v>11</v>
      </c>
      <c r="H280" s="4" t="s">
        <v>12</v>
      </c>
    </row>
    <row r="281" spans="1:8">
      <c r="A281" s="3" t="s">
        <v>1200</v>
      </c>
      <c r="B281" s="4" t="s">
        <v>1203</v>
      </c>
      <c r="C281" s="4" t="s">
        <v>1204</v>
      </c>
      <c r="D281" s="4" t="s">
        <v>1695</v>
      </c>
      <c r="E281" s="4">
        <v>49</v>
      </c>
      <c r="F281" s="4">
        <v>3</v>
      </c>
      <c r="G281" s="4" t="s">
        <v>11</v>
      </c>
      <c r="H281" s="4" t="s">
        <v>12</v>
      </c>
    </row>
    <row r="282" spans="1:8">
      <c r="A282" s="3" t="s">
        <v>1200</v>
      </c>
      <c r="B282" s="4" t="s">
        <v>1211</v>
      </c>
      <c r="C282" s="4" t="s">
        <v>1212</v>
      </c>
      <c r="D282" s="4" t="s">
        <v>1695</v>
      </c>
      <c r="E282" s="4">
        <v>50</v>
      </c>
      <c r="F282" s="4">
        <v>3</v>
      </c>
      <c r="G282" s="4" t="s">
        <v>11</v>
      </c>
      <c r="H282" s="4" t="s">
        <v>12</v>
      </c>
    </row>
    <row r="283" spans="1:8">
      <c r="A283" s="3" t="s">
        <v>1200</v>
      </c>
      <c r="B283" s="4" t="s">
        <v>1301</v>
      </c>
      <c r="C283" s="4" t="s">
        <v>1302</v>
      </c>
      <c r="D283" s="4" t="s">
        <v>1695</v>
      </c>
      <c r="E283" s="4">
        <v>55</v>
      </c>
      <c r="F283" s="4">
        <v>3</v>
      </c>
      <c r="G283" s="4" t="s">
        <v>11</v>
      </c>
      <c r="H283" s="4" t="s">
        <v>12</v>
      </c>
    </row>
    <row r="284" spans="1:8">
      <c r="A284" s="3" t="s">
        <v>1184</v>
      </c>
      <c r="B284" s="4" t="s">
        <v>1704</v>
      </c>
      <c r="C284" s="4" t="s">
        <v>1705</v>
      </c>
      <c r="D284" s="4" t="s">
        <v>1695</v>
      </c>
      <c r="E284" s="4">
        <v>50</v>
      </c>
      <c r="F284" s="4">
        <v>3</v>
      </c>
      <c r="G284" s="4" t="s">
        <v>11</v>
      </c>
      <c r="H284" s="4" t="s">
        <v>12</v>
      </c>
    </row>
    <row r="285" spans="1:8">
      <c r="A285" s="3" t="s">
        <v>1184</v>
      </c>
      <c r="B285" s="4" t="s">
        <v>1570</v>
      </c>
      <c r="C285" s="4" t="s">
        <v>1571</v>
      </c>
      <c r="D285" s="4" t="s">
        <v>1695</v>
      </c>
      <c r="E285" s="4">
        <v>45</v>
      </c>
      <c r="F285" s="4">
        <v>3</v>
      </c>
      <c r="G285" s="4" t="s">
        <v>11</v>
      </c>
      <c r="H285" s="4" t="s">
        <v>12</v>
      </c>
    </row>
    <row r="286" spans="1:8">
      <c r="A286" s="3" t="s">
        <v>1184</v>
      </c>
      <c r="B286" s="4" t="s">
        <v>1185</v>
      </c>
      <c r="C286" s="4" t="s">
        <v>1186</v>
      </c>
      <c r="D286" s="4" t="s">
        <v>1695</v>
      </c>
      <c r="E286" s="4">
        <v>44</v>
      </c>
      <c r="F286" s="4">
        <v>3</v>
      </c>
      <c r="G286" s="4" t="s">
        <v>11</v>
      </c>
      <c r="H286" s="4" t="s">
        <v>12</v>
      </c>
    </row>
    <row r="287" spans="1:8">
      <c r="A287" s="3" t="s">
        <v>1184</v>
      </c>
      <c r="B287" s="4" t="s">
        <v>1521</v>
      </c>
      <c r="C287" s="4" t="s">
        <v>1522</v>
      </c>
      <c r="D287" s="4" t="s">
        <v>1695</v>
      </c>
      <c r="E287" s="4">
        <v>55</v>
      </c>
      <c r="F287" s="4">
        <v>3</v>
      </c>
      <c r="G287" s="4" t="s">
        <v>11</v>
      </c>
      <c r="H287" s="4" t="s">
        <v>12</v>
      </c>
    </row>
    <row r="288" spans="1:8">
      <c r="A288" s="3" t="s">
        <v>1184</v>
      </c>
      <c r="B288" s="4" t="s">
        <v>1706</v>
      </c>
      <c r="C288" s="4" t="s">
        <v>1707</v>
      </c>
      <c r="D288" s="4" t="s">
        <v>1695</v>
      </c>
      <c r="E288" s="4">
        <v>41</v>
      </c>
      <c r="F288" s="4">
        <v>3</v>
      </c>
      <c r="G288" s="4" t="s">
        <v>11</v>
      </c>
      <c r="H288" s="4" t="s">
        <v>12</v>
      </c>
    </row>
    <row r="289" spans="1:8">
      <c r="A289" s="3" t="s">
        <v>1184</v>
      </c>
      <c r="B289" s="4" t="s">
        <v>1189</v>
      </c>
      <c r="C289" s="4" t="s">
        <v>1190</v>
      </c>
      <c r="D289" s="4" t="s">
        <v>1695</v>
      </c>
      <c r="E289" s="4">
        <v>44</v>
      </c>
      <c r="F289" s="4">
        <v>3</v>
      </c>
      <c r="G289" s="4" t="s">
        <v>11</v>
      </c>
      <c r="H289" s="4" t="s">
        <v>12</v>
      </c>
    </row>
    <row r="290" spans="1:8">
      <c r="A290" s="3" t="s">
        <v>1184</v>
      </c>
      <c r="B290" s="4" t="s">
        <v>1708</v>
      </c>
      <c r="C290" s="4" t="s">
        <v>1709</v>
      </c>
      <c r="D290" s="4" t="s">
        <v>1695</v>
      </c>
      <c r="E290" s="4">
        <v>55</v>
      </c>
      <c r="F290" s="4">
        <v>3</v>
      </c>
      <c r="G290" s="4" t="s">
        <v>11</v>
      </c>
      <c r="H290" s="4" t="s">
        <v>12</v>
      </c>
    </row>
    <row r="291" spans="1:8">
      <c r="A291" s="3" t="s">
        <v>1184</v>
      </c>
      <c r="B291" s="4" t="s">
        <v>1710</v>
      </c>
      <c r="C291" s="4" t="s">
        <v>1711</v>
      </c>
      <c r="D291" s="4" t="s">
        <v>1695</v>
      </c>
      <c r="E291" s="4">
        <v>58</v>
      </c>
      <c r="F291" s="4">
        <v>3</v>
      </c>
      <c r="G291" s="4" t="s">
        <v>11</v>
      </c>
      <c r="H291" s="4" t="s">
        <v>12</v>
      </c>
    </row>
    <row r="292" spans="1:8">
      <c r="A292" s="3" t="s">
        <v>1184</v>
      </c>
      <c r="B292" s="4" t="s">
        <v>1712</v>
      </c>
      <c r="C292" s="4" t="s">
        <v>1713</v>
      </c>
      <c r="D292" s="4" t="s">
        <v>1695</v>
      </c>
      <c r="E292" s="4">
        <v>50</v>
      </c>
      <c r="F292" s="4">
        <v>3</v>
      </c>
      <c r="G292" s="4" t="s">
        <v>11</v>
      </c>
      <c r="H292" s="4" t="s">
        <v>12</v>
      </c>
    </row>
    <row r="293" spans="1:8">
      <c r="A293" s="3" t="s">
        <v>1184</v>
      </c>
      <c r="B293" s="4" t="s">
        <v>1714</v>
      </c>
      <c r="C293" s="4" t="s">
        <v>1715</v>
      </c>
      <c r="D293" s="4" t="s">
        <v>1695</v>
      </c>
      <c r="E293" s="4">
        <v>49</v>
      </c>
      <c r="F293" s="4">
        <v>3</v>
      </c>
      <c r="G293" s="4" t="s">
        <v>11</v>
      </c>
      <c r="H293" s="4" t="s">
        <v>12</v>
      </c>
    </row>
    <row r="294" spans="1:8">
      <c r="A294" s="3" t="s">
        <v>1184</v>
      </c>
      <c r="B294" s="4" t="s">
        <v>1716</v>
      </c>
      <c r="C294" s="4" t="s">
        <v>1717</v>
      </c>
      <c r="D294" s="4" t="s">
        <v>1695</v>
      </c>
      <c r="E294" s="4">
        <v>50</v>
      </c>
      <c r="F294" s="4">
        <v>3</v>
      </c>
      <c r="G294" s="4" t="s">
        <v>11</v>
      </c>
      <c r="H294" s="4" t="s">
        <v>12</v>
      </c>
    </row>
    <row r="295" spans="1:8">
      <c r="A295" s="3" t="s">
        <v>1184</v>
      </c>
      <c r="B295" s="4" t="s">
        <v>1393</v>
      </c>
      <c r="C295" s="4" t="s">
        <v>1394</v>
      </c>
      <c r="D295" s="4" t="s">
        <v>1695</v>
      </c>
      <c r="E295" s="4">
        <v>48</v>
      </c>
      <c r="F295" s="4">
        <v>3</v>
      </c>
      <c r="G295" s="4" t="s">
        <v>11</v>
      </c>
      <c r="H295" s="4" t="s">
        <v>12</v>
      </c>
    </row>
    <row r="296" spans="1:8">
      <c r="A296" s="3" t="s">
        <v>1083</v>
      </c>
      <c r="B296" s="4" t="s">
        <v>1693</v>
      </c>
      <c r="C296" s="4" t="s">
        <v>1694</v>
      </c>
      <c r="D296" s="4" t="s">
        <v>1695</v>
      </c>
      <c r="E296" s="4">
        <v>54</v>
      </c>
      <c r="F296" s="4">
        <v>3</v>
      </c>
      <c r="G296" s="4" t="s">
        <v>11</v>
      </c>
      <c r="H296" s="4" t="s">
        <v>12</v>
      </c>
    </row>
    <row r="297" spans="1:8">
      <c r="A297" s="3" t="s">
        <v>1083</v>
      </c>
      <c r="B297" s="4" t="s">
        <v>1696</v>
      </c>
      <c r="C297" s="4" t="s">
        <v>1697</v>
      </c>
      <c r="D297" s="4" t="s">
        <v>1695</v>
      </c>
      <c r="E297" s="4">
        <v>57</v>
      </c>
      <c r="F297" s="4">
        <v>3</v>
      </c>
      <c r="G297" s="4" t="s">
        <v>11</v>
      </c>
      <c r="H297" s="4" t="s">
        <v>12</v>
      </c>
    </row>
    <row r="298" spans="1:8">
      <c r="A298" s="3" t="s">
        <v>1083</v>
      </c>
      <c r="B298" s="4" t="s">
        <v>1698</v>
      </c>
      <c r="C298" s="4" t="s">
        <v>1699</v>
      </c>
      <c r="D298" s="4" t="s">
        <v>1695</v>
      </c>
      <c r="E298" s="4">
        <v>58</v>
      </c>
      <c r="F298" s="4">
        <v>3</v>
      </c>
      <c r="G298" s="4" t="s">
        <v>11</v>
      </c>
      <c r="H298" s="4" t="s">
        <v>12</v>
      </c>
    </row>
    <row r="299" spans="1:8">
      <c r="A299" s="3" t="s">
        <v>1083</v>
      </c>
      <c r="B299" s="4" t="s">
        <v>1700</v>
      </c>
      <c r="C299" s="4" t="s">
        <v>1701</v>
      </c>
      <c r="D299" s="4" t="s">
        <v>1695</v>
      </c>
      <c r="E299" s="4">
        <v>56</v>
      </c>
      <c r="F299" s="4">
        <v>3</v>
      </c>
      <c r="G299" s="4" t="s">
        <v>11</v>
      </c>
      <c r="H299" s="4" t="s">
        <v>12</v>
      </c>
    </row>
    <row r="300" spans="1:8">
      <c r="A300" s="3" t="s">
        <v>1083</v>
      </c>
      <c r="B300" s="4" t="s">
        <v>1399</v>
      </c>
      <c r="C300" s="4" t="s">
        <v>954</v>
      </c>
      <c r="D300" s="4" t="s">
        <v>1695</v>
      </c>
      <c r="E300" s="4">
        <v>57</v>
      </c>
      <c r="F300" s="4">
        <v>3</v>
      </c>
      <c r="G300" s="4" t="s">
        <v>11</v>
      </c>
      <c r="H300" s="4" t="s">
        <v>12</v>
      </c>
    </row>
    <row r="301" spans="1:8">
      <c r="A301" s="3" t="s">
        <v>1083</v>
      </c>
      <c r="B301" s="4" t="s">
        <v>1702</v>
      </c>
      <c r="C301" s="4" t="s">
        <v>1703</v>
      </c>
      <c r="D301" s="4" t="s">
        <v>1695</v>
      </c>
      <c r="E301" s="4">
        <v>51</v>
      </c>
      <c r="F301" s="4">
        <v>3</v>
      </c>
      <c r="G301" s="4" t="s">
        <v>11</v>
      </c>
      <c r="H301" s="4" t="s">
        <v>12</v>
      </c>
    </row>
    <row r="302" spans="1:8">
      <c r="A302" s="3" t="s">
        <v>968</v>
      </c>
      <c r="B302" s="4" t="s">
        <v>969</v>
      </c>
      <c r="C302" s="4" t="s">
        <v>970</v>
      </c>
      <c r="D302" s="4" t="s">
        <v>10</v>
      </c>
      <c r="E302" s="4">
        <v>48</v>
      </c>
      <c r="F302" s="4">
        <v>3</v>
      </c>
      <c r="G302" s="4" t="s">
        <v>11</v>
      </c>
      <c r="H302" s="4" t="s">
        <v>12</v>
      </c>
    </row>
    <row r="303" spans="1:8">
      <c r="A303" s="3" t="s">
        <v>971</v>
      </c>
      <c r="B303" s="4" t="s">
        <v>972</v>
      </c>
      <c r="C303" s="4" t="s">
        <v>973</v>
      </c>
      <c r="D303" s="4" t="s">
        <v>10</v>
      </c>
      <c r="E303" s="4">
        <v>56</v>
      </c>
      <c r="F303" s="4">
        <v>3</v>
      </c>
      <c r="G303" s="4" t="s">
        <v>11</v>
      </c>
      <c r="H303" s="4" t="s">
        <v>12</v>
      </c>
    </row>
    <row r="304" spans="1:8">
      <c r="A304" s="3" t="s">
        <v>971</v>
      </c>
      <c r="B304" s="4" t="s">
        <v>974</v>
      </c>
      <c r="C304" s="4" t="s">
        <v>975</v>
      </c>
      <c r="D304" s="4" t="s">
        <v>10</v>
      </c>
      <c r="E304" s="4">
        <v>53</v>
      </c>
      <c r="F304" s="4">
        <v>3</v>
      </c>
      <c r="G304" s="4" t="s">
        <v>11</v>
      </c>
      <c r="H304" s="4" t="s">
        <v>12</v>
      </c>
    </row>
    <row r="305" spans="1:8">
      <c r="A305" s="3" t="s">
        <v>971</v>
      </c>
      <c r="B305" s="4" t="s">
        <v>976</v>
      </c>
      <c r="C305" s="4" t="s">
        <v>977</v>
      </c>
      <c r="D305" s="4" t="s">
        <v>10</v>
      </c>
      <c r="E305" s="4">
        <v>54</v>
      </c>
      <c r="F305" s="4">
        <v>3</v>
      </c>
      <c r="G305" s="4" t="s">
        <v>11</v>
      </c>
      <c r="H305" s="4" t="s">
        <v>12</v>
      </c>
    </row>
    <row r="306" spans="1:8">
      <c r="A306" s="3" t="s">
        <v>971</v>
      </c>
      <c r="B306" s="4" t="s">
        <v>978</v>
      </c>
      <c r="C306" s="4" t="s">
        <v>979</v>
      </c>
      <c r="D306" s="4" t="s">
        <v>10</v>
      </c>
      <c r="E306" s="4">
        <v>40</v>
      </c>
      <c r="F306" s="4">
        <v>3</v>
      </c>
      <c r="G306" s="4" t="s">
        <v>11</v>
      </c>
      <c r="H306" s="4" t="s">
        <v>12</v>
      </c>
    </row>
    <row r="307" spans="1:8">
      <c r="A307" s="3" t="s">
        <v>971</v>
      </c>
      <c r="B307" s="4" t="s">
        <v>980</v>
      </c>
      <c r="C307" s="4" t="s">
        <v>981</v>
      </c>
      <c r="D307" s="4" t="s">
        <v>10</v>
      </c>
      <c r="E307" s="4">
        <v>53</v>
      </c>
      <c r="F307" s="4">
        <v>3</v>
      </c>
      <c r="G307" s="4" t="s">
        <v>11</v>
      </c>
      <c r="H307" s="4" t="s">
        <v>12</v>
      </c>
    </row>
    <row r="308" spans="1:8">
      <c r="A308" s="3" t="s">
        <v>971</v>
      </c>
      <c r="B308" s="4" t="s">
        <v>982</v>
      </c>
      <c r="C308" s="4" t="s">
        <v>983</v>
      </c>
      <c r="D308" s="4" t="s">
        <v>10</v>
      </c>
      <c r="E308" s="4">
        <v>47</v>
      </c>
      <c r="F308" s="4">
        <v>3</v>
      </c>
      <c r="G308" s="4" t="s">
        <v>11</v>
      </c>
      <c r="H308" s="4" t="s">
        <v>12</v>
      </c>
    </row>
    <row r="309" spans="1:8">
      <c r="A309" s="3" t="s">
        <v>971</v>
      </c>
      <c r="B309" s="4" t="s">
        <v>984</v>
      </c>
      <c r="C309" s="4" t="s">
        <v>985</v>
      </c>
      <c r="D309" s="4" t="s">
        <v>10</v>
      </c>
      <c r="E309" s="4">
        <v>52</v>
      </c>
      <c r="F309" s="4">
        <v>3</v>
      </c>
      <c r="G309" s="4" t="s">
        <v>11</v>
      </c>
      <c r="H309" s="4" t="s">
        <v>12</v>
      </c>
    </row>
    <row r="310" spans="1:8">
      <c r="A310" s="3" t="s">
        <v>971</v>
      </c>
      <c r="B310" s="4" t="s">
        <v>986</v>
      </c>
      <c r="C310" s="4" t="s">
        <v>987</v>
      </c>
      <c r="D310" s="4" t="s">
        <v>10</v>
      </c>
      <c r="E310" s="4">
        <v>56</v>
      </c>
      <c r="F310" s="4">
        <v>3</v>
      </c>
      <c r="G310" s="4" t="s">
        <v>11</v>
      </c>
      <c r="H310" s="4" t="s">
        <v>12</v>
      </c>
    </row>
    <row r="311" spans="1:8">
      <c r="A311" s="3" t="s">
        <v>971</v>
      </c>
      <c r="B311" s="4" t="s">
        <v>988</v>
      </c>
      <c r="C311" s="4" t="s">
        <v>989</v>
      </c>
      <c r="D311" s="4" t="s">
        <v>10</v>
      </c>
      <c r="E311" s="4">
        <v>51</v>
      </c>
      <c r="F311" s="4">
        <v>3</v>
      </c>
      <c r="G311" s="4" t="s">
        <v>11</v>
      </c>
      <c r="H311" s="4" t="s">
        <v>12</v>
      </c>
    </row>
    <row r="312" spans="1:8">
      <c r="A312" s="3" t="s">
        <v>971</v>
      </c>
      <c r="B312" s="4" t="s">
        <v>990</v>
      </c>
      <c r="C312" s="4" t="s">
        <v>991</v>
      </c>
      <c r="D312" s="4" t="s">
        <v>10</v>
      </c>
      <c r="E312" s="4">
        <v>52</v>
      </c>
      <c r="F312" s="4">
        <v>3</v>
      </c>
      <c r="G312" s="4" t="s">
        <v>11</v>
      </c>
      <c r="H312" s="4" t="s">
        <v>12</v>
      </c>
    </row>
    <row r="313" spans="1:8">
      <c r="A313" s="3" t="s">
        <v>971</v>
      </c>
      <c r="B313" s="4" t="s">
        <v>992</v>
      </c>
      <c r="C313" s="4" t="s">
        <v>993</v>
      </c>
      <c r="D313" s="4" t="s">
        <v>10</v>
      </c>
      <c r="E313" s="4">
        <v>50</v>
      </c>
      <c r="F313" s="4">
        <v>3</v>
      </c>
      <c r="G313" s="4" t="s">
        <v>11</v>
      </c>
      <c r="H313" s="4" t="s">
        <v>12</v>
      </c>
    </row>
    <row r="314" spans="1:8">
      <c r="A314" s="3" t="s">
        <v>971</v>
      </c>
      <c r="B314" s="4" t="s">
        <v>994</v>
      </c>
      <c r="C314" s="4" t="s">
        <v>995</v>
      </c>
      <c r="D314" s="4" t="s">
        <v>10</v>
      </c>
      <c r="E314" s="4">
        <v>54</v>
      </c>
      <c r="F314" s="4">
        <v>3</v>
      </c>
      <c r="G314" s="4" t="s">
        <v>11</v>
      </c>
      <c r="H314" s="4" t="s">
        <v>12</v>
      </c>
    </row>
    <row r="315" spans="1:8">
      <c r="A315" s="3" t="s">
        <v>971</v>
      </c>
      <c r="B315" s="4" t="s">
        <v>996</v>
      </c>
      <c r="C315" s="4" t="s">
        <v>997</v>
      </c>
      <c r="D315" s="4" t="s">
        <v>10</v>
      </c>
      <c r="E315" s="4">
        <v>47</v>
      </c>
      <c r="F315" s="4">
        <v>3</v>
      </c>
      <c r="G315" s="4" t="s">
        <v>11</v>
      </c>
      <c r="H315" s="4" t="s">
        <v>12</v>
      </c>
    </row>
    <row r="316" spans="1:8">
      <c r="A316" s="3" t="s">
        <v>1171</v>
      </c>
      <c r="B316" s="4" t="s">
        <v>1172</v>
      </c>
      <c r="C316" s="4" t="s">
        <v>1173</v>
      </c>
      <c r="D316" s="4" t="s">
        <v>10</v>
      </c>
      <c r="E316" s="4">
        <v>54</v>
      </c>
      <c r="F316" s="4">
        <v>3</v>
      </c>
      <c r="G316" s="4" t="s">
        <v>11</v>
      </c>
      <c r="H316" s="4" t="s">
        <v>12</v>
      </c>
    </row>
    <row r="317" spans="1:8">
      <c r="A317" s="3" t="s">
        <v>1171</v>
      </c>
      <c r="B317" s="4" t="s">
        <v>1174</v>
      </c>
      <c r="C317" s="4" t="s">
        <v>1175</v>
      </c>
      <c r="D317" s="4" t="s">
        <v>10</v>
      </c>
      <c r="E317" s="4">
        <v>56</v>
      </c>
      <c r="F317" s="4">
        <v>3</v>
      </c>
      <c r="G317" s="4" t="s">
        <v>11</v>
      </c>
      <c r="H317" s="4" t="s">
        <v>12</v>
      </c>
    </row>
    <row r="318" spans="1:8">
      <c r="A318" s="3" t="s">
        <v>1171</v>
      </c>
      <c r="B318" s="4" t="s">
        <v>1176</v>
      </c>
      <c r="C318" s="4" t="s">
        <v>1177</v>
      </c>
      <c r="D318" s="4" t="s">
        <v>10</v>
      </c>
      <c r="E318" s="4">
        <v>53</v>
      </c>
      <c r="F318" s="4">
        <v>3</v>
      </c>
      <c r="G318" s="4" t="s">
        <v>11</v>
      </c>
      <c r="H318" s="4" t="s">
        <v>12</v>
      </c>
    </row>
    <row r="319" spans="1:8">
      <c r="A319" s="3" t="s">
        <v>1171</v>
      </c>
      <c r="B319" s="4" t="s">
        <v>1178</v>
      </c>
      <c r="C319" s="4" t="s">
        <v>1179</v>
      </c>
      <c r="D319" s="4" t="s">
        <v>10</v>
      </c>
      <c r="E319" s="4">
        <v>40</v>
      </c>
      <c r="F319" s="4">
        <v>3</v>
      </c>
      <c r="G319" s="4" t="s">
        <v>11</v>
      </c>
      <c r="H319" s="4" t="s">
        <v>12</v>
      </c>
    </row>
    <row r="320" spans="1:8">
      <c r="A320" s="3" t="s">
        <v>1171</v>
      </c>
      <c r="B320" s="4" t="s">
        <v>1180</v>
      </c>
      <c r="C320" s="4" t="s">
        <v>1181</v>
      </c>
      <c r="D320" s="4" t="s">
        <v>10</v>
      </c>
      <c r="E320" s="4">
        <v>40</v>
      </c>
      <c r="F320" s="4">
        <v>3</v>
      </c>
      <c r="G320" s="4" t="s">
        <v>11</v>
      </c>
      <c r="H320" s="4" t="s">
        <v>12</v>
      </c>
    </row>
    <row r="321" spans="1:8">
      <c r="A321" s="3" t="s">
        <v>1171</v>
      </c>
      <c r="B321" s="4" t="s">
        <v>1182</v>
      </c>
      <c r="C321" s="4" t="s">
        <v>1183</v>
      </c>
      <c r="D321" s="4" t="s">
        <v>10</v>
      </c>
      <c r="E321" s="4">
        <v>52</v>
      </c>
      <c r="F321" s="4">
        <v>3</v>
      </c>
      <c r="G321" s="4" t="s">
        <v>11</v>
      </c>
      <c r="H321" s="4" t="s">
        <v>12</v>
      </c>
    </row>
    <row r="322" spans="1:8">
      <c r="A322" s="3" t="s">
        <v>1064</v>
      </c>
      <c r="B322" s="4" t="s">
        <v>1065</v>
      </c>
      <c r="C322" s="4" t="s">
        <v>1066</v>
      </c>
      <c r="D322" s="4" t="s">
        <v>10</v>
      </c>
      <c r="E322" s="4">
        <v>40</v>
      </c>
      <c r="F322" s="4">
        <v>3</v>
      </c>
      <c r="G322" s="4" t="s">
        <v>11</v>
      </c>
      <c r="H322" s="4" t="s">
        <v>12</v>
      </c>
    </row>
    <row r="323" spans="1:8">
      <c r="A323" s="3" t="s">
        <v>1064</v>
      </c>
      <c r="B323" s="4" t="s">
        <v>1067</v>
      </c>
      <c r="C323" s="4" t="s">
        <v>1068</v>
      </c>
      <c r="D323" s="4" t="s">
        <v>10</v>
      </c>
      <c r="E323" s="4">
        <v>57</v>
      </c>
      <c r="F323" s="4">
        <v>3</v>
      </c>
      <c r="G323" s="4" t="s">
        <v>11</v>
      </c>
      <c r="H323" s="4" t="s">
        <v>12</v>
      </c>
    </row>
    <row r="324" spans="1:8">
      <c r="A324" s="3" t="s">
        <v>1064</v>
      </c>
      <c r="B324" s="4" t="s">
        <v>1069</v>
      </c>
      <c r="C324" s="4" t="s">
        <v>1070</v>
      </c>
      <c r="D324" s="4" t="s">
        <v>10</v>
      </c>
      <c r="E324" s="4">
        <v>40</v>
      </c>
      <c r="F324" s="4">
        <v>3</v>
      </c>
      <c r="G324" s="4" t="s">
        <v>11</v>
      </c>
      <c r="H324" s="4" t="s">
        <v>12</v>
      </c>
    </row>
    <row r="325" spans="1:8">
      <c r="A325" s="3" t="s">
        <v>1064</v>
      </c>
      <c r="B325" s="4" t="s">
        <v>1071</v>
      </c>
      <c r="C325" s="4" t="s">
        <v>1072</v>
      </c>
      <c r="D325" s="4" t="s">
        <v>10</v>
      </c>
      <c r="E325" s="4">
        <v>55</v>
      </c>
      <c r="F325" s="4">
        <v>3</v>
      </c>
      <c r="G325" s="4" t="s">
        <v>11</v>
      </c>
      <c r="H325" s="4" t="s">
        <v>12</v>
      </c>
    </row>
    <row r="326" spans="1:8">
      <c r="A326" s="3" t="s">
        <v>1064</v>
      </c>
      <c r="B326" s="4" t="s">
        <v>1073</v>
      </c>
      <c r="C326" s="4" t="s">
        <v>1074</v>
      </c>
      <c r="D326" s="4" t="s">
        <v>10</v>
      </c>
      <c r="E326" s="4">
        <v>40</v>
      </c>
      <c r="F326" s="4">
        <v>3</v>
      </c>
      <c r="G326" s="4" t="s">
        <v>11</v>
      </c>
      <c r="H326" s="4" t="s">
        <v>12</v>
      </c>
    </row>
    <row r="327" spans="1:8">
      <c r="A327" s="3" t="s">
        <v>1064</v>
      </c>
      <c r="B327" s="4" t="s">
        <v>1075</v>
      </c>
      <c r="C327" s="4" t="s">
        <v>1076</v>
      </c>
      <c r="D327" s="4" t="s">
        <v>10</v>
      </c>
      <c r="E327" s="4">
        <v>40</v>
      </c>
      <c r="F327" s="4">
        <v>3</v>
      </c>
      <c r="G327" s="4" t="s">
        <v>11</v>
      </c>
      <c r="H327" s="4" t="s">
        <v>12</v>
      </c>
    </row>
    <row r="328" spans="1:8">
      <c r="A328" s="3" t="s">
        <v>1064</v>
      </c>
      <c r="B328" s="4" t="s">
        <v>1077</v>
      </c>
      <c r="C328" s="4" t="s">
        <v>1078</v>
      </c>
      <c r="D328" s="4" t="s">
        <v>10</v>
      </c>
      <c r="E328" s="4">
        <v>52</v>
      </c>
      <c r="F328" s="4">
        <v>3</v>
      </c>
      <c r="G328" s="4" t="s">
        <v>11</v>
      </c>
      <c r="H328" s="4" t="s">
        <v>12</v>
      </c>
    </row>
    <row r="329" spans="1:8">
      <c r="A329" s="3" t="s">
        <v>1064</v>
      </c>
      <c r="B329" s="4" t="s">
        <v>1079</v>
      </c>
      <c r="C329" s="4" t="s">
        <v>1080</v>
      </c>
      <c r="D329" s="4" t="s">
        <v>10</v>
      </c>
      <c r="E329" s="4">
        <v>40</v>
      </c>
      <c r="F329" s="4">
        <v>3</v>
      </c>
      <c r="G329" s="4" t="s">
        <v>11</v>
      </c>
      <c r="H329" s="4" t="s">
        <v>12</v>
      </c>
    </row>
    <row r="330" spans="1:8">
      <c r="A330" s="3" t="s">
        <v>1064</v>
      </c>
      <c r="B330" s="4" t="s">
        <v>1081</v>
      </c>
      <c r="C330" s="4" t="s">
        <v>1082</v>
      </c>
      <c r="D330" s="4" t="s">
        <v>10</v>
      </c>
      <c r="E330" s="4">
        <v>57</v>
      </c>
      <c r="F330" s="4">
        <v>3</v>
      </c>
      <c r="G330" s="4" t="s">
        <v>11</v>
      </c>
      <c r="H330" s="4" t="s">
        <v>12</v>
      </c>
    </row>
    <row r="331" spans="1:8">
      <c r="A331" s="3" t="s">
        <v>1020</v>
      </c>
      <c r="B331" s="4" t="s">
        <v>1021</v>
      </c>
      <c r="C331" s="4" t="s">
        <v>1022</v>
      </c>
      <c r="D331" s="4" t="s">
        <v>10</v>
      </c>
      <c r="E331" s="4">
        <v>49</v>
      </c>
      <c r="F331" s="4">
        <v>3</v>
      </c>
      <c r="G331" s="4" t="s">
        <v>11</v>
      </c>
      <c r="H331" s="4" t="s">
        <v>12</v>
      </c>
    </row>
    <row r="332" spans="1:8">
      <c r="A332" s="3" t="s">
        <v>1020</v>
      </c>
      <c r="B332" s="4" t="s">
        <v>1023</v>
      </c>
      <c r="C332" s="4" t="s">
        <v>1024</v>
      </c>
      <c r="D332" s="4" t="s">
        <v>10</v>
      </c>
      <c r="E332" s="4">
        <v>49</v>
      </c>
      <c r="F332" s="4">
        <v>3</v>
      </c>
      <c r="G332" s="4" t="s">
        <v>11</v>
      </c>
      <c r="H332" s="4" t="s">
        <v>12</v>
      </c>
    </row>
    <row r="333" spans="1:8">
      <c r="A333" s="3" t="s">
        <v>1020</v>
      </c>
      <c r="B333" s="4" t="s">
        <v>1025</v>
      </c>
      <c r="C333" s="4" t="s">
        <v>1026</v>
      </c>
      <c r="D333" s="4" t="s">
        <v>10</v>
      </c>
      <c r="E333" s="4">
        <v>50</v>
      </c>
      <c r="F333" s="4">
        <v>3</v>
      </c>
      <c r="G333" s="4" t="s">
        <v>11</v>
      </c>
      <c r="H333" s="4" t="s">
        <v>12</v>
      </c>
    </row>
    <row r="334" spans="1:8">
      <c r="A334" s="3" t="s">
        <v>1020</v>
      </c>
      <c r="B334" s="4" t="s">
        <v>1027</v>
      </c>
      <c r="C334" s="4" t="s">
        <v>1028</v>
      </c>
      <c r="D334" s="4" t="s">
        <v>10</v>
      </c>
      <c r="E334" s="4">
        <v>54</v>
      </c>
      <c r="F334" s="4">
        <v>3</v>
      </c>
      <c r="G334" s="4" t="s">
        <v>11</v>
      </c>
      <c r="H334" s="4" t="s">
        <v>12</v>
      </c>
    </row>
    <row r="335" spans="1:8">
      <c r="A335" s="3" t="s">
        <v>1020</v>
      </c>
      <c r="B335" s="4" t="s">
        <v>1029</v>
      </c>
      <c r="C335" s="4" t="s">
        <v>1030</v>
      </c>
      <c r="D335" s="4" t="s">
        <v>10</v>
      </c>
      <c r="E335" s="4">
        <v>49</v>
      </c>
      <c r="F335" s="4">
        <v>3</v>
      </c>
      <c r="G335" s="4" t="s">
        <v>11</v>
      </c>
      <c r="H335" s="4" t="s">
        <v>12</v>
      </c>
    </row>
    <row r="336" spans="1:8">
      <c r="A336" s="3" t="s">
        <v>1020</v>
      </c>
      <c r="B336" s="4" t="s">
        <v>1031</v>
      </c>
      <c r="C336" s="4" t="s">
        <v>1032</v>
      </c>
      <c r="D336" s="4" t="s">
        <v>10</v>
      </c>
      <c r="E336" s="4">
        <v>51</v>
      </c>
      <c r="F336" s="4">
        <v>3</v>
      </c>
      <c r="G336" s="4" t="s">
        <v>11</v>
      </c>
      <c r="H336" s="4" t="s">
        <v>12</v>
      </c>
    </row>
    <row r="337" spans="1:8">
      <c r="A337" s="3" t="s">
        <v>1020</v>
      </c>
      <c r="B337" s="4" t="s">
        <v>1033</v>
      </c>
      <c r="C337" s="4" t="s">
        <v>1034</v>
      </c>
      <c r="D337" s="4" t="s">
        <v>10</v>
      </c>
      <c r="E337" s="4">
        <v>40</v>
      </c>
      <c r="F337" s="4">
        <v>3</v>
      </c>
      <c r="G337" s="4" t="s">
        <v>11</v>
      </c>
      <c r="H337" s="4" t="s">
        <v>12</v>
      </c>
    </row>
    <row r="338" spans="1:8">
      <c r="A338" s="3" t="s">
        <v>1035</v>
      </c>
      <c r="B338" s="4" t="s">
        <v>1036</v>
      </c>
      <c r="C338" s="4" t="s">
        <v>1037</v>
      </c>
      <c r="D338" s="4" t="s">
        <v>10</v>
      </c>
      <c r="E338" s="4">
        <v>57</v>
      </c>
      <c r="F338" s="4">
        <v>3</v>
      </c>
      <c r="G338" s="4" t="s">
        <v>11</v>
      </c>
      <c r="H338" s="4" t="s">
        <v>12</v>
      </c>
    </row>
    <row r="339" spans="1:8">
      <c r="A339" s="3" t="s">
        <v>1035</v>
      </c>
      <c r="B339" s="4" t="s">
        <v>1038</v>
      </c>
      <c r="C339" s="4" t="s">
        <v>1039</v>
      </c>
      <c r="D339" s="4" t="s">
        <v>10</v>
      </c>
      <c r="E339" s="4">
        <v>53</v>
      </c>
      <c r="F339" s="4">
        <v>3</v>
      </c>
      <c r="G339" s="4" t="s">
        <v>11</v>
      </c>
      <c r="H339" s="4" t="s">
        <v>12</v>
      </c>
    </row>
    <row r="340" spans="1:8">
      <c r="A340" s="3" t="s">
        <v>1035</v>
      </c>
      <c r="B340" s="4" t="s">
        <v>1040</v>
      </c>
      <c r="C340" s="4" t="s">
        <v>1041</v>
      </c>
      <c r="D340" s="4" t="s">
        <v>10</v>
      </c>
      <c r="E340" s="4">
        <v>56</v>
      </c>
      <c r="F340" s="4">
        <v>3</v>
      </c>
      <c r="G340" s="4" t="s">
        <v>11</v>
      </c>
      <c r="H340" s="4" t="s">
        <v>12</v>
      </c>
    </row>
    <row r="341" spans="1:8">
      <c r="A341" s="3" t="s">
        <v>1035</v>
      </c>
      <c r="B341" s="4" t="s">
        <v>1042</v>
      </c>
      <c r="C341" s="4" t="s">
        <v>1043</v>
      </c>
      <c r="D341" s="4" t="s">
        <v>10</v>
      </c>
      <c r="E341" s="4">
        <v>52</v>
      </c>
      <c r="F341" s="4">
        <v>3</v>
      </c>
      <c r="G341" s="4" t="s">
        <v>11</v>
      </c>
      <c r="H341" s="4" t="s">
        <v>12</v>
      </c>
    </row>
    <row r="342" spans="1:8">
      <c r="A342" s="3" t="s">
        <v>1035</v>
      </c>
      <c r="B342" s="4" t="s">
        <v>1044</v>
      </c>
      <c r="C342" s="4" t="s">
        <v>1045</v>
      </c>
      <c r="D342" s="4" t="s">
        <v>10</v>
      </c>
      <c r="E342" s="4">
        <v>56</v>
      </c>
      <c r="F342" s="4">
        <v>3</v>
      </c>
      <c r="G342" s="4" t="s">
        <v>11</v>
      </c>
      <c r="H342" s="4" t="s">
        <v>12</v>
      </c>
    </row>
    <row r="343" spans="1:8">
      <c r="A343" s="3" t="s">
        <v>1035</v>
      </c>
      <c r="B343" s="4" t="s">
        <v>1046</v>
      </c>
      <c r="C343" s="4" t="s">
        <v>1047</v>
      </c>
      <c r="D343" s="4" t="s">
        <v>10</v>
      </c>
      <c r="E343" s="4">
        <v>54</v>
      </c>
      <c r="F343" s="4">
        <v>3</v>
      </c>
      <c r="G343" s="4" t="s">
        <v>11</v>
      </c>
      <c r="H343" s="4" t="s">
        <v>12</v>
      </c>
    </row>
    <row r="344" spans="1:8">
      <c r="A344" s="3" t="s">
        <v>1035</v>
      </c>
      <c r="B344" s="4" t="s">
        <v>1048</v>
      </c>
      <c r="C344" s="4" t="s">
        <v>1049</v>
      </c>
      <c r="D344" s="4" t="s">
        <v>10</v>
      </c>
      <c r="E344" s="4">
        <v>55</v>
      </c>
      <c r="F344" s="4">
        <v>3</v>
      </c>
      <c r="G344" s="4" t="s">
        <v>11</v>
      </c>
      <c r="H344" s="4" t="s">
        <v>12</v>
      </c>
    </row>
    <row r="345" spans="1:8">
      <c r="A345" s="3" t="s">
        <v>1035</v>
      </c>
      <c r="B345" s="4" t="s">
        <v>1050</v>
      </c>
      <c r="C345" s="4" t="s">
        <v>1051</v>
      </c>
      <c r="D345" s="4" t="s">
        <v>10</v>
      </c>
      <c r="E345" s="4">
        <v>55</v>
      </c>
      <c r="F345" s="4">
        <v>3</v>
      </c>
      <c r="G345" s="4" t="s">
        <v>11</v>
      </c>
      <c r="H345" s="4" t="s">
        <v>12</v>
      </c>
    </row>
    <row r="346" spans="1:8">
      <c r="A346" s="3" t="s">
        <v>1035</v>
      </c>
      <c r="B346" s="4" t="s">
        <v>1052</v>
      </c>
      <c r="C346" s="4" t="s">
        <v>1053</v>
      </c>
      <c r="D346" s="4" t="s">
        <v>10</v>
      </c>
      <c r="E346" s="4">
        <v>51</v>
      </c>
      <c r="F346" s="4">
        <v>3</v>
      </c>
      <c r="G346" s="4" t="s">
        <v>11</v>
      </c>
      <c r="H346" s="4" t="s">
        <v>12</v>
      </c>
    </row>
    <row r="347" spans="1:8">
      <c r="A347" s="3" t="s">
        <v>1144</v>
      </c>
      <c r="B347" s="4" t="s">
        <v>1145</v>
      </c>
      <c r="C347" s="4" t="s">
        <v>1146</v>
      </c>
      <c r="D347" s="4" t="s">
        <v>10</v>
      </c>
      <c r="E347" s="4">
        <v>54</v>
      </c>
      <c r="F347" s="4">
        <v>3</v>
      </c>
      <c r="G347" s="4" t="s">
        <v>11</v>
      </c>
      <c r="H347" s="4" t="s">
        <v>12</v>
      </c>
    </row>
    <row r="348" spans="1:8">
      <c r="A348" s="3" t="s">
        <v>1144</v>
      </c>
      <c r="B348" s="4" t="s">
        <v>1147</v>
      </c>
      <c r="C348" s="4" t="s">
        <v>1148</v>
      </c>
      <c r="D348" s="4" t="s">
        <v>10</v>
      </c>
      <c r="E348" s="4">
        <v>46</v>
      </c>
      <c r="F348" s="4">
        <v>3</v>
      </c>
      <c r="G348" s="4" t="s">
        <v>11</v>
      </c>
      <c r="H348" s="4" t="s">
        <v>12</v>
      </c>
    </row>
    <row r="349" spans="1:8">
      <c r="A349" s="3" t="s">
        <v>1144</v>
      </c>
      <c r="B349" s="4" t="s">
        <v>1149</v>
      </c>
      <c r="C349" s="4" t="s">
        <v>1150</v>
      </c>
      <c r="D349" s="4" t="s">
        <v>10</v>
      </c>
      <c r="E349" s="4">
        <v>40</v>
      </c>
      <c r="F349" s="4">
        <v>3</v>
      </c>
      <c r="G349" s="4" t="s">
        <v>11</v>
      </c>
      <c r="H349" s="4" t="s">
        <v>12</v>
      </c>
    </row>
    <row r="350" spans="1:8">
      <c r="A350" s="3" t="s">
        <v>1144</v>
      </c>
      <c r="B350" s="4" t="s">
        <v>1151</v>
      </c>
      <c r="C350" s="4" t="s">
        <v>1152</v>
      </c>
      <c r="D350" s="4" t="s">
        <v>10</v>
      </c>
      <c r="E350" s="4">
        <v>40</v>
      </c>
      <c r="F350" s="4">
        <v>3</v>
      </c>
      <c r="G350" s="4" t="s">
        <v>11</v>
      </c>
      <c r="H350" s="4" t="s">
        <v>12</v>
      </c>
    </row>
    <row r="351" spans="1:8">
      <c r="A351" s="3" t="s">
        <v>1144</v>
      </c>
      <c r="B351" s="4" t="s">
        <v>1153</v>
      </c>
      <c r="C351" s="4" t="s">
        <v>1154</v>
      </c>
      <c r="D351" s="4" t="s">
        <v>10</v>
      </c>
      <c r="E351" s="4">
        <v>50</v>
      </c>
      <c r="F351" s="4">
        <v>3</v>
      </c>
      <c r="G351" s="4" t="s">
        <v>11</v>
      </c>
      <c r="H351" s="4" t="s">
        <v>12</v>
      </c>
    </row>
    <row r="352" spans="1:8">
      <c r="A352" s="3" t="s">
        <v>1144</v>
      </c>
      <c r="B352" s="4" t="s">
        <v>1155</v>
      </c>
      <c r="C352" s="4" t="s">
        <v>1156</v>
      </c>
      <c r="D352" s="4" t="s">
        <v>10</v>
      </c>
      <c r="E352" s="4">
        <v>44</v>
      </c>
      <c r="F352" s="4">
        <v>3</v>
      </c>
      <c r="G352" s="4" t="s">
        <v>11</v>
      </c>
      <c r="H352" s="4" t="s">
        <v>12</v>
      </c>
    </row>
    <row r="353" spans="1:8">
      <c r="A353" s="3" t="s">
        <v>1144</v>
      </c>
      <c r="B353" s="4" t="s">
        <v>1157</v>
      </c>
      <c r="C353" s="4" t="s">
        <v>1158</v>
      </c>
      <c r="D353" s="4" t="s">
        <v>10</v>
      </c>
      <c r="E353" s="4">
        <v>40</v>
      </c>
      <c r="F353" s="4">
        <v>3</v>
      </c>
      <c r="G353" s="4" t="s">
        <v>11</v>
      </c>
      <c r="H353" s="4" t="s">
        <v>12</v>
      </c>
    </row>
    <row r="354" spans="1:8">
      <c r="A354" s="3" t="s">
        <v>1144</v>
      </c>
      <c r="B354" s="4" t="s">
        <v>1159</v>
      </c>
      <c r="C354" s="4" t="s">
        <v>1160</v>
      </c>
      <c r="D354" s="4" t="s">
        <v>10</v>
      </c>
      <c r="E354" s="4">
        <v>40</v>
      </c>
      <c r="F354" s="4">
        <v>3</v>
      </c>
      <c r="G354" s="4" t="s">
        <v>11</v>
      </c>
      <c r="H354" s="4" t="s">
        <v>12</v>
      </c>
    </row>
    <row r="355" spans="1:8">
      <c r="A355" s="3" t="s">
        <v>1144</v>
      </c>
      <c r="B355" s="4" t="s">
        <v>1161</v>
      </c>
      <c r="C355" s="4" t="s">
        <v>1162</v>
      </c>
      <c r="D355" s="4" t="s">
        <v>10</v>
      </c>
      <c r="E355" s="4">
        <v>52</v>
      </c>
      <c r="F355" s="4">
        <v>3</v>
      </c>
      <c r="G355" s="4" t="s">
        <v>11</v>
      </c>
      <c r="H355" s="4" t="s">
        <v>12</v>
      </c>
    </row>
    <row r="356" spans="1:8">
      <c r="A356" s="3" t="s">
        <v>1144</v>
      </c>
      <c r="B356" s="4" t="s">
        <v>1163</v>
      </c>
      <c r="C356" s="4" t="s">
        <v>1164</v>
      </c>
      <c r="D356" s="4" t="s">
        <v>10</v>
      </c>
      <c r="E356" s="4">
        <v>47</v>
      </c>
      <c r="F356" s="4">
        <v>3</v>
      </c>
      <c r="G356" s="4" t="s">
        <v>11</v>
      </c>
      <c r="H356" s="4" t="s">
        <v>12</v>
      </c>
    </row>
    <row r="357" spans="1:8">
      <c r="A357" s="3" t="s">
        <v>1144</v>
      </c>
      <c r="B357" s="4" t="s">
        <v>1165</v>
      </c>
      <c r="C357" s="4" t="s">
        <v>1166</v>
      </c>
      <c r="D357" s="4" t="s">
        <v>10</v>
      </c>
      <c r="E357" s="4">
        <v>41</v>
      </c>
      <c r="F357" s="4">
        <v>3</v>
      </c>
      <c r="G357" s="4" t="s">
        <v>11</v>
      </c>
      <c r="H357" s="4" t="s">
        <v>12</v>
      </c>
    </row>
    <row r="358" spans="1:8">
      <c r="A358" s="3" t="s">
        <v>1144</v>
      </c>
      <c r="B358" s="4" t="s">
        <v>1167</v>
      </c>
      <c r="C358" s="4" t="s">
        <v>1168</v>
      </c>
      <c r="D358" s="4" t="s">
        <v>10</v>
      </c>
      <c r="E358" s="4">
        <v>40</v>
      </c>
      <c r="F358" s="4">
        <v>3</v>
      </c>
      <c r="G358" s="4" t="s">
        <v>11</v>
      </c>
      <c r="H358" s="4" t="s">
        <v>12</v>
      </c>
    </row>
    <row r="359" spans="1:8">
      <c r="A359" s="3" t="s">
        <v>1144</v>
      </c>
      <c r="B359" s="4" t="s">
        <v>1169</v>
      </c>
      <c r="C359" s="4" t="s">
        <v>1170</v>
      </c>
      <c r="D359" s="4" t="s">
        <v>10</v>
      </c>
      <c r="E359" s="4">
        <v>48</v>
      </c>
      <c r="F359" s="4">
        <v>3</v>
      </c>
      <c r="G359" s="4" t="s">
        <v>11</v>
      </c>
      <c r="H359" s="4" t="s">
        <v>12</v>
      </c>
    </row>
    <row r="360" spans="1:8">
      <c r="A360" s="3" t="s">
        <v>1054</v>
      </c>
      <c r="B360" s="4" t="s">
        <v>1055</v>
      </c>
      <c r="C360" s="4" t="s">
        <v>1056</v>
      </c>
      <c r="D360" s="4" t="s">
        <v>10</v>
      </c>
      <c r="E360" s="4">
        <v>50</v>
      </c>
      <c r="F360" s="4">
        <v>3</v>
      </c>
      <c r="G360" s="4" t="s">
        <v>11</v>
      </c>
      <c r="H360" s="4" t="s">
        <v>12</v>
      </c>
    </row>
    <row r="361" spans="1:8">
      <c r="A361" s="3" t="s">
        <v>1054</v>
      </c>
      <c r="B361" s="4" t="s">
        <v>1057</v>
      </c>
      <c r="C361" s="4" t="s">
        <v>1058</v>
      </c>
      <c r="D361" s="4" t="s">
        <v>10</v>
      </c>
      <c r="E361" s="4">
        <v>48</v>
      </c>
      <c r="F361" s="4">
        <v>3</v>
      </c>
      <c r="G361" s="4" t="s">
        <v>11</v>
      </c>
      <c r="H361" s="4" t="s">
        <v>12</v>
      </c>
    </row>
    <row r="362" spans="1:8">
      <c r="A362" s="3" t="s">
        <v>1200</v>
      </c>
      <c r="B362" s="4" t="s">
        <v>1201</v>
      </c>
      <c r="C362" s="4" t="s">
        <v>1202</v>
      </c>
      <c r="D362" s="4" t="s">
        <v>10</v>
      </c>
      <c r="E362" s="4">
        <v>57</v>
      </c>
      <c r="F362" s="4">
        <v>3</v>
      </c>
      <c r="G362" s="4" t="s">
        <v>11</v>
      </c>
      <c r="H362" s="4" t="s">
        <v>12</v>
      </c>
    </row>
    <row r="363" spans="1:8">
      <c r="A363" s="3" t="s">
        <v>1200</v>
      </c>
      <c r="B363" s="4" t="s">
        <v>1203</v>
      </c>
      <c r="C363" s="4" t="s">
        <v>1204</v>
      </c>
      <c r="D363" s="4" t="s">
        <v>10</v>
      </c>
      <c r="E363" s="4">
        <v>40</v>
      </c>
      <c r="F363" s="4">
        <v>3</v>
      </c>
      <c r="G363" s="4" t="s">
        <v>11</v>
      </c>
      <c r="H363" s="4" t="s">
        <v>12</v>
      </c>
    </row>
    <row r="364" spans="1:8">
      <c r="A364" s="3" t="s">
        <v>1200</v>
      </c>
      <c r="B364" s="4" t="s">
        <v>1205</v>
      </c>
      <c r="C364" s="4" t="s">
        <v>1206</v>
      </c>
      <c r="D364" s="4" t="s">
        <v>10</v>
      </c>
      <c r="E364" s="4">
        <v>55</v>
      </c>
      <c r="F364" s="4">
        <v>3</v>
      </c>
      <c r="G364" s="4" t="s">
        <v>11</v>
      </c>
      <c r="H364" s="4" t="s">
        <v>12</v>
      </c>
    </row>
    <row r="365" spans="1:8">
      <c r="A365" s="3" t="s">
        <v>1200</v>
      </c>
      <c r="B365" s="4" t="s">
        <v>1207</v>
      </c>
      <c r="C365" s="4" t="s">
        <v>1208</v>
      </c>
      <c r="D365" s="4" t="s">
        <v>10</v>
      </c>
      <c r="E365" s="4">
        <v>53</v>
      </c>
      <c r="F365" s="4">
        <v>3</v>
      </c>
      <c r="G365" s="4" t="s">
        <v>11</v>
      </c>
      <c r="H365" s="4" t="s">
        <v>12</v>
      </c>
    </row>
    <row r="366" spans="1:8">
      <c r="A366" s="3" t="s">
        <v>1200</v>
      </c>
      <c r="B366" s="4" t="s">
        <v>1209</v>
      </c>
      <c r="C366" s="4" t="s">
        <v>1210</v>
      </c>
      <c r="D366" s="4" t="s">
        <v>10</v>
      </c>
      <c r="E366" s="4">
        <v>56</v>
      </c>
      <c r="F366" s="4">
        <v>3</v>
      </c>
      <c r="G366" s="4" t="s">
        <v>11</v>
      </c>
      <c r="H366" s="4" t="s">
        <v>12</v>
      </c>
    </row>
    <row r="367" spans="1:8">
      <c r="A367" s="3" t="s">
        <v>1200</v>
      </c>
      <c r="B367" s="4" t="s">
        <v>1211</v>
      </c>
      <c r="C367" s="4" t="s">
        <v>1212</v>
      </c>
      <c r="D367" s="4" t="s">
        <v>10</v>
      </c>
      <c r="E367" s="4">
        <v>51</v>
      </c>
      <c r="F367" s="4">
        <v>3</v>
      </c>
      <c r="G367" s="4" t="s">
        <v>11</v>
      </c>
      <c r="H367" s="4" t="s">
        <v>12</v>
      </c>
    </row>
    <row r="368" spans="1:8">
      <c r="A368" s="3" t="s">
        <v>1200</v>
      </c>
      <c r="B368" s="4" t="s">
        <v>1213</v>
      </c>
      <c r="C368" s="4" t="s">
        <v>1214</v>
      </c>
      <c r="D368" s="4" t="s">
        <v>10</v>
      </c>
      <c r="E368" s="4">
        <v>45</v>
      </c>
      <c r="F368" s="4">
        <v>3</v>
      </c>
      <c r="G368" s="4" t="s">
        <v>11</v>
      </c>
      <c r="H368" s="4" t="s">
        <v>12</v>
      </c>
    </row>
    <row r="369" spans="1:8">
      <c r="A369" s="3" t="s">
        <v>1200</v>
      </c>
      <c r="B369" s="4" t="s">
        <v>1215</v>
      </c>
      <c r="C369" s="4" t="s">
        <v>1216</v>
      </c>
      <c r="D369" s="4" t="s">
        <v>10</v>
      </c>
      <c r="E369" s="4">
        <v>57</v>
      </c>
      <c r="F369" s="4">
        <v>3</v>
      </c>
      <c r="G369" s="4" t="s">
        <v>11</v>
      </c>
      <c r="H369" s="4" t="s">
        <v>12</v>
      </c>
    </row>
    <row r="370" spans="1:8">
      <c r="A370" s="3" t="s">
        <v>1184</v>
      </c>
      <c r="B370" s="4" t="s">
        <v>1185</v>
      </c>
      <c r="C370" s="4" t="s">
        <v>1186</v>
      </c>
      <c r="D370" s="4" t="s">
        <v>10</v>
      </c>
      <c r="E370" s="4">
        <v>51</v>
      </c>
      <c r="F370" s="4">
        <v>3</v>
      </c>
      <c r="G370" s="4" t="s">
        <v>11</v>
      </c>
      <c r="H370" s="4" t="s">
        <v>12</v>
      </c>
    </row>
    <row r="371" spans="1:8">
      <c r="A371" s="3" t="s">
        <v>1184</v>
      </c>
      <c r="B371" s="4" t="s">
        <v>1187</v>
      </c>
      <c r="C371" s="4" t="s">
        <v>1188</v>
      </c>
      <c r="D371" s="4" t="s">
        <v>10</v>
      </c>
      <c r="E371" s="4">
        <v>53</v>
      </c>
      <c r="F371" s="4">
        <v>3</v>
      </c>
      <c r="G371" s="4" t="s">
        <v>11</v>
      </c>
      <c r="H371" s="4" t="s">
        <v>12</v>
      </c>
    </row>
    <row r="372" spans="1:8">
      <c r="A372" s="3" t="s">
        <v>1184</v>
      </c>
      <c r="B372" s="4" t="s">
        <v>1189</v>
      </c>
      <c r="C372" s="4" t="s">
        <v>1190</v>
      </c>
      <c r="D372" s="4" t="s">
        <v>10</v>
      </c>
      <c r="E372" s="4">
        <v>54</v>
      </c>
      <c r="F372" s="4">
        <v>3</v>
      </c>
      <c r="G372" s="4" t="s">
        <v>11</v>
      </c>
      <c r="H372" s="4" t="s">
        <v>12</v>
      </c>
    </row>
    <row r="373" spans="1:8">
      <c r="A373" s="3" t="s">
        <v>1083</v>
      </c>
      <c r="B373" s="4" t="s">
        <v>1084</v>
      </c>
      <c r="C373" s="4" t="s">
        <v>1085</v>
      </c>
      <c r="D373" s="4" t="s">
        <v>10</v>
      </c>
      <c r="E373" s="4">
        <v>42</v>
      </c>
      <c r="F373" s="4">
        <v>3</v>
      </c>
      <c r="G373" s="4" t="s">
        <v>11</v>
      </c>
      <c r="H373" s="4" t="s">
        <v>12</v>
      </c>
    </row>
    <row r="374" spans="1:8">
      <c r="A374" s="3" t="s">
        <v>1083</v>
      </c>
      <c r="B374" s="4" t="s">
        <v>1086</v>
      </c>
      <c r="C374" s="4" t="s">
        <v>1087</v>
      </c>
      <c r="D374" s="4" t="s">
        <v>10</v>
      </c>
      <c r="E374" s="4">
        <v>54</v>
      </c>
      <c r="F374" s="4">
        <v>3</v>
      </c>
      <c r="G374" s="4" t="s">
        <v>11</v>
      </c>
      <c r="H374" s="4" t="s">
        <v>12</v>
      </c>
    </row>
    <row r="375" spans="1:8">
      <c r="A375" s="3" t="s">
        <v>1083</v>
      </c>
      <c r="B375" s="4" t="s">
        <v>1088</v>
      </c>
      <c r="C375" s="4" t="s">
        <v>1089</v>
      </c>
      <c r="D375" s="4" t="s">
        <v>10</v>
      </c>
      <c r="E375" s="4">
        <v>59</v>
      </c>
      <c r="F375" s="4">
        <v>3</v>
      </c>
      <c r="G375" s="4" t="s">
        <v>11</v>
      </c>
      <c r="H375" s="4" t="s">
        <v>12</v>
      </c>
    </row>
    <row r="376" spans="1:8">
      <c r="A376" s="3" t="s">
        <v>1083</v>
      </c>
      <c r="B376" s="4" t="s">
        <v>1090</v>
      </c>
      <c r="C376" s="4" t="s">
        <v>1091</v>
      </c>
      <c r="D376" s="4" t="s">
        <v>10</v>
      </c>
      <c r="E376" s="4">
        <v>56</v>
      </c>
      <c r="F376" s="4">
        <v>3</v>
      </c>
      <c r="G376" s="4" t="s">
        <v>11</v>
      </c>
      <c r="H376" s="4" t="s">
        <v>12</v>
      </c>
    </row>
    <row r="377" spans="1:8">
      <c r="A377" s="3" t="s">
        <v>1083</v>
      </c>
      <c r="B377" s="4" t="s">
        <v>1092</v>
      </c>
      <c r="C377" s="4" t="s">
        <v>1093</v>
      </c>
      <c r="D377" s="4" t="s">
        <v>10</v>
      </c>
      <c r="E377" s="4">
        <v>53</v>
      </c>
      <c r="F377" s="4">
        <v>3</v>
      </c>
      <c r="G377" s="4" t="s">
        <v>11</v>
      </c>
      <c r="H377" s="4" t="s">
        <v>12</v>
      </c>
    </row>
    <row r="378" spans="1:8">
      <c r="A378" s="3" t="s">
        <v>1083</v>
      </c>
      <c r="B378" s="4" t="s">
        <v>1094</v>
      </c>
      <c r="C378" s="4" t="s">
        <v>1095</v>
      </c>
      <c r="D378" s="4" t="s">
        <v>10</v>
      </c>
      <c r="E378" s="4">
        <v>57</v>
      </c>
      <c r="F378" s="4">
        <v>3</v>
      </c>
      <c r="G378" s="4" t="s">
        <v>11</v>
      </c>
      <c r="H378" s="4" t="s">
        <v>12</v>
      </c>
    </row>
    <row r="379" spans="1:8">
      <c r="A379" s="3" t="s">
        <v>1083</v>
      </c>
      <c r="B379" s="4" t="s">
        <v>1096</v>
      </c>
      <c r="C379" s="4" t="s">
        <v>1097</v>
      </c>
      <c r="D379" s="4" t="s">
        <v>10</v>
      </c>
      <c r="E379" s="4">
        <v>51</v>
      </c>
      <c r="F379" s="4">
        <v>3</v>
      </c>
      <c r="G379" s="4" t="s">
        <v>11</v>
      </c>
      <c r="H379" s="4" t="s">
        <v>12</v>
      </c>
    </row>
    <row r="380" spans="1:8">
      <c r="A380" s="3" t="s">
        <v>1083</v>
      </c>
      <c r="B380" s="4" t="s">
        <v>1098</v>
      </c>
      <c r="C380" s="4" t="s">
        <v>1099</v>
      </c>
      <c r="D380" s="4" t="s">
        <v>10</v>
      </c>
      <c r="E380" s="4">
        <v>45</v>
      </c>
      <c r="F380" s="4">
        <v>3</v>
      </c>
      <c r="G380" s="4" t="s">
        <v>11</v>
      </c>
      <c r="H380" s="4" t="s">
        <v>12</v>
      </c>
    </row>
    <row r="381" spans="1:8">
      <c r="A381" s="3" t="s">
        <v>1083</v>
      </c>
      <c r="B381" s="4" t="s">
        <v>1100</v>
      </c>
      <c r="C381" s="4" t="s">
        <v>1101</v>
      </c>
      <c r="D381" s="4" t="s">
        <v>10</v>
      </c>
      <c r="E381" s="4">
        <v>45</v>
      </c>
      <c r="F381" s="4">
        <v>3</v>
      </c>
      <c r="G381" s="4" t="s">
        <v>11</v>
      </c>
      <c r="H381" s="4" t="s">
        <v>12</v>
      </c>
    </row>
    <row r="382" spans="1:8">
      <c r="A382" s="3" t="s">
        <v>1217</v>
      </c>
      <c r="B382" s="4" t="s">
        <v>1218</v>
      </c>
      <c r="C382" s="4" t="s">
        <v>1219</v>
      </c>
      <c r="D382" s="4" t="s">
        <v>10</v>
      </c>
      <c r="E382" s="4">
        <v>56</v>
      </c>
      <c r="F382" s="4">
        <v>3</v>
      </c>
      <c r="G382" s="4" t="s">
        <v>11</v>
      </c>
      <c r="H382" s="4" t="s">
        <v>12</v>
      </c>
    </row>
    <row r="383" spans="1:8">
      <c r="A383" s="3" t="s">
        <v>1217</v>
      </c>
      <c r="B383" s="4" t="s">
        <v>1220</v>
      </c>
      <c r="C383" s="4" t="s">
        <v>1221</v>
      </c>
      <c r="D383" s="4" t="s">
        <v>10</v>
      </c>
      <c r="E383" s="4">
        <v>54</v>
      </c>
      <c r="F383" s="4">
        <v>3</v>
      </c>
      <c r="G383" s="4" t="s">
        <v>11</v>
      </c>
      <c r="H383" s="4" t="s">
        <v>12</v>
      </c>
    </row>
    <row r="384" spans="1:8">
      <c r="A384" s="3" t="s">
        <v>1217</v>
      </c>
      <c r="B384" s="4" t="s">
        <v>1222</v>
      </c>
      <c r="C384" s="4" t="s">
        <v>1223</v>
      </c>
      <c r="D384" s="4" t="s">
        <v>10</v>
      </c>
      <c r="E384" s="4">
        <v>40</v>
      </c>
      <c r="F384" s="4">
        <v>3</v>
      </c>
      <c r="G384" s="4" t="s">
        <v>11</v>
      </c>
      <c r="H384" s="4" t="s">
        <v>12</v>
      </c>
    </row>
    <row r="385" spans="1:8">
      <c r="A385" s="3" t="s">
        <v>1217</v>
      </c>
      <c r="B385" s="4" t="s">
        <v>1224</v>
      </c>
      <c r="C385" s="4" t="s">
        <v>1225</v>
      </c>
      <c r="D385" s="4" t="s">
        <v>10</v>
      </c>
      <c r="E385" s="4">
        <v>56</v>
      </c>
      <c r="F385" s="4">
        <v>3</v>
      </c>
      <c r="G385" s="4" t="s">
        <v>11</v>
      </c>
      <c r="H385" s="4" t="s">
        <v>12</v>
      </c>
    </row>
    <row r="386" spans="1:8">
      <c r="A386" s="3" t="s">
        <v>1217</v>
      </c>
      <c r="B386" s="4" t="s">
        <v>1226</v>
      </c>
      <c r="C386" s="4" t="s">
        <v>1227</v>
      </c>
      <c r="D386" s="4" t="s">
        <v>10</v>
      </c>
      <c r="E386" s="4">
        <v>41</v>
      </c>
      <c r="F386" s="4">
        <v>3</v>
      </c>
      <c r="G386" s="4" t="s">
        <v>11</v>
      </c>
      <c r="H386" s="4" t="s">
        <v>12</v>
      </c>
    </row>
    <row r="387" spans="1:8">
      <c r="A387" s="3" t="s">
        <v>1217</v>
      </c>
      <c r="B387" s="4" t="s">
        <v>1228</v>
      </c>
      <c r="C387" s="4" t="s">
        <v>954</v>
      </c>
      <c r="D387" s="4" t="s">
        <v>10</v>
      </c>
      <c r="E387" s="4">
        <v>40</v>
      </c>
      <c r="F387" s="4">
        <v>3</v>
      </c>
      <c r="G387" s="4" t="s">
        <v>11</v>
      </c>
      <c r="H387" s="4" t="s">
        <v>12</v>
      </c>
    </row>
    <row r="388" spans="1:8">
      <c r="A388" s="3" t="s">
        <v>1217</v>
      </c>
      <c r="B388" s="4" t="s">
        <v>1229</v>
      </c>
      <c r="C388" s="4" t="s">
        <v>1230</v>
      </c>
      <c r="D388" s="4" t="s">
        <v>10</v>
      </c>
      <c r="E388" s="4">
        <v>50</v>
      </c>
      <c r="F388" s="4">
        <v>3</v>
      </c>
      <c r="G388" s="4" t="s">
        <v>11</v>
      </c>
      <c r="H388" s="4" t="s">
        <v>12</v>
      </c>
    </row>
    <row r="389" spans="1:8">
      <c r="A389" s="3" t="s">
        <v>998</v>
      </c>
      <c r="B389" s="4" t="s">
        <v>999</v>
      </c>
      <c r="C389" s="4" t="s">
        <v>1000</v>
      </c>
      <c r="D389" s="4" t="s">
        <v>10</v>
      </c>
      <c r="E389" s="4">
        <v>41</v>
      </c>
      <c r="F389" s="4">
        <v>3</v>
      </c>
      <c r="G389" s="4" t="s">
        <v>11</v>
      </c>
      <c r="H389" s="4" t="s">
        <v>12</v>
      </c>
    </row>
    <row r="390" spans="1:8">
      <c r="A390" s="3" t="s">
        <v>998</v>
      </c>
      <c r="B390" s="4" t="s">
        <v>1001</v>
      </c>
      <c r="C390" s="4" t="s">
        <v>1002</v>
      </c>
      <c r="D390" s="4" t="s">
        <v>10</v>
      </c>
      <c r="E390" s="4">
        <v>53</v>
      </c>
      <c r="F390" s="4">
        <v>3</v>
      </c>
      <c r="G390" s="4" t="s">
        <v>11</v>
      </c>
      <c r="H390" s="4" t="s">
        <v>12</v>
      </c>
    </row>
    <row r="391" spans="1:8">
      <c r="A391" s="3" t="s">
        <v>998</v>
      </c>
      <c r="B391" s="4" t="s">
        <v>1003</v>
      </c>
      <c r="C391" s="4" t="s">
        <v>1004</v>
      </c>
      <c r="D391" s="4" t="s">
        <v>10</v>
      </c>
      <c r="E391" s="4">
        <v>48</v>
      </c>
      <c r="F391" s="4">
        <v>3</v>
      </c>
      <c r="G391" s="4" t="s">
        <v>11</v>
      </c>
      <c r="H391" s="4" t="s">
        <v>12</v>
      </c>
    </row>
    <row r="392" spans="1:8">
      <c r="A392" s="3" t="s">
        <v>998</v>
      </c>
      <c r="B392" s="4" t="s">
        <v>1005</v>
      </c>
      <c r="C392" s="4" t="s">
        <v>1006</v>
      </c>
      <c r="D392" s="4" t="s">
        <v>10</v>
      </c>
      <c r="E392" s="4">
        <v>52</v>
      </c>
      <c r="F392" s="4">
        <v>3</v>
      </c>
      <c r="G392" s="4" t="s">
        <v>11</v>
      </c>
      <c r="H392" s="4" t="s">
        <v>12</v>
      </c>
    </row>
    <row r="393" spans="1:8">
      <c r="A393" s="3" t="s">
        <v>998</v>
      </c>
      <c r="B393" s="4" t="s">
        <v>1007</v>
      </c>
      <c r="C393" s="4" t="s">
        <v>1008</v>
      </c>
      <c r="D393" s="4" t="s">
        <v>10</v>
      </c>
      <c r="E393" s="4">
        <v>54</v>
      </c>
      <c r="F393" s="4">
        <v>3</v>
      </c>
      <c r="G393" s="4" t="s">
        <v>11</v>
      </c>
      <c r="H393" s="4" t="s">
        <v>12</v>
      </c>
    </row>
    <row r="394" spans="1:8">
      <c r="A394" s="3" t="s">
        <v>1191</v>
      </c>
      <c r="B394" s="4" t="s">
        <v>1192</v>
      </c>
      <c r="C394" s="4" t="s">
        <v>1193</v>
      </c>
      <c r="D394" s="4" t="s">
        <v>10</v>
      </c>
      <c r="E394" s="4">
        <v>55</v>
      </c>
      <c r="F394" s="4">
        <v>3</v>
      </c>
      <c r="G394" s="4" t="s">
        <v>11</v>
      </c>
      <c r="H394" s="4" t="s">
        <v>12</v>
      </c>
    </row>
    <row r="395" spans="1:8">
      <c r="A395" s="3" t="s">
        <v>1191</v>
      </c>
      <c r="B395" s="4" t="s">
        <v>1194</v>
      </c>
      <c r="C395" s="4" t="s">
        <v>1195</v>
      </c>
      <c r="D395" s="4" t="s">
        <v>10</v>
      </c>
      <c r="E395" s="4">
        <v>41</v>
      </c>
      <c r="F395" s="4">
        <v>3</v>
      </c>
      <c r="G395" s="4" t="s">
        <v>11</v>
      </c>
      <c r="H395" s="4" t="s">
        <v>12</v>
      </c>
    </row>
    <row r="396" spans="1:8">
      <c r="A396" s="3" t="s">
        <v>1191</v>
      </c>
      <c r="B396" s="4" t="s">
        <v>1196</v>
      </c>
      <c r="C396" s="4" t="s">
        <v>1197</v>
      </c>
      <c r="D396" s="4" t="s">
        <v>10</v>
      </c>
      <c r="E396" s="4">
        <v>49</v>
      </c>
      <c r="F396" s="4">
        <v>3</v>
      </c>
      <c r="G396" s="4" t="s">
        <v>11</v>
      </c>
      <c r="H396" s="4" t="s">
        <v>12</v>
      </c>
    </row>
    <row r="397" spans="1:8">
      <c r="A397" s="3" t="s">
        <v>1191</v>
      </c>
      <c r="B397" s="4" t="s">
        <v>1198</v>
      </c>
      <c r="C397" s="4" t="s">
        <v>1199</v>
      </c>
      <c r="D397" s="4" t="s">
        <v>10</v>
      </c>
      <c r="E397" s="4">
        <v>42</v>
      </c>
      <c r="F397" s="4">
        <v>3</v>
      </c>
      <c r="G397" s="4" t="s">
        <v>11</v>
      </c>
      <c r="H397" s="4" t="s">
        <v>12</v>
      </c>
    </row>
    <row r="398" spans="1:8">
      <c r="A398" s="3" t="s">
        <v>1231</v>
      </c>
      <c r="B398" s="4" t="s">
        <v>1232</v>
      </c>
      <c r="C398" s="4" t="s">
        <v>1233</v>
      </c>
      <c r="D398" s="4" t="s">
        <v>10</v>
      </c>
      <c r="E398" s="4">
        <v>55</v>
      </c>
      <c r="F398" s="4">
        <v>3</v>
      </c>
      <c r="G398" s="4" t="s">
        <v>11</v>
      </c>
      <c r="H398" s="4" t="s">
        <v>12</v>
      </c>
    </row>
    <row r="399" spans="1:8">
      <c r="A399" s="3" t="s">
        <v>1231</v>
      </c>
      <c r="B399" s="4" t="s">
        <v>1234</v>
      </c>
      <c r="C399" s="4" t="s">
        <v>1235</v>
      </c>
      <c r="D399" s="4" t="s">
        <v>10</v>
      </c>
      <c r="E399" s="4">
        <v>55</v>
      </c>
      <c r="F399" s="4">
        <v>3</v>
      </c>
      <c r="G399" s="4" t="s">
        <v>11</v>
      </c>
      <c r="H399" s="4" t="s">
        <v>12</v>
      </c>
    </row>
    <row r="400" spans="1:8">
      <c r="A400" s="3" t="s">
        <v>1231</v>
      </c>
      <c r="B400" s="4" t="s">
        <v>1236</v>
      </c>
      <c r="C400" s="4" t="s">
        <v>1237</v>
      </c>
      <c r="D400" s="4" t="s">
        <v>10</v>
      </c>
      <c r="E400" s="4">
        <v>54</v>
      </c>
      <c r="F400" s="4">
        <v>3</v>
      </c>
      <c r="G400" s="4" t="s">
        <v>11</v>
      </c>
      <c r="H400" s="4" t="s">
        <v>12</v>
      </c>
    </row>
    <row r="401" spans="1:8">
      <c r="A401" s="3" t="s">
        <v>1231</v>
      </c>
      <c r="B401" s="4" t="s">
        <v>1238</v>
      </c>
      <c r="C401" s="4" t="s">
        <v>1239</v>
      </c>
      <c r="D401" s="4" t="s">
        <v>10</v>
      </c>
      <c r="E401" s="4">
        <v>44</v>
      </c>
      <c r="F401" s="4">
        <v>3</v>
      </c>
      <c r="G401" s="4" t="s">
        <v>11</v>
      </c>
      <c r="H401" s="4" t="s">
        <v>12</v>
      </c>
    </row>
    <row r="402" spans="1:8">
      <c r="A402" s="3" t="s">
        <v>1231</v>
      </c>
      <c r="B402" s="4" t="s">
        <v>1240</v>
      </c>
      <c r="C402" s="4" t="s">
        <v>157</v>
      </c>
      <c r="D402" s="4" t="s">
        <v>10</v>
      </c>
      <c r="E402" s="4">
        <v>55</v>
      </c>
      <c r="F402" s="4">
        <v>3</v>
      </c>
      <c r="G402" s="4" t="s">
        <v>11</v>
      </c>
      <c r="H402" s="4" t="s">
        <v>12</v>
      </c>
    </row>
    <row r="403" spans="1:8">
      <c r="A403" s="3" t="s">
        <v>1231</v>
      </c>
      <c r="B403" s="4" t="s">
        <v>1241</v>
      </c>
      <c r="C403" s="4" t="s">
        <v>1242</v>
      </c>
      <c r="D403" s="4" t="s">
        <v>10</v>
      </c>
      <c r="E403" s="4">
        <v>44</v>
      </c>
      <c r="F403" s="4">
        <v>3</v>
      </c>
      <c r="G403" s="4" t="s">
        <v>11</v>
      </c>
      <c r="H403" s="4" t="s">
        <v>12</v>
      </c>
    </row>
    <row r="404" spans="1:8">
      <c r="A404" s="3" t="s">
        <v>1102</v>
      </c>
      <c r="B404" s="4" t="s">
        <v>1103</v>
      </c>
      <c r="C404" s="4" t="s">
        <v>1104</v>
      </c>
      <c r="D404" s="4" t="s">
        <v>10</v>
      </c>
      <c r="E404" s="4">
        <v>58</v>
      </c>
      <c r="F404" s="4">
        <v>3</v>
      </c>
      <c r="G404" s="4" t="s">
        <v>11</v>
      </c>
      <c r="H404" s="4" t="s">
        <v>12</v>
      </c>
    </row>
    <row r="405" spans="1:8">
      <c r="A405" s="3" t="s">
        <v>1102</v>
      </c>
      <c r="B405" s="4" t="s">
        <v>1105</v>
      </c>
      <c r="C405" s="4" t="s">
        <v>1106</v>
      </c>
      <c r="D405" s="4" t="s">
        <v>10</v>
      </c>
      <c r="E405" s="4">
        <v>45</v>
      </c>
      <c r="F405" s="4">
        <v>3</v>
      </c>
      <c r="G405" s="4" t="s">
        <v>11</v>
      </c>
      <c r="H405" s="4" t="s">
        <v>12</v>
      </c>
    </row>
    <row r="406" spans="1:8">
      <c r="A406" s="3" t="s">
        <v>1102</v>
      </c>
      <c r="B406" s="4" t="s">
        <v>1107</v>
      </c>
      <c r="C406" s="4" t="s">
        <v>1108</v>
      </c>
      <c r="D406" s="4" t="s">
        <v>10</v>
      </c>
      <c r="E406" s="4">
        <v>49</v>
      </c>
      <c r="F406" s="4">
        <v>3</v>
      </c>
      <c r="G406" s="4" t="s">
        <v>11</v>
      </c>
      <c r="H406" s="4" t="s">
        <v>12</v>
      </c>
    </row>
    <row r="407" spans="1:8">
      <c r="A407" s="3" t="s">
        <v>1102</v>
      </c>
      <c r="B407" s="4" t="s">
        <v>1109</v>
      </c>
      <c r="C407" s="4" t="s">
        <v>1110</v>
      </c>
      <c r="D407" s="4" t="s">
        <v>10</v>
      </c>
      <c r="E407" s="4">
        <v>52</v>
      </c>
      <c r="F407" s="4">
        <v>3</v>
      </c>
      <c r="G407" s="4" t="s">
        <v>11</v>
      </c>
      <c r="H407" s="4" t="s">
        <v>12</v>
      </c>
    </row>
    <row r="408" spans="1:8">
      <c r="A408" s="3" t="s">
        <v>1102</v>
      </c>
      <c r="B408" s="4" t="s">
        <v>1111</v>
      </c>
      <c r="C408" s="4" t="s">
        <v>1112</v>
      </c>
      <c r="D408" s="4" t="s">
        <v>10</v>
      </c>
      <c r="E408" s="4">
        <v>58</v>
      </c>
      <c r="F408" s="4">
        <v>3</v>
      </c>
      <c r="G408" s="4" t="s">
        <v>11</v>
      </c>
      <c r="H408" s="4" t="s">
        <v>12</v>
      </c>
    </row>
    <row r="409" spans="1:8">
      <c r="A409" s="3" t="s">
        <v>1102</v>
      </c>
      <c r="B409" s="4" t="s">
        <v>1113</v>
      </c>
      <c r="C409" s="4" t="s">
        <v>1114</v>
      </c>
      <c r="D409" s="4" t="s">
        <v>10</v>
      </c>
      <c r="E409" s="4">
        <v>53</v>
      </c>
      <c r="F409" s="4">
        <v>3</v>
      </c>
      <c r="G409" s="4" t="s">
        <v>11</v>
      </c>
      <c r="H409" s="4" t="s">
        <v>12</v>
      </c>
    </row>
    <row r="410" spans="1:8">
      <c r="A410" s="3" t="s">
        <v>1102</v>
      </c>
      <c r="B410" s="4" t="s">
        <v>1115</v>
      </c>
      <c r="C410" s="4" t="s">
        <v>1116</v>
      </c>
      <c r="D410" s="4" t="s">
        <v>10</v>
      </c>
      <c r="E410" s="4">
        <v>43</v>
      </c>
      <c r="F410" s="4">
        <v>3</v>
      </c>
      <c r="G410" s="4" t="s">
        <v>11</v>
      </c>
      <c r="H410" s="4" t="s">
        <v>12</v>
      </c>
    </row>
    <row r="411" spans="1:8">
      <c r="A411" s="3" t="s">
        <v>1102</v>
      </c>
      <c r="B411" s="4" t="s">
        <v>1117</v>
      </c>
      <c r="C411" s="4" t="s">
        <v>1118</v>
      </c>
      <c r="D411" s="4" t="s">
        <v>10</v>
      </c>
      <c r="E411" s="4">
        <v>40</v>
      </c>
      <c r="F411" s="4">
        <v>3</v>
      </c>
      <c r="G411" s="4" t="s">
        <v>11</v>
      </c>
      <c r="H411" s="4" t="s">
        <v>12</v>
      </c>
    </row>
    <row r="412" spans="1:8">
      <c r="A412" s="3" t="s">
        <v>1102</v>
      </c>
      <c r="B412" s="4" t="s">
        <v>1119</v>
      </c>
      <c r="C412" s="4" t="s">
        <v>1120</v>
      </c>
      <c r="D412" s="4" t="s">
        <v>10</v>
      </c>
      <c r="E412" s="4">
        <v>45</v>
      </c>
      <c r="F412" s="4">
        <v>3</v>
      </c>
      <c r="G412" s="4" t="s">
        <v>11</v>
      </c>
      <c r="H412" s="4" t="s">
        <v>12</v>
      </c>
    </row>
    <row r="413" spans="1:8">
      <c r="A413" s="3" t="s">
        <v>1102</v>
      </c>
      <c r="B413" s="4" t="s">
        <v>1121</v>
      </c>
      <c r="C413" s="4" t="s">
        <v>1122</v>
      </c>
      <c r="D413" s="4" t="s">
        <v>10</v>
      </c>
      <c r="E413" s="4">
        <v>50</v>
      </c>
      <c r="F413" s="4">
        <v>3</v>
      </c>
      <c r="G413" s="4" t="s">
        <v>11</v>
      </c>
      <c r="H413" s="4" t="s">
        <v>12</v>
      </c>
    </row>
    <row r="414" spans="1:8">
      <c r="A414" s="3" t="s">
        <v>1102</v>
      </c>
      <c r="B414" s="4" t="s">
        <v>1123</v>
      </c>
      <c r="C414" s="4" t="s">
        <v>1124</v>
      </c>
      <c r="D414" s="4" t="s">
        <v>10</v>
      </c>
      <c r="E414" s="4">
        <v>43</v>
      </c>
      <c r="F414" s="4">
        <v>3</v>
      </c>
      <c r="G414" s="4" t="s">
        <v>11</v>
      </c>
      <c r="H414" s="4" t="s">
        <v>12</v>
      </c>
    </row>
    <row r="415" spans="1:8">
      <c r="A415" s="3" t="s">
        <v>1102</v>
      </c>
      <c r="B415" s="4" t="s">
        <v>1125</v>
      </c>
      <c r="C415" s="4" t="s">
        <v>1126</v>
      </c>
      <c r="D415" s="4" t="s">
        <v>10</v>
      </c>
      <c r="E415" s="4">
        <v>56</v>
      </c>
      <c r="F415" s="4">
        <v>3</v>
      </c>
      <c r="G415" s="4" t="s">
        <v>11</v>
      </c>
      <c r="H415" s="4" t="s">
        <v>12</v>
      </c>
    </row>
    <row r="416" spans="1:8">
      <c r="A416" s="3" t="s">
        <v>1102</v>
      </c>
      <c r="B416" s="4" t="s">
        <v>1127</v>
      </c>
      <c r="C416" s="4" t="s">
        <v>1128</v>
      </c>
      <c r="D416" s="4" t="s">
        <v>10</v>
      </c>
      <c r="E416" s="4">
        <v>52</v>
      </c>
      <c r="F416" s="4">
        <v>3</v>
      </c>
      <c r="G416" s="4" t="s">
        <v>11</v>
      </c>
      <c r="H416" s="4" t="s">
        <v>12</v>
      </c>
    </row>
    <row r="417" spans="1:8">
      <c r="A417" s="3" t="s">
        <v>1102</v>
      </c>
      <c r="B417" s="4" t="s">
        <v>1129</v>
      </c>
      <c r="C417" s="4" t="s">
        <v>1130</v>
      </c>
      <c r="D417" s="4" t="s">
        <v>10</v>
      </c>
      <c r="E417" s="4">
        <v>43</v>
      </c>
      <c r="F417" s="4">
        <v>3</v>
      </c>
      <c r="G417" s="4" t="s">
        <v>11</v>
      </c>
      <c r="H417" s="4" t="s">
        <v>12</v>
      </c>
    </row>
    <row r="418" spans="1:8">
      <c r="A418" s="3" t="s">
        <v>1102</v>
      </c>
      <c r="B418" s="4" t="s">
        <v>1131</v>
      </c>
      <c r="C418" s="4" t="s">
        <v>1132</v>
      </c>
      <c r="D418" s="4" t="s">
        <v>10</v>
      </c>
      <c r="E418" s="4">
        <v>53</v>
      </c>
      <c r="F418" s="4">
        <v>3</v>
      </c>
      <c r="G418" s="4" t="s">
        <v>11</v>
      </c>
      <c r="H418" s="4" t="s">
        <v>12</v>
      </c>
    </row>
    <row r="419" spans="1:8">
      <c r="A419" s="3" t="s">
        <v>1102</v>
      </c>
      <c r="B419" s="4" t="s">
        <v>1133</v>
      </c>
      <c r="C419" s="4" t="s">
        <v>1134</v>
      </c>
      <c r="D419" s="4" t="s">
        <v>10</v>
      </c>
      <c r="E419" s="4">
        <v>55</v>
      </c>
      <c r="F419" s="4">
        <v>3</v>
      </c>
      <c r="G419" s="4" t="s">
        <v>11</v>
      </c>
      <c r="H419" s="4" t="s">
        <v>12</v>
      </c>
    </row>
    <row r="420" spans="1:8">
      <c r="A420" s="3" t="s">
        <v>1135</v>
      </c>
      <c r="B420" s="4" t="s">
        <v>1136</v>
      </c>
      <c r="C420" s="4" t="s">
        <v>1137</v>
      </c>
      <c r="D420" s="4" t="s">
        <v>10</v>
      </c>
      <c r="E420" s="4">
        <v>52</v>
      </c>
      <c r="F420" s="4">
        <v>3</v>
      </c>
      <c r="G420" s="4" t="s">
        <v>11</v>
      </c>
      <c r="H420" s="4" t="s">
        <v>12</v>
      </c>
    </row>
    <row r="421" spans="1:8">
      <c r="A421" s="3" t="s">
        <v>1135</v>
      </c>
      <c r="B421" s="4" t="s">
        <v>1138</v>
      </c>
      <c r="C421" s="4" t="s">
        <v>1139</v>
      </c>
      <c r="D421" s="4" t="s">
        <v>10</v>
      </c>
      <c r="E421" s="4">
        <v>52</v>
      </c>
      <c r="F421" s="4">
        <v>3</v>
      </c>
      <c r="G421" s="4" t="s">
        <v>11</v>
      </c>
      <c r="H421" s="4" t="s">
        <v>12</v>
      </c>
    </row>
    <row r="422" spans="1:8">
      <c r="A422" s="3" t="s">
        <v>1135</v>
      </c>
      <c r="B422" s="4" t="s">
        <v>1140</v>
      </c>
      <c r="C422" s="4" t="s">
        <v>1141</v>
      </c>
      <c r="D422" s="4" t="s">
        <v>10</v>
      </c>
      <c r="E422" s="4">
        <v>58</v>
      </c>
      <c r="F422" s="4">
        <v>3</v>
      </c>
      <c r="G422" s="4" t="s">
        <v>11</v>
      </c>
      <c r="H422" s="4" t="s">
        <v>12</v>
      </c>
    </row>
    <row r="423" spans="1:8">
      <c r="A423" s="3" t="s">
        <v>1135</v>
      </c>
      <c r="B423" s="4" t="s">
        <v>1142</v>
      </c>
      <c r="C423" s="4" t="s">
        <v>1143</v>
      </c>
      <c r="D423" s="4" t="s">
        <v>10</v>
      </c>
      <c r="E423" s="4">
        <v>54</v>
      </c>
      <c r="F423" s="4">
        <v>3</v>
      </c>
      <c r="G423" s="4" t="s">
        <v>11</v>
      </c>
      <c r="H423" s="4" t="s">
        <v>12</v>
      </c>
    </row>
    <row r="424" spans="1:8">
      <c r="A424" s="3" t="s">
        <v>1009</v>
      </c>
      <c r="B424" s="4" t="s">
        <v>1010</v>
      </c>
      <c r="C424" s="4" t="s">
        <v>1011</v>
      </c>
      <c r="D424" s="4" t="s">
        <v>10</v>
      </c>
      <c r="E424" s="4">
        <v>53</v>
      </c>
      <c r="F424" s="4">
        <v>3</v>
      </c>
      <c r="G424" s="4" t="s">
        <v>11</v>
      </c>
      <c r="H424" s="4" t="s">
        <v>12</v>
      </c>
    </row>
    <row r="425" spans="1:8">
      <c r="A425" s="3" t="s">
        <v>1009</v>
      </c>
      <c r="B425" s="4" t="s">
        <v>1012</v>
      </c>
      <c r="C425" s="4" t="s">
        <v>1013</v>
      </c>
      <c r="D425" s="4" t="s">
        <v>10</v>
      </c>
      <c r="E425" s="4">
        <v>45</v>
      </c>
      <c r="F425" s="4">
        <v>3</v>
      </c>
      <c r="G425" s="4" t="s">
        <v>11</v>
      </c>
      <c r="H425" s="4" t="s">
        <v>12</v>
      </c>
    </row>
    <row r="426" spans="1:8">
      <c r="A426" s="3" t="s">
        <v>1009</v>
      </c>
      <c r="B426" s="4" t="s">
        <v>1014</v>
      </c>
      <c r="C426" s="4" t="s">
        <v>1015</v>
      </c>
      <c r="D426" s="4" t="s">
        <v>10</v>
      </c>
      <c r="E426" s="4">
        <v>58</v>
      </c>
      <c r="F426" s="4">
        <v>3</v>
      </c>
      <c r="G426" s="4" t="s">
        <v>11</v>
      </c>
      <c r="H426" s="4" t="s">
        <v>12</v>
      </c>
    </row>
    <row r="427" spans="1:8">
      <c r="A427" s="3" t="s">
        <v>1009</v>
      </c>
      <c r="B427" s="4" t="s">
        <v>1016</v>
      </c>
      <c r="C427" s="4" t="s">
        <v>1017</v>
      </c>
      <c r="D427" s="4" t="s">
        <v>10</v>
      </c>
      <c r="E427" s="4">
        <v>59</v>
      </c>
      <c r="F427" s="4">
        <v>3</v>
      </c>
      <c r="G427" s="4" t="s">
        <v>11</v>
      </c>
      <c r="H427" s="4" t="s">
        <v>12</v>
      </c>
    </row>
    <row r="428" spans="1:8">
      <c r="A428" s="3" t="s">
        <v>1009</v>
      </c>
      <c r="B428" s="4" t="s">
        <v>1018</v>
      </c>
      <c r="C428" s="4" t="s">
        <v>1019</v>
      </c>
      <c r="D428" s="4" t="s">
        <v>10</v>
      </c>
      <c r="E428" s="4">
        <v>54</v>
      </c>
      <c r="F428" s="4">
        <v>3</v>
      </c>
      <c r="G428" s="4" t="s">
        <v>11</v>
      </c>
      <c r="H428" s="4" t="s">
        <v>12</v>
      </c>
    </row>
    <row r="429" spans="1:8">
      <c r="A429" s="3" t="s">
        <v>1059</v>
      </c>
      <c r="B429" s="4" t="s">
        <v>1060</v>
      </c>
      <c r="C429" s="4" t="s">
        <v>1061</v>
      </c>
      <c r="D429" s="4" t="s">
        <v>10</v>
      </c>
      <c r="E429" s="4">
        <v>49</v>
      </c>
      <c r="F429" s="4">
        <v>3</v>
      </c>
      <c r="G429" s="4" t="s">
        <v>11</v>
      </c>
      <c r="H429" s="4" t="s">
        <v>12</v>
      </c>
    </row>
    <row r="430" spans="1:8">
      <c r="A430" s="3" t="s">
        <v>1059</v>
      </c>
      <c r="B430" s="4" t="s">
        <v>1062</v>
      </c>
      <c r="C430" s="4" t="s">
        <v>1063</v>
      </c>
      <c r="D430" s="4" t="s">
        <v>10</v>
      </c>
      <c r="E430" s="4">
        <v>53</v>
      </c>
      <c r="F430" s="4">
        <v>3</v>
      </c>
      <c r="G430" s="4" t="s">
        <v>11</v>
      </c>
      <c r="H430" s="4" t="s">
        <v>12</v>
      </c>
    </row>
    <row r="431" spans="1:8">
      <c r="A431" s="3" t="s">
        <v>968</v>
      </c>
      <c r="B431" s="4" t="s">
        <v>1271</v>
      </c>
      <c r="C431" s="4" t="s">
        <v>1272</v>
      </c>
      <c r="D431" s="4" t="s">
        <v>340</v>
      </c>
      <c r="E431" s="4">
        <v>42</v>
      </c>
      <c r="F431" s="4">
        <v>2</v>
      </c>
      <c r="G431" s="4" t="s">
        <v>11</v>
      </c>
      <c r="H431" s="4" t="s">
        <v>12</v>
      </c>
    </row>
    <row r="432" spans="1:8">
      <c r="A432" s="3" t="s">
        <v>968</v>
      </c>
      <c r="B432" s="4" t="s">
        <v>1273</v>
      </c>
      <c r="C432" s="4" t="s">
        <v>1274</v>
      </c>
      <c r="D432" s="4" t="s">
        <v>340</v>
      </c>
      <c r="E432" s="4">
        <v>54</v>
      </c>
      <c r="F432" s="4">
        <v>2</v>
      </c>
      <c r="G432" s="4" t="s">
        <v>11</v>
      </c>
      <c r="H432" s="4" t="s">
        <v>12</v>
      </c>
    </row>
    <row r="433" spans="1:8">
      <c r="A433" s="3" t="s">
        <v>968</v>
      </c>
      <c r="B433" s="4" t="s">
        <v>1275</v>
      </c>
      <c r="C433" s="4" t="s">
        <v>1276</v>
      </c>
      <c r="D433" s="4" t="s">
        <v>340</v>
      </c>
      <c r="E433" s="4">
        <v>41</v>
      </c>
      <c r="F433" s="4">
        <v>2</v>
      </c>
      <c r="G433" s="4" t="s">
        <v>11</v>
      </c>
      <c r="H433" s="4" t="s">
        <v>12</v>
      </c>
    </row>
    <row r="434" spans="1:8">
      <c r="A434" s="3" t="s">
        <v>968</v>
      </c>
      <c r="B434" s="4" t="s">
        <v>1277</v>
      </c>
      <c r="C434" s="4" t="s">
        <v>1278</v>
      </c>
      <c r="D434" s="4" t="s">
        <v>340</v>
      </c>
      <c r="E434" s="4">
        <v>41</v>
      </c>
      <c r="F434" s="4">
        <v>2</v>
      </c>
      <c r="G434" s="4" t="s">
        <v>11</v>
      </c>
      <c r="H434" s="4" t="s">
        <v>12</v>
      </c>
    </row>
    <row r="435" spans="1:8">
      <c r="A435" s="3" t="s">
        <v>968</v>
      </c>
      <c r="B435" s="4" t="s">
        <v>1279</v>
      </c>
      <c r="C435" s="4" t="s">
        <v>1280</v>
      </c>
      <c r="D435" s="4" t="s">
        <v>340</v>
      </c>
      <c r="E435" s="4">
        <v>41</v>
      </c>
      <c r="F435" s="4">
        <v>2</v>
      </c>
      <c r="G435" s="4" t="s">
        <v>11</v>
      </c>
      <c r="H435" s="4" t="s">
        <v>12</v>
      </c>
    </row>
    <row r="436" spans="1:8">
      <c r="A436" s="3" t="s">
        <v>968</v>
      </c>
      <c r="B436" s="4" t="s">
        <v>969</v>
      </c>
      <c r="C436" s="4" t="s">
        <v>970</v>
      </c>
      <c r="D436" s="4" t="s">
        <v>340</v>
      </c>
      <c r="E436" s="4">
        <v>41</v>
      </c>
      <c r="F436" s="4">
        <v>2</v>
      </c>
      <c r="G436" s="4" t="s">
        <v>11</v>
      </c>
      <c r="H436" s="4" t="s">
        <v>12</v>
      </c>
    </row>
    <row r="437" spans="1:8">
      <c r="A437" s="3" t="s">
        <v>971</v>
      </c>
      <c r="B437" s="4" t="s">
        <v>1281</v>
      </c>
      <c r="C437" s="4" t="s">
        <v>1282</v>
      </c>
      <c r="D437" s="4" t="s">
        <v>340</v>
      </c>
      <c r="E437" s="4">
        <v>54</v>
      </c>
      <c r="F437" s="4">
        <v>2</v>
      </c>
      <c r="G437" s="4" t="s">
        <v>11</v>
      </c>
      <c r="H437" s="4" t="s">
        <v>12</v>
      </c>
    </row>
    <row r="438" spans="1:8">
      <c r="A438" s="3" t="s">
        <v>971</v>
      </c>
      <c r="B438" s="4" t="s">
        <v>1283</v>
      </c>
      <c r="C438" s="4" t="s">
        <v>1284</v>
      </c>
      <c r="D438" s="4" t="s">
        <v>340</v>
      </c>
      <c r="E438" s="4">
        <v>46</v>
      </c>
      <c r="F438" s="4">
        <v>2</v>
      </c>
      <c r="G438" s="4" t="s">
        <v>11</v>
      </c>
      <c r="H438" s="4" t="s">
        <v>12</v>
      </c>
    </row>
    <row r="439" spans="1:8">
      <c r="A439" s="3" t="s">
        <v>971</v>
      </c>
      <c r="B439" s="4" t="s">
        <v>1285</v>
      </c>
      <c r="C439" s="4" t="s">
        <v>1286</v>
      </c>
      <c r="D439" s="4" t="s">
        <v>340</v>
      </c>
      <c r="E439" s="4">
        <v>48</v>
      </c>
      <c r="F439" s="4">
        <v>2</v>
      </c>
      <c r="G439" s="4" t="s">
        <v>11</v>
      </c>
      <c r="H439" s="4" t="s">
        <v>12</v>
      </c>
    </row>
    <row r="440" spans="1:8">
      <c r="A440" s="3" t="s">
        <v>971</v>
      </c>
      <c r="B440" s="4" t="s">
        <v>980</v>
      </c>
      <c r="C440" s="4" t="s">
        <v>981</v>
      </c>
      <c r="D440" s="4" t="s">
        <v>340</v>
      </c>
      <c r="E440" s="4">
        <v>42</v>
      </c>
      <c r="F440" s="4">
        <v>2</v>
      </c>
      <c r="G440" s="4" t="s">
        <v>11</v>
      </c>
      <c r="H440" s="4" t="s">
        <v>12</v>
      </c>
    </row>
    <row r="441" spans="1:8">
      <c r="A441" s="3" t="s">
        <v>971</v>
      </c>
      <c r="B441" s="4" t="s">
        <v>988</v>
      </c>
      <c r="C441" s="4" t="s">
        <v>989</v>
      </c>
      <c r="D441" s="4" t="s">
        <v>340</v>
      </c>
      <c r="E441" s="4">
        <v>54</v>
      </c>
      <c r="F441" s="4">
        <v>2</v>
      </c>
      <c r="G441" s="4" t="s">
        <v>11</v>
      </c>
      <c r="H441" s="4" t="s">
        <v>12</v>
      </c>
    </row>
    <row r="442" spans="1:8">
      <c r="A442" s="3" t="s">
        <v>971</v>
      </c>
      <c r="B442" s="4" t="s">
        <v>990</v>
      </c>
      <c r="C442" s="4" t="s">
        <v>991</v>
      </c>
      <c r="D442" s="4" t="s">
        <v>340</v>
      </c>
      <c r="E442" s="4">
        <v>47</v>
      </c>
      <c r="F442" s="4">
        <v>2</v>
      </c>
      <c r="G442" s="4" t="s">
        <v>11</v>
      </c>
      <c r="H442" s="4" t="s">
        <v>12</v>
      </c>
    </row>
    <row r="443" spans="1:8">
      <c r="A443" s="3" t="s">
        <v>971</v>
      </c>
      <c r="B443" s="4" t="s">
        <v>1287</v>
      </c>
      <c r="C443" s="4" t="s">
        <v>1288</v>
      </c>
      <c r="D443" s="4" t="s">
        <v>340</v>
      </c>
      <c r="E443" s="4">
        <v>41</v>
      </c>
      <c r="F443" s="4">
        <v>2</v>
      </c>
      <c r="G443" s="4" t="s">
        <v>11</v>
      </c>
      <c r="H443" s="4" t="s">
        <v>12</v>
      </c>
    </row>
    <row r="444" spans="1:8">
      <c r="A444" s="3" t="s">
        <v>971</v>
      </c>
      <c r="B444" s="4" t="s">
        <v>1289</v>
      </c>
      <c r="C444" s="4" t="s">
        <v>1290</v>
      </c>
      <c r="D444" s="4" t="s">
        <v>340</v>
      </c>
      <c r="E444" s="4">
        <v>42</v>
      </c>
      <c r="F444" s="4">
        <v>2</v>
      </c>
      <c r="G444" s="4" t="s">
        <v>11</v>
      </c>
      <c r="H444" s="4" t="s">
        <v>12</v>
      </c>
    </row>
    <row r="445" spans="1:8">
      <c r="A445" s="3" t="s">
        <v>1171</v>
      </c>
      <c r="B445" s="4" t="s">
        <v>1243</v>
      </c>
      <c r="C445" s="4" t="s">
        <v>1244</v>
      </c>
      <c r="D445" s="4" t="s">
        <v>340</v>
      </c>
      <c r="E445" s="4">
        <v>40</v>
      </c>
      <c r="F445" s="4">
        <v>2</v>
      </c>
      <c r="G445" s="4" t="s">
        <v>11</v>
      </c>
      <c r="H445" s="4" t="s">
        <v>12</v>
      </c>
    </row>
    <row r="446" spans="1:8">
      <c r="A446" s="3" t="s">
        <v>1171</v>
      </c>
      <c r="B446" s="4" t="s">
        <v>1245</v>
      </c>
      <c r="C446" s="4" t="s">
        <v>1246</v>
      </c>
      <c r="D446" s="4" t="s">
        <v>340</v>
      </c>
      <c r="E446" s="4">
        <v>40</v>
      </c>
      <c r="F446" s="4">
        <v>2</v>
      </c>
      <c r="G446" s="4" t="s">
        <v>11</v>
      </c>
      <c r="H446" s="4" t="s">
        <v>12</v>
      </c>
    </row>
    <row r="447" spans="1:8">
      <c r="A447" s="3" t="s">
        <v>1171</v>
      </c>
      <c r="B447" s="4" t="s">
        <v>1247</v>
      </c>
      <c r="C447" s="4" t="s">
        <v>1248</v>
      </c>
      <c r="D447" s="4" t="s">
        <v>340</v>
      </c>
      <c r="E447" s="4">
        <v>41</v>
      </c>
      <c r="F447" s="4">
        <v>2</v>
      </c>
      <c r="G447" s="4" t="s">
        <v>11</v>
      </c>
      <c r="H447" s="4" t="s">
        <v>12</v>
      </c>
    </row>
    <row r="448" spans="1:8">
      <c r="A448" s="3" t="s">
        <v>1171</v>
      </c>
      <c r="B448" s="4" t="s">
        <v>1176</v>
      </c>
      <c r="C448" s="4" t="s">
        <v>1177</v>
      </c>
      <c r="D448" s="4" t="s">
        <v>340</v>
      </c>
      <c r="E448" s="4">
        <v>53</v>
      </c>
      <c r="F448" s="4">
        <v>2</v>
      </c>
      <c r="G448" s="4" t="s">
        <v>11</v>
      </c>
      <c r="H448" s="4" t="s">
        <v>12</v>
      </c>
    </row>
    <row r="449" spans="1:8">
      <c r="A449" s="3" t="s">
        <v>1171</v>
      </c>
      <c r="B449" s="4" t="s">
        <v>1249</v>
      </c>
      <c r="C449" s="4" t="s">
        <v>1250</v>
      </c>
      <c r="D449" s="4" t="s">
        <v>340</v>
      </c>
      <c r="E449" s="4">
        <v>51</v>
      </c>
      <c r="F449" s="4">
        <v>2</v>
      </c>
      <c r="G449" s="4" t="s">
        <v>11</v>
      </c>
      <c r="H449" s="4" t="s">
        <v>12</v>
      </c>
    </row>
    <row r="450" spans="1:8">
      <c r="A450" s="3" t="s">
        <v>1171</v>
      </c>
      <c r="B450" s="4" t="s">
        <v>1251</v>
      </c>
      <c r="C450" s="4" t="s">
        <v>1252</v>
      </c>
      <c r="D450" s="4" t="s">
        <v>340</v>
      </c>
      <c r="E450" s="4">
        <v>40</v>
      </c>
      <c r="F450" s="4">
        <v>2</v>
      </c>
      <c r="G450" s="4" t="s">
        <v>11</v>
      </c>
      <c r="H450" s="4" t="s">
        <v>12</v>
      </c>
    </row>
    <row r="451" spans="1:8">
      <c r="A451" s="3" t="s">
        <v>1171</v>
      </c>
      <c r="B451" s="4" t="s">
        <v>1253</v>
      </c>
      <c r="C451" s="4" t="s">
        <v>1254</v>
      </c>
      <c r="D451" s="4" t="s">
        <v>340</v>
      </c>
      <c r="E451" s="4">
        <v>43</v>
      </c>
      <c r="F451" s="4">
        <v>2</v>
      </c>
      <c r="G451" s="4" t="s">
        <v>11</v>
      </c>
      <c r="H451" s="4" t="s">
        <v>12</v>
      </c>
    </row>
    <row r="452" spans="1:8">
      <c r="A452" s="3" t="s">
        <v>1171</v>
      </c>
      <c r="B452" s="4" t="s">
        <v>1255</v>
      </c>
      <c r="C452" s="4" t="s">
        <v>1256</v>
      </c>
      <c r="D452" s="4" t="s">
        <v>340</v>
      </c>
      <c r="E452" s="4">
        <v>52</v>
      </c>
      <c r="F452" s="4">
        <v>2</v>
      </c>
      <c r="G452" s="4" t="s">
        <v>11</v>
      </c>
      <c r="H452" s="4" t="s">
        <v>12</v>
      </c>
    </row>
    <row r="453" spans="1:8">
      <c r="A453" s="3" t="s">
        <v>1064</v>
      </c>
      <c r="B453" s="4" t="s">
        <v>1305</v>
      </c>
      <c r="C453" s="4" t="s">
        <v>1306</v>
      </c>
      <c r="D453" s="4" t="s">
        <v>340</v>
      </c>
      <c r="E453" s="4">
        <v>40</v>
      </c>
      <c r="F453" s="4">
        <v>2</v>
      </c>
      <c r="G453" s="4" t="s">
        <v>11</v>
      </c>
      <c r="H453" s="4" t="s">
        <v>12</v>
      </c>
    </row>
    <row r="454" spans="1:8">
      <c r="A454" s="3" t="s">
        <v>1064</v>
      </c>
      <c r="B454" s="4" t="s">
        <v>1307</v>
      </c>
      <c r="C454" s="4" t="s">
        <v>1308</v>
      </c>
      <c r="D454" s="4" t="s">
        <v>340</v>
      </c>
      <c r="E454" s="4">
        <v>47</v>
      </c>
      <c r="F454" s="4">
        <v>2</v>
      </c>
      <c r="G454" s="4" t="s">
        <v>11</v>
      </c>
      <c r="H454" s="4" t="s">
        <v>12</v>
      </c>
    </row>
    <row r="455" spans="1:8">
      <c r="A455" s="3" t="s">
        <v>1064</v>
      </c>
      <c r="B455" s="4" t="s">
        <v>1309</v>
      </c>
      <c r="C455" s="4" t="s">
        <v>1310</v>
      </c>
      <c r="D455" s="4" t="s">
        <v>340</v>
      </c>
      <c r="E455" s="4">
        <v>41</v>
      </c>
      <c r="F455" s="4">
        <v>2</v>
      </c>
      <c r="G455" s="4" t="s">
        <v>11</v>
      </c>
      <c r="H455" s="4" t="s">
        <v>12</v>
      </c>
    </row>
    <row r="456" spans="1:8">
      <c r="A456" s="3" t="s">
        <v>1064</v>
      </c>
      <c r="B456" s="4" t="s">
        <v>1311</v>
      </c>
      <c r="C456" s="4" t="s">
        <v>1312</v>
      </c>
      <c r="D456" s="4" t="s">
        <v>340</v>
      </c>
      <c r="E456" s="4">
        <v>43</v>
      </c>
      <c r="F456" s="4">
        <v>2</v>
      </c>
      <c r="G456" s="4" t="s">
        <v>11</v>
      </c>
      <c r="H456" s="4" t="s">
        <v>12</v>
      </c>
    </row>
    <row r="457" spans="1:8">
      <c r="A457" s="3" t="s">
        <v>1064</v>
      </c>
      <c r="B457" s="4" t="s">
        <v>1071</v>
      </c>
      <c r="C457" s="4" t="s">
        <v>1072</v>
      </c>
      <c r="D457" s="4" t="s">
        <v>340</v>
      </c>
      <c r="E457" s="4">
        <v>43</v>
      </c>
      <c r="F457" s="4">
        <v>2</v>
      </c>
      <c r="G457" s="4" t="s">
        <v>11</v>
      </c>
      <c r="H457" s="4" t="s">
        <v>12</v>
      </c>
    </row>
    <row r="458" spans="1:8">
      <c r="A458" s="3" t="s">
        <v>1064</v>
      </c>
      <c r="B458" s="4" t="s">
        <v>1313</v>
      </c>
      <c r="C458" s="4" t="s">
        <v>1314</v>
      </c>
      <c r="D458" s="4" t="s">
        <v>340</v>
      </c>
      <c r="E458" s="4">
        <v>49</v>
      </c>
      <c r="F458" s="4">
        <v>2</v>
      </c>
      <c r="G458" s="4" t="s">
        <v>11</v>
      </c>
      <c r="H458" s="4" t="s">
        <v>12</v>
      </c>
    </row>
    <row r="459" spans="1:8">
      <c r="A459" s="3" t="s">
        <v>1064</v>
      </c>
      <c r="B459" s="4" t="s">
        <v>1315</v>
      </c>
      <c r="C459" s="4" t="s">
        <v>1316</v>
      </c>
      <c r="D459" s="4" t="s">
        <v>340</v>
      </c>
      <c r="E459" s="4">
        <v>42</v>
      </c>
      <c r="F459" s="4">
        <v>2</v>
      </c>
      <c r="G459" s="4" t="s">
        <v>11</v>
      </c>
      <c r="H459" s="4" t="s">
        <v>12</v>
      </c>
    </row>
    <row r="460" spans="1:8">
      <c r="A460" s="3" t="s">
        <v>1064</v>
      </c>
      <c r="B460" s="4" t="s">
        <v>1075</v>
      </c>
      <c r="C460" s="4" t="s">
        <v>1076</v>
      </c>
      <c r="D460" s="4" t="s">
        <v>340</v>
      </c>
      <c r="E460" s="4">
        <v>40</v>
      </c>
      <c r="F460" s="4">
        <v>2</v>
      </c>
      <c r="G460" s="4" t="s">
        <v>11</v>
      </c>
      <c r="H460" s="4" t="s">
        <v>12</v>
      </c>
    </row>
    <row r="461" spans="1:8">
      <c r="A461" s="3" t="s">
        <v>1064</v>
      </c>
      <c r="B461" s="4" t="s">
        <v>1317</v>
      </c>
      <c r="C461" s="4" t="s">
        <v>1318</v>
      </c>
      <c r="D461" s="4" t="s">
        <v>340</v>
      </c>
      <c r="E461" s="4">
        <v>40</v>
      </c>
      <c r="F461" s="4">
        <v>2</v>
      </c>
      <c r="G461" s="4" t="s">
        <v>11</v>
      </c>
      <c r="H461" s="4" t="s">
        <v>12</v>
      </c>
    </row>
    <row r="462" spans="1:8">
      <c r="A462" s="3" t="s">
        <v>1064</v>
      </c>
      <c r="B462" s="4" t="s">
        <v>1081</v>
      </c>
      <c r="C462" s="4" t="s">
        <v>1082</v>
      </c>
      <c r="D462" s="4" t="s">
        <v>340</v>
      </c>
      <c r="E462" s="4">
        <v>54</v>
      </c>
      <c r="F462" s="4">
        <v>2</v>
      </c>
      <c r="G462" s="4" t="s">
        <v>11</v>
      </c>
      <c r="H462" s="4" t="s">
        <v>12</v>
      </c>
    </row>
    <row r="463" spans="1:8">
      <c r="A463" s="3" t="s">
        <v>1020</v>
      </c>
      <c r="B463" s="4" t="s">
        <v>1257</v>
      </c>
      <c r="C463" s="4" t="s">
        <v>1258</v>
      </c>
      <c r="D463" s="4" t="s">
        <v>340</v>
      </c>
      <c r="E463" s="4">
        <v>48</v>
      </c>
      <c r="F463" s="4">
        <v>2</v>
      </c>
      <c r="G463" s="4" t="s">
        <v>11</v>
      </c>
      <c r="H463" s="4" t="s">
        <v>12</v>
      </c>
    </row>
    <row r="464" spans="1:8">
      <c r="A464" s="3" t="s">
        <v>1020</v>
      </c>
      <c r="B464" s="4" t="s">
        <v>1259</v>
      </c>
      <c r="C464" s="4" t="s">
        <v>1260</v>
      </c>
      <c r="D464" s="4" t="s">
        <v>340</v>
      </c>
      <c r="E464" s="4">
        <v>40</v>
      </c>
      <c r="F464" s="4">
        <v>2</v>
      </c>
      <c r="G464" s="4" t="s">
        <v>11</v>
      </c>
      <c r="H464" s="4" t="s">
        <v>12</v>
      </c>
    </row>
    <row r="465" spans="1:8">
      <c r="A465" s="3" t="s">
        <v>1020</v>
      </c>
      <c r="B465" s="4" t="s">
        <v>1261</v>
      </c>
      <c r="C465" s="4" t="s">
        <v>1262</v>
      </c>
      <c r="D465" s="4" t="s">
        <v>340</v>
      </c>
      <c r="E465" s="4">
        <v>50</v>
      </c>
      <c r="F465" s="4">
        <v>2</v>
      </c>
      <c r="G465" s="4" t="s">
        <v>11</v>
      </c>
      <c r="H465" s="4" t="s">
        <v>12</v>
      </c>
    </row>
    <row r="466" spans="1:8">
      <c r="A466" s="3" t="s">
        <v>1020</v>
      </c>
      <c r="B466" s="4" t="s">
        <v>1263</v>
      </c>
      <c r="C466" s="4" t="s">
        <v>1264</v>
      </c>
      <c r="D466" s="4" t="s">
        <v>340</v>
      </c>
      <c r="E466" s="4">
        <v>49</v>
      </c>
      <c r="F466" s="4">
        <v>2</v>
      </c>
      <c r="G466" s="4" t="s">
        <v>11</v>
      </c>
      <c r="H466" s="4" t="s">
        <v>12</v>
      </c>
    </row>
    <row r="467" spans="1:8">
      <c r="A467" s="3" t="s">
        <v>1020</v>
      </c>
      <c r="B467" s="4" t="s">
        <v>1265</v>
      </c>
      <c r="C467" s="4" t="s">
        <v>1266</v>
      </c>
      <c r="D467" s="4" t="s">
        <v>340</v>
      </c>
      <c r="E467" s="4">
        <v>33</v>
      </c>
      <c r="F467" s="4">
        <v>2</v>
      </c>
      <c r="G467" s="4" t="s">
        <v>11</v>
      </c>
      <c r="H467" s="4" t="s">
        <v>12</v>
      </c>
    </row>
    <row r="468" spans="1:8">
      <c r="A468" s="3" t="s">
        <v>1020</v>
      </c>
      <c r="B468" s="4" t="s">
        <v>1025</v>
      </c>
      <c r="C468" s="4" t="s">
        <v>1026</v>
      </c>
      <c r="D468" s="4" t="s">
        <v>340</v>
      </c>
      <c r="E468" s="4">
        <v>40</v>
      </c>
      <c r="F468" s="4">
        <v>2</v>
      </c>
      <c r="G468" s="4" t="s">
        <v>11</v>
      </c>
      <c r="H468" s="4" t="s">
        <v>12</v>
      </c>
    </row>
    <row r="469" spans="1:8">
      <c r="A469" s="3" t="s">
        <v>1020</v>
      </c>
      <c r="B469" s="4" t="s">
        <v>1267</v>
      </c>
      <c r="C469" s="4" t="s">
        <v>1268</v>
      </c>
      <c r="D469" s="4" t="s">
        <v>340</v>
      </c>
      <c r="E469" s="4">
        <v>47</v>
      </c>
      <c r="F469" s="4">
        <v>2</v>
      </c>
      <c r="G469" s="4" t="s">
        <v>11</v>
      </c>
      <c r="H469" s="4" t="s">
        <v>12</v>
      </c>
    </row>
    <row r="470" spans="1:8">
      <c r="A470" s="3" t="s">
        <v>1020</v>
      </c>
      <c r="B470" s="4" t="s">
        <v>1027</v>
      </c>
      <c r="C470" s="4" t="s">
        <v>1028</v>
      </c>
      <c r="D470" s="4" t="s">
        <v>340</v>
      </c>
      <c r="E470" s="4">
        <v>53</v>
      </c>
      <c r="F470" s="4">
        <v>2</v>
      </c>
      <c r="G470" s="4" t="s">
        <v>11</v>
      </c>
      <c r="H470" s="4" t="s">
        <v>12</v>
      </c>
    </row>
    <row r="471" spans="1:8">
      <c r="A471" s="3" t="s">
        <v>1020</v>
      </c>
      <c r="B471" s="4" t="s">
        <v>1269</v>
      </c>
      <c r="C471" s="4" t="s">
        <v>1270</v>
      </c>
      <c r="D471" s="4" t="s">
        <v>340</v>
      </c>
      <c r="E471" s="4">
        <v>48</v>
      </c>
      <c r="F471" s="4">
        <v>2</v>
      </c>
      <c r="G471" s="4" t="s">
        <v>11</v>
      </c>
      <c r="H471" s="4" t="s">
        <v>12</v>
      </c>
    </row>
    <row r="472" spans="1:8">
      <c r="A472" s="3" t="s">
        <v>1020</v>
      </c>
      <c r="B472" s="4" t="s">
        <v>1029</v>
      </c>
      <c r="C472" s="4" t="s">
        <v>1030</v>
      </c>
      <c r="D472" s="4" t="s">
        <v>340</v>
      </c>
      <c r="E472" s="4">
        <v>52</v>
      </c>
      <c r="F472" s="4">
        <v>2</v>
      </c>
      <c r="G472" s="4" t="s">
        <v>11</v>
      </c>
      <c r="H472" s="4" t="s">
        <v>12</v>
      </c>
    </row>
    <row r="473" spans="1:8">
      <c r="A473" s="3" t="s">
        <v>1020</v>
      </c>
      <c r="B473" s="4" t="s">
        <v>1033</v>
      </c>
      <c r="C473" s="4" t="s">
        <v>1034</v>
      </c>
      <c r="D473" s="4" t="s">
        <v>340</v>
      </c>
      <c r="E473" s="4">
        <v>44</v>
      </c>
      <c r="F473" s="4">
        <v>2</v>
      </c>
      <c r="G473" s="4" t="s">
        <v>11</v>
      </c>
      <c r="H473" s="4" t="s">
        <v>12</v>
      </c>
    </row>
    <row r="474" spans="1:8">
      <c r="A474" s="3" t="s">
        <v>1035</v>
      </c>
      <c r="B474" s="4" t="s">
        <v>1291</v>
      </c>
      <c r="C474" s="4" t="s">
        <v>1292</v>
      </c>
      <c r="D474" s="4" t="s">
        <v>340</v>
      </c>
      <c r="E474" s="4">
        <v>57</v>
      </c>
      <c r="F474" s="4">
        <v>2</v>
      </c>
      <c r="G474" s="4" t="s">
        <v>11</v>
      </c>
      <c r="H474" s="4" t="s">
        <v>12</v>
      </c>
    </row>
    <row r="475" spans="1:8">
      <c r="A475" s="3" t="s">
        <v>1035</v>
      </c>
      <c r="B475" s="4" t="s">
        <v>1042</v>
      </c>
      <c r="C475" s="4" t="s">
        <v>1043</v>
      </c>
      <c r="D475" s="4" t="s">
        <v>340</v>
      </c>
      <c r="E475" s="4">
        <v>52</v>
      </c>
      <c r="F475" s="4">
        <v>2</v>
      </c>
      <c r="G475" s="4" t="s">
        <v>11</v>
      </c>
      <c r="H475" s="4" t="s">
        <v>12</v>
      </c>
    </row>
    <row r="476" spans="1:8">
      <c r="A476" s="3" t="s">
        <v>1035</v>
      </c>
      <c r="B476" s="4" t="s">
        <v>1293</v>
      </c>
      <c r="C476" s="4" t="s">
        <v>1294</v>
      </c>
      <c r="D476" s="4" t="s">
        <v>340</v>
      </c>
      <c r="E476" s="4">
        <v>46</v>
      </c>
      <c r="F476" s="4">
        <v>2</v>
      </c>
      <c r="G476" s="4" t="s">
        <v>11</v>
      </c>
      <c r="H476" s="4" t="s">
        <v>12</v>
      </c>
    </row>
    <row r="477" spans="1:8">
      <c r="A477" s="3" t="s">
        <v>1144</v>
      </c>
      <c r="B477" s="4" t="s">
        <v>1145</v>
      </c>
      <c r="C477" s="4" t="s">
        <v>1146</v>
      </c>
      <c r="D477" s="4" t="s">
        <v>340</v>
      </c>
      <c r="E477" s="4">
        <v>56</v>
      </c>
      <c r="F477" s="4">
        <v>2</v>
      </c>
      <c r="G477" s="4" t="s">
        <v>11</v>
      </c>
      <c r="H477" s="4" t="s">
        <v>12</v>
      </c>
    </row>
    <row r="478" spans="1:8">
      <c r="A478" s="3" t="s">
        <v>1144</v>
      </c>
      <c r="B478" s="4" t="s">
        <v>1351</v>
      </c>
      <c r="C478" s="4" t="s">
        <v>1352</v>
      </c>
      <c r="D478" s="4" t="s">
        <v>340</v>
      </c>
      <c r="E478" s="4">
        <v>48</v>
      </c>
      <c r="F478" s="4">
        <v>2</v>
      </c>
      <c r="G478" s="4" t="s">
        <v>11</v>
      </c>
      <c r="H478" s="4" t="s">
        <v>12</v>
      </c>
    </row>
    <row r="479" spans="1:8">
      <c r="A479" s="3" t="s">
        <v>1144</v>
      </c>
      <c r="B479" s="4" t="s">
        <v>1147</v>
      </c>
      <c r="C479" s="4" t="s">
        <v>1148</v>
      </c>
      <c r="D479" s="4" t="s">
        <v>340</v>
      </c>
      <c r="E479" s="4">
        <v>48</v>
      </c>
      <c r="F479" s="4">
        <v>2</v>
      </c>
      <c r="G479" s="4" t="s">
        <v>11</v>
      </c>
      <c r="H479" s="4" t="s">
        <v>12</v>
      </c>
    </row>
    <row r="480" spans="1:8">
      <c r="A480" s="3" t="s">
        <v>1144</v>
      </c>
      <c r="B480" s="4" t="s">
        <v>1149</v>
      </c>
      <c r="C480" s="4" t="s">
        <v>1150</v>
      </c>
      <c r="D480" s="4" t="s">
        <v>340</v>
      </c>
      <c r="E480" s="4">
        <v>43</v>
      </c>
      <c r="F480" s="4">
        <v>2</v>
      </c>
      <c r="G480" s="4" t="s">
        <v>11</v>
      </c>
      <c r="H480" s="4" t="s">
        <v>12</v>
      </c>
    </row>
    <row r="481" spans="1:8">
      <c r="A481" s="3" t="s">
        <v>1144</v>
      </c>
      <c r="B481" s="4" t="s">
        <v>1353</v>
      </c>
      <c r="C481" s="4" t="s">
        <v>1354</v>
      </c>
      <c r="D481" s="4" t="s">
        <v>340</v>
      </c>
      <c r="E481" s="4">
        <v>54</v>
      </c>
      <c r="F481" s="4">
        <v>2</v>
      </c>
      <c r="G481" s="4" t="s">
        <v>11</v>
      </c>
      <c r="H481" s="4" t="s">
        <v>12</v>
      </c>
    </row>
    <row r="482" spans="1:8">
      <c r="A482" s="3" t="s">
        <v>1144</v>
      </c>
      <c r="B482" s="4" t="s">
        <v>1153</v>
      </c>
      <c r="C482" s="4" t="s">
        <v>1154</v>
      </c>
      <c r="D482" s="4" t="s">
        <v>340</v>
      </c>
      <c r="E482" s="4">
        <v>51</v>
      </c>
      <c r="F482" s="4">
        <v>2</v>
      </c>
      <c r="G482" s="4" t="s">
        <v>11</v>
      </c>
      <c r="H482" s="4" t="s">
        <v>12</v>
      </c>
    </row>
    <row r="483" spans="1:8">
      <c r="A483" s="3" t="s">
        <v>1144</v>
      </c>
      <c r="B483" s="4" t="s">
        <v>1155</v>
      </c>
      <c r="C483" s="4" t="s">
        <v>1156</v>
      </c>
      <c r="D483" s="4" t="s">
        <v>340</v>
      </c>
      <c r="E483" s="4">
        <v>48</v>
      </c>
      <c r="F483" s="4">
        <v>2</v>
      </c>
      <c r="G483" s="4" t="s">
        <v>11</v>
      </c>
      <c r="H483" s="4" t="s">
        <v>12</v>
      </c>
    </row>
    <row r="484" spans="1:8">
      <c r="A484" s="3" t="s">
        <v>1144</v>
      </c>
      <c r="B484" s="4" t="s">
        <v>1355</v>
      </c>
      <c r="C484" s="4" t="s">
        <v>1356</v>
      </c>
      <c r="D484" s="4" t="s">
        <v>340</v>
      </c>
      <c r="E484" s="4">
        <v>44</v>
      </c>
      <c r="F484" s="4">
        <v>2</v>
      </c>
      <c r="G484" s="4" t="s">
        <v>11</v>
      </c>
      <c r="H484" s="4" t="s">
        <v>12</v>
      </c>
    </row>
    <row r="485" spans="1:8">
      <c r="A485" s="3" t="s">
        <v>1144</v>
      </c>
      <c r="B485" s="4" t="s">
        <v>1163</v>
      </c>
      <c r="C485" s="4" t="s">
        <v>1164</v>
      </c>
      <c r="D485" s="4" t="s">
        <v>340</v>
      </c>
      <c r="E485" s="4">
        <v>48</v>
      </c>
      <c r="F485" s="4">
        <v>2</v>
      </c>
      <c r="G485" s="4" t="s">
        <v>11</v>
      </c>
      <c r="H485" s="4" t="s">
        <v>12</v>
      </c>
    </row>
    <row r="486" spans="1:8">
      <c r="A486" s="3" t="s">
        <v>1144</v>
      </c>
      <c r="B486" s="4" t="s">
        <v>1357</v>
      </c>
      <c r="C486" s="4" t="s">
        <v>1358</v>
      </c>
      <c r="D486" s="4" t="s">
        <v>340</v>
      </c>
      <c r="E486" s="4">
        <v>57</v>
      </c>
      <c r="F486" s="4">
        <v>2</v>
      </c>
      <c r="G486" s="4" t="s">
        <v>11</v>
      </c>
      <c r="H486" s="4" t="s">
        <v>12</v>
      </c>
    </row>
    <row r="487" spans="1:8">
      <c r="A487" s="3" t="s">
        <v>1144</v>
      </c>
      <c r="B487" s="4" t="s">
        <v>1359</v>
      </c>
      <c r="C487" s="4" t="s">
        <v>1360</v>
      </c>
      <c r="D487" s="4" t="s">
        <v>340</v>
      </c>
      <c r="E487" s="4">
        <v>45</v>
      </c>
      <c r="F487" s="4">
        <v>2</v>
      </c>
      <c r="G487" s="4" t="s">
        <v>11</v>
      </c>
      <c r="H487" s="4" t="s">
        <v>12</v>
      </c>
    </row>
    <row r="488" spans="1:8">
      <c r="A488" s="3" t="s">
        <v>1144</v>
      </c>
      <c r="B488" s="4" t="s">
        <v>1361</v>
      </c>
      <c r="C488" s="4" t="s">
        <v>1362</v>
      </c>
      <c r="D488" s="4" t="s">
        <v>340</v>
      </c>
      <c r="E488" s="4">
        <v>55</v>
      </c>
      <c r="F488" s="4">
        <v>2</v>
      </c>
      <c r="G488" s="4" t="s">
        <v>11</v>
      </c>
      <c r="H488" s="4" t="s">
        <v>12</v>
      </c>
    </row>
    <row r="489" spans="1:8">
      <c r="A489" s="3" t="s">
        <v>1144</v>
      </c>
      <c r="B489" s="4" t="s">
        <v>1169</v>
      </c>
      <c r="C489" s="4" t="s">
        <v>1170</v>
      </c>
      <c r="D489" s="4" t="s">
        <v>340</v>
      </c>
      <c r="E489" s="4">
        <v>48</v>
      </c>
      <c r="F489" s="4">
        <v>2</v>
      </c>
      <c r="G489" s="4" t="s">
        <v>11</v>
      </c>
      <c r="H489" s="4" t="s">
        <v>12</v>
      </c>
    </row>
    <row r="490" spans="1:8">
      <c r="A490" s="3" t="s">
        <v>1144</v>
      </c>
      <c r="B490" s="4" t="s">
        <v>1363</v>
      </c>
      <c r="C490" s="4" t="s">
        <v>1364</v>
      </c>
      <c r="D490" s="4" t="s">
        <v>340</v>
      </c>
      <c r="E490" s="4">
        <v>52</v>
      </c>
      <c r="F490" s="4">
        <v>2</v>
      </c>
      <c r="G490" s="4" t="s">
        <v>11</v>
      </c>
      <c r="H490" s="4" t="s">
        <v>12</v>
      </c>
    </row>
    <row r="491" spans="1:8">
      <c r="A491" s="3" t="s">
        <v>1144</v>
      </c>
      <c r="B491" s="4" t="s">
        <v>1365</v>
      </c>
      <c r="C491" s="4" t="s">
        <v>1366</v>
      </c>
      <c r="D491" s="4" t="s">
        <v>340</v>
      </c>
      <c r="E491" s="4">
        <v>43</v>
      </c>
      <c r="F491" s="4">
        <v>2</v>
      </c>
      <c r="G491" s="4" t="s">
        <v>11</v>
      </c>
      <c r="H491" s="4" t="s">
        <v>12</v>
      </c>
    </row>
    <row r="492" spans="1:8">
      <c r="A492" s="3" t="s">
        <v>1054</v>
      </c>
      <c r="B492" s="4" t="s">
        <v>1369</v>
      </c>
      <c r="C492" s="4" t="s">
        <v>1370</v>
      </c>
      <c r="D492" s="4" t="s">
        <v>340</v>
      </c>
      <c r="E492" s="4">
        <v>40</v>
      </c>
      <c r="F492" s="4">
        <v>2</v>
      </c>
      <c r="G492" s="4" t="s">
        <v>11</v>
      </c>
      <c r="H492" s="4" t="s">
        <v>12</v>
      </c>
    </row>
    <row r="493" spans="1:8">
      <c r="A493" s="3" t="s">
        <v>1054</v>
      </c>
      <c r="B493" s="4" t="s">
        <v>1371</v>
      </c>
      <c r="C493" s="4" t="s">
        <v>1372</v>
      </c>
      <c r="D493" s="4" t="s">
        <v>340</v>
      </c>
      <c r="E493" s="4">
        <v>40</v>
      </c>
      <c r="F493" s="4">
        <v>2</v>
      </c>
      <c r="G493" s="4" t="s">
        <v>11</v>
      </c>
      <c r="H493" s="4" t="s">
        <v>12</v>
      </c>
    </row>
    <row r="494" spans="1:8">
      <c r="A494" s="3" t="s">
        <v>1054</v>
      </c>
      <c r="B494" s="4" t="s">
        <v>1373</v>
      </c>
      <c r="C494" s="4" t="s">
        <v>1374</v>
      </c>
      <c r="D494" s="4" t="s">
        <v>340</v>
      </c>
      <c r="E494" s="4">
        <v>43</v>
      </c>
      <c r="F494" s="4">
        <v>2</v>
      </c>
      <c r="G494" s="4" t="s">
        <v>11</v>
      </c>
      <c r="H494" s="4" t="s">
        <v>12</v>
      </c>
    </row>
    <row r="495" spans="1:8">
      <c r="A495" s="3" t="s">
        <v>1054</v>
      </c>
      <c r="B495" s="4" t="s">
        <v>1375</v>
      </c>
      <c r="C495" s="4" t="s">
        <v>1376</v>
      </c>
      <c r="D495" s="4" t="s">
        <v>340</v>
      </c>
      <c r="E495" s="4">
        <v>49</v>
      </c>
      <c r="F495" s="4">
        <v>2</v>
      </c>
      <c r="G495" s="4" t="s">
        <v>11</v>
      </c>
      <c r="H495" s="4" t="s">
        <v>12</v>
      </c>
    </row>
    <row r="496" spans="1:8">
      <c r="A496" s="3" t="s">
        <v>1054</v>
      </c>
      <c r="B496" s="4" t="s">
        <v>1377</v>
      </c>
      <c r="C496" s="4" t="s">
        <v>1378</v>
      </c>
      <c r="D496" s="4" t="s">
        <v>340</v>
      </c>
      <c r="E496" s="4">
        <v>54</v>
      </c>
      <c r="F496" s="4">
        <v>2</v>
      </c>
      <c r="G496" s="4" t="s">
        <v>11</v>
      </c>
      <c r="H496" s="4" t="s">
        <v>12</v>
      </c>
    </row>
    <row r="497" spans="1:8">
      <c r="A497" s="3" t="s">
        <v>1054</v>
      </c>
      <c r="B497" s="4" t="s">
        <v>1379</v>
      </c>
      <c r="C497" s="4" t="s">
        <v>1380</v>
      </c>
      <c r="D497" s="4" t="s">
        <v>340</v>
      </c>
      <c r="E497" s="4">
        <v>45</v>
      </c>
      <c r="F497" s="4">
        <v>2</v>
      </c>
      <c r="G497" s="4" t="s">
        <v>11</v>
      </c>
      <c r="H497" s="4" t="s">
        <v>12</v>
      </c>
    </row>
    <row r="498" spans="1:8">
      <c r="A498" s="3" t="s">
        <v>1054</v>
      </c>
      <c r="B498" s="4" t="s">
        <v>1381</v>
      </c>
      <c r="C498" s="4" t="s">
        <v>1382</v>
      </c>
      <c r="D498" s="4" t="s">
        <v>340</v>
      </c>
      <c r="E498" s="4">
        <v>48</v>
      </c>
      <c r="F498" s="4">
        <v>2</v>
      </c>
      <c r="G498" s="4" t="s">
        <v>11</v>
      </c>
      <c r="H498" s="4" t="s">
        <v>12</v>
      </c>
    </row>
    <row r="499" spans="1:8">
      <c r="A499" s="3" t="s">
        <v>1054</v>
      </c>
      <c r="B499" s="4" t="s">
        <v>1383</v>
      </c>
      <c r="C499" s="4" t="s">
        <v>1384</v>
      </c>
      <c r="D499" s="4" t="s">
        <v>340</v>
      </c>
      <c r="E499" s="4">
        <v>42</v>
      </c>
      <c r="F499" s="4">
        <v>2</v>
      </c>
      <c r="G499" s="4" t="s">
        <v>11</v>
      </c>
      <c r="H499" s="4" t="s">
        <v>12</v>
      </c>
    </row>
    <row r="500" spans="1:8">
      <c r="A500" s="3" t="s">
        <v>1054</v>
      </c>
      <c r="B500" s="4" t="s">
        <v>1385</v>
      </c>
      <c r="C500" s="4" t="s">
        <v>1386</v>
      </c>
      <c r="D500" s="4" t="s">
        <v>340</v>
      </c>
      <c r="E500" s="4">
        <v>50</v>
      </c>
      <c r="F500" s="4">
        <v>2</v>
      </c>
      <c r="G500" s="4" t="s">
        <v>11</v>
      </c>
      <c r="H500" s="4" t="s">
        <v>12</v>
      </c>
    </row>
    <row r="501" spans="1:8">
      <c r="A501" s="3" t="s">
        <v>1200</v>
      </c>
      <c r="B501" s="4" t="s">
        <v>1295</v>
      </c>
      <c r="C501" s="4" t="s">
        <v>1296</v>
      </c>
      <c r="D501" s="4" t="s">
        <v>340</v>
      </c>
      <c r="E501" s="4">
        <v>47</v>
      </c>
      <c r="F501" s="4">
        <v>2</v>
      </c>
      <c r="G501" s="4" t="s">
        <v>11</v>
      </c>
      <c r="H501" s="4" t="s">
        <v>12</v>
      </c>
    </row>
    <row r="502" spans="1:8">
      <c r="A502" s="3" t="s">
        <v>1200</v>
      </c>
      <c r="B502" s="4" t="s">
        <v>1297</v>
      </c>
      <c r="C502" s="4" t="s">
        <v>1298</v>
      </c>
      <c r="D502" s="4" t="s">
        <v>340</v>
      </c>
      <c r="E502" s="4">
        <v>51</v>
      </c>
      <c r="F502" s="4">
        <v>2</v>
      </c>
      <c r="G502" s="4" t="s">
        <v>11</v>
      </c>
      <c r="H502" s="4" t="s">
        <v>12</v>
      </c>
    </row>
    <row r="503" spans="1:8">
      <c r="A503" s="3" t="s">
        <v>1200</v>
      </c>
      <c r="B503" s="4" t="s">
        <v>1201</v>
      </c>
      <c r="C503" s="4" t="s">
        <v>1202</v>
      </c>
      <c r="D503" s="4" t="s">
        <v>340</v>
      </c>
      <c r="E503" s="4">
        <v>46</v>
      </c>
      <c r="F503" s="4">
        <v>2</v>
      </c>
      <c r="G503" s="4" t="s">
        <v>11</v>
      </c>
      <c r="H503" s="4" t="s">
        <v>12</v>
      </c>
    </row>
    <row r="504" spans="1:8">
      <c r="A504" s="3" t="s">
        <v>1200</v>
      </c>
      <c r="B504" s="4" t="s">
        <v>1203</v>
      </c>
      <c r="C504" s="4" t="s">
        <v>1204</v>
      </c>
      <c r="D504" s="4" t="s">
        <v>340</v>
      </c>
      <c r="E504" s="4">
        <v>55</v>
      </c>
      <c r="F504" s="4">
        <v>2</v>
      </c>
      <c r="G504" s="4" t="s">
        <v>11</v>
      </c>
      <c r="H504" s="4" t="s">
        <v>12</v>
      </c>
    </row>
    <row r="505" spans="1:8">
      <c r="A505" s="3" t="s">
        <v>1200</v>
      </c>
      <c r="B505" s="4" t="s">
        <v>1205</v>
      </c>
      <c r="C505" s="4" t="s">
        <v>1206</v>
      </c>
      <c r="D505" s="4" t="s">
        <v>340</v>
      </c>
      <c r="E505" s="4">
        <v>40</v>
      </c>
      <c r="F505" s="4">
        <v>2</v>
      </c>
      <c r="G505" s="4" t="s">
        <v>11</v>
      </c>
      <c r="H505" s="4" t="s">
        <v>12</v>
      </c>
    </row>
    <row r="506" spans="1:8">
      <c r="A506" s="3" t="s">
        <v>1200</v>
      </c>
      <c r="B506" s="4" t="s">
        <v>1207</v>
      </c>
      <c r="C506" s="4" t="s">
        <v>1208</v>
      </c>
      <c r="D506" s="4" t="s">
        <v>340</v>
      </c>
      <c r="E506" s="4">
        <v>43</v>
      </c>
      <c r="F506" s="4">
        <v>2</v>
      </c>
      <c r="G506" s="4" t="s">
        <v>11</v>
      </c>
      <c r="H506" s="4" t="s">
        <v>12</v>
      </c>
    </row>
    <row r="507" spans="1:8">
      <c r="A507" s="3" t="s">
        <v>1200</v>
      </c>
      <c r="B507" s="4" t="s">
        <v>1299</v>
      </c>
      <c r="C507" s="4" t="s">
        <v>1300</v>
      </c>
      <c r="D507" s="4" t="s">
        <v>340</v>
      </c>
      <c r="E507" s="4">
        <v>40</v>
      </c>
      <c r="F507" s="4">
        <v>2</v>
      </c>
      <c r="G507" s="4" t="s">
        <v>11</v>
      </c>
      <c r="H507" s="4" t="s">
        <v>12</v>
      </c>
    </row>
    <row r="508" spans="1:8">
      <c r="A508" s="3" t="s">
        <v>1200</v>
      </c>
      <c r="B508" s="4" t="s">
        <v>1211</v>
      </c>
      <c r="C508" s="4" t="s">
        <v>1212</v>
      </c>
      <c r="D508" s="4" t="s">
        <v>340</v>
      </c>
      <c r="E508" s="4">
        <v>47</v>
      </c>
      <c r="F508" s="4">
        <v>2</v>
      </c>
      <c r="G508" s="4" t="s">
        <v>11</v>
      </c>
      <c r="H508" s="4" t="s">
        <v>12</v>
      </c>
    </row>
    <row r="509" spans="1:8">
      <c r="A509" s="3" t="s">
        <v>1200</v>
      </c>
      <c r="B509" s="4" t="s">
        <v>1301</v>
      </c>
      <c r="C509" s="4" t="s">
        <v>1302</v>
      </c>
      <c r="D509" s="4" t="s">
        <v>340</v>
      </c>
      <c r="E509" s="4">
        <v>41</v>
      </c>
      <c r="F509" s="4">
        <v>2</v>
      </c>
      <c r="G509" s="4" t="s">
        <v>11</v>
      </c>
      <c r="H509" s="4" t="s">
        <v>12</v>
      </c>
    </row>
    <row r="510" spans="1:8">
      <c r="A510" s="3" t="s">
        <v>1184</v>
      </c>
      <c r="B510" s="4" t="s">
        <v>1387</v>
      </c>
      <c r="C510" s="4" t="s">
        <v>1388</v>
      </c>
      <c r="D510" s="4" t="s">
        <v>340</v>
      </c>
      <c r="E510" s="4">
        <v>57</v>
      </c>
      <c r="F510" s="4">
        <v>2</v>
      </c>
      <c r="G510" s="4" t="s">
        <v>11</v>
      </c>
      <c r="H510" s="4" t="s">
        <v>12</v>
      </c>
    </row>
    <row r="511" spans="1:8">
      <c r="A511" s="3" t="s">
        <v>1184</v>
      </c>
      <c r="B511" s="4" t="s">
        <v>1389</v>
      </c>
      <c r="C511" s="4" t="s">
        <v>1390</v>
      </c>
      <c r="D511" s="4" t="s">
        <v>340</v>
      </c>
      <c r="E511" s="4">
        <v>43</v>
      </c>
      <c r="F511" s="4">
        <v>2</v>
      </c>
      <c r="G511" s="4" t="s">
        <v>11</v>
      </c>
      <c r="H511" s="4" t="s">
        <v>12</v>
      </c>
    </row>
    <row r="512" spans="1:8">
      <c r="A512" s="3" t="s">
        <v>1184</v>
      </c>
      <c r="B512" s="4" t="s">
        <v>1187</v>
      </c>
      <c r="C512" s="4" t="s">
        <v>1188</v>
      </c>
      <c r="D512" s="4" t="s">
        <v>340</v>
      </c>
      <c r="E512" s="4">
        <v>57</v>
      </c>
      <c r="F512" s="4">
        <v>2</v>
      </c>
      <c r="G512" s="4" t="s">
        <v>11</v>
      </c>
      <c r="H512" s="4" t="s">
        <v>12</v>
      </c>
    </row>
    <row r="513" spans="1:8">
      <c r="A513" s="3" t="s">
        <v>1184</v>
      </c>
      <c r="B513" s="4" t="s">
        <v>1391</v>
      </c>
      <c r="C513" s="4" t="s">
        <v>1392</v>
      </c>
      <c r="D513" s="4" t="s">
        <v>340</v>
      </c>
      <c r="E513" s="4">
        <v>40</v>
      </c>
      <c r="F513" s="4">
        <v>2</v>
      </c>
      <c r="G513" s="4" t="s">
        <v>11</v>
      </c>
      <c r="H513" s="4" t="s">
        <v>12</v>
      </c>
    </row>
    <row r="514" spans="1:8">
      <c r="A514" s="3" t="s">
        <v>1184</v>
      </c>
      <c r="B514" s="4" t="s">
        <v>1393</v>
      </c>
      <c r="C514" s="4" t="s">
        <v>1394</v>
      </c>
      <c r="D514" s="4" t="s">
        <v>340</v>
      </c>
      <c r="E514" s="4">
        <v>55</v>
      </c>
      <c r="F514" s="4">
        <v>2</v>
      </c>
      <c r="G514" s="4" t="s">
        <v>11</v>
      </c>
      <c r="H514" s="4" t="s">
        <v>12</v>
      </c>
    </row>
    <row r="515" spans="1:8">
      <c r="A515" s="3" t="s">
        <v>1184</v>
      </c>
      <c r="B515" s="4" t="s">
        <v>1395</v>
      </c>
      <c r="C515" s="4" t="s">
        <v>1396</v>
      </c>
      <c r="D515" s="4" t="s">
        <v>340</v>
      </c>
      <c r="E515" s="4">
        <v>46</v>
      </c>
      <c r="F515" s="4">
        <v>2</v>
      </c>
      <c r="G515" s="4" t="s">
        <v>11</v>
      </c>
      <c r="H515" s="4" t="s">
        <v>12</v>
      </c>
    </row>
    <row r="516" spans="1:8">
      <c r="A516" s="3" t="s">
        <v>1184</v>
      </c>
      <c r="B516" s="4" t="s">
        <v>1397</v>
      </c>
      <c r="C516" s="4" t="s">
        <v>1398</v>
      </c>
      <c r="D516" s="4" t="s">
        <v>340</v>
      </c>
      <c r="E516" s="4">
        <v>48</v>
      </c>
      <c r="F516" s="4">
        <v>2</v>
      </c>
      <c r="G516" s="4" t="s">
        <v>11</v>
      </c>
      <c r="H516" s="4" t="s">
        <v>12</v>
      </c>
    </row>
    <row r="517" spans="1:8">
      <c r="A517" s="3" t="s">
        <v>1083</v>
      </c>
      <c r="B517" s="4" t="s">
        <v>1399</v>
      </c>
      <c r="C517" s="4" t="s">
        <v>954</v>
      </c>
      <c r="D517" s="4" t="s">
        <v>340</v>
      </c>
      <c r="E517" s="4">
        <v>56</v>
      </c>
      <c r="F517" s="4">
        <v>2</v>
      </c>
      <c r="G517" s="4" t="s">
        <v>11</v>
      </c>
      <c r="H517" s="4" t="s">
        <v>12</v>
      </c>
    </row>
    <row r="518" spans="1:8">
      <c r="A518" s="3" t="s">
        <v>1083</v>
      </c>
      <c r="B518" s="4" t="s">
        <v>1400</v>
      </c>
      <c r="C518" s="4" t="s">
        <v>1401</v>
      </c>
      <c r="D518" s="4" t="s">
        <v>340</v>
      </c>
      <c r="E518" s="4">
        <v>46</v>
      </c>
      <c r="F518" s="4">
        <v>2</v>
      </c>
      <c r="G518" s="4" t="s">
        <v>11</v>
      </c>
      <c r="H518" s="4" t="s">
        <v>12</v>
      </c>
    </row>
    <row r="519" spans="1:8">
      <c r="A519" s="3" t="s">
        <v>1083</v>
      </c>
      <c r="B519" s="4" t="s">
        <v>1402</v>
      </c>
      <c r="C519" s="4" t="s">
        <v>1403</v>
      </c>
      <c r="D519" s="4" t="s">
        <v>340</v>
      </c>
      <c r="E519" s="4">
        <v>53</v>
      </c>
      <c r="F519" s="4">
        <v>2</v>
      </c>
      <c r="G519" s="4" t="s">
        <v>11</v>
      </c>
      <c r="H519" s="4" t="s">
        <v>12</v>
      </c>
    </row>
    <row r="520" spans="1:8">
      <c r="A520" s="3" t="s">
        <v>1217</v>
      </c>
      <c r="B520" s="4" t="s">
        <v>1404</v>
      </c>
      <c r="C520" s="4" t="s">
        <v>1405</v>
      </c>
      <c r="D520" s="4" t="s">
        <v>340</v>
      </c>
      <c r="E520" s="4">
        <v>40</v>
      </c>
      <c r="F520" s="4">
        <v>2</v>
      </c>
      <c r="G520" s="4" t="s">
        <v>11</v>
      </c>
      <c r="H520" s="4" t="s">
        <v>12</v>
      </c>
    </row>
    <row r="521" spans="1:8">
      <c r="A521" s="3" t="s">
        <v>1217</v>
      </c>
      <c r="B521" s="4" t="s">
        <v>1220</v>
      </c>
      <c r="C521" s="4" t="s">
        <v>1221</v>
      </c>
      <c r="D521" s="4" t="s">
        <v>340</v>
      </c>
      <c r="E521" s="4">
        <v>46</v>
      </c>
      <c r="F521" s="4">
        <v>2</v>
      </c>
      <c r="G521" s="4" t="s">
        <v>11</v>
      </c>
      <c r="H521" s="4" t="s">
        <v>12</v>
      </c>
    </row>
    <row r="522" spans="1:8">
      <c r="A522" s="3" t="s">
        <v>1217</v>
      </c>
      <c r="B522" s="4" t="s">
        <v>1406</v>
      </c>
      <c r="C522" s="4" t="s">
        <v>1407</v>
      </c>
      <c r="D522" s="4" t="s">
        <v>340</v>
      </c>
      <c r="E522" s="4">
        <v>50</v>
      </c>
      <c r="F522" s="4">
        <v>2</v>
      </c>
      <c r="G522" s="4" t="s">
        <v>11</v>
      </c>
      <c r="H522" s="4" t="s">
        <v>12</v>
      </c>
    </row>
    <row r="523" spans="1:8">
      <c r="A523" s="3" t="s">
        <v>1217</v>
      </c>
      <c r="B523" s="4" t="s">
        <v>1222</v>
      </c>
      <c r="C523" s="4" t="s">
        <v>1223</v>
      </c>
      <c r="D523" s="4" t="s">
        <v>340</v>
      </c>
      <c r="E523" s="4">
        <v>40</v>
      </c>
      <c r="F523" s="4">
        <v>2</v>
      </c>
      <c r="G523" s="4" t="s">
        <v>11</v>
      </c>
      <c r="H523" s="4" t="s">
        <v>12</v>
      </c>
    </row>
    <row r="524" spans="1:8">
      <c r="A524" s="3" t="s">
        <v>1217</v>
      </c>
      <c r="B524" s="4" t="s">
        <v>1224</v>
      </c>
      <c r="C524" s="4" t="s">
        <v>1225</v>
      </c>
      <c r="D524" s="4" t="s">
        <v>340</v>
      </c>
      <c r="E524" s="4">
        <v>46</v>
      </c>
      <c r="F524" s="4">
        <v>2</v>
      </c>
      <c r="G524" s="4" t="s">
        <v>11</v>
      </c>
      <c r="H524" s="4" t="s">
        <v>12</v>
      </c>
    </row>
    <row r="525" spans="1:8">
      <c r="A525" s="3" t="s">
        <v>1217</v>
      </c>
      <c r="B525" s="4" t="s">
        <v>1408</v>
      </c>
      <c r="C525" s="4" t="s">
        <v>1409</v>
      </c>
      <c r="D525" s="4" t="s">
        <v>340</v>
      </c>
      <c r="E525" s="4">
        <v>51</v>
      </c>
      <c r="F525" s="4">
        <v>2</v>
      </c>
      <c r="G525" s="4" t="s">
        <v>11</v>
      </c>
      <c r="H525" s="4" t="s">
        <v>12</v>
      </c>
    </row>
    <row r="526" spans="1:8">
      <c r="A526" s="3" t="s">
        <v>1217</v>
      </c>
      <c r="B526" s="4" t="s">
        <v>1410</v>
      </c>
      <c r="C526" s="4" t="s">
        <v>1411</v>
      </c>
      <c r="D526" s="4" t="s">
        <v>340</v>
      </c>
      <c r="E526" s="4">
        <v>41</v>
      </c>
      <c r="F526" s="4">
        <v>2</v>
      </c>
      <c r="G526" s="4" t="s">
        <v>11</v>
      </c>
      <c r="H526" s="4" t="s">
        <v>12</v>
      </c>
    </row>
    <row r="527" spans="1:8">
      <c r="A527" s="3" t="s">
        <v>998</v>
      </c>
      <c r="B527" s="4" t="s">
        <v>1367</v>
      </c>
      <c r="C527" s="4" t="s">
        <v>1368</v>
      </c>
      <c r="D527" s="4" t="s">
        <v>340</v>
      </c>
      <c r="E527" s="4">
        <v>51</v>
      </c>
      <c r="F527" s="4">
        <v>2</v>
      </c>
      <c r="G527" s="4" t="s">
        <v>11</v>
      </c>
      <c r="H527" s="4" t="s">
        <v>12</v>
      </c>
    </row>
    <row r="528" spans="1:8">
      <c r="A528" s="3" t="s">
        <v>1191</v>
      </c>
      <c r="B528" s="4" t="s">
        <v>1319</v>
      </c>
      <c r="C528" s="4" t="s">
        <v>1320</v>
      </c>
      <c r="D528" s="4" t="s">
        <v>340</v>
      </c>
      <c r="E528" s="4">
        <v>48</v>
      </c>
      <c r="F528" s="4">
        <v>2</v>
      </c>
      <c r="G528" s="4" t="s">
        <v>11</v>
      </c>
      <c r="H528" s="4" t="s">
        <v>12</v>
      </c>
    </row>
    <row r="529" spans="1:8">
      <c r="A529" s="3" t="s">
        <v>1191</v>
      </c>
      <c r="B529" s="4" t="s">
        <v>1321</v>
      </c>
      <c r="C529" s="4" t="s">
        <v>1322</v>
      </c>
      <c r="D529" s="4" t="s">
        <v>340</v>
      </c>
      <c r="E529" s="4">
        <v>45</v>
      </c>
      <c r="F529" s="4">
        <v>2</v>
      </c>
      <c r="G529" s="4" t="s">
        <v>11</v>
      </c>
      <c r="H529" s="4" t="s">
        <v>12</v>
      </c>
    </row>
    <row r="530" spans="1:8">
      <c r="A530" s="3" t="s">
        <v>1191</v>
      </c>
      <c r="B530" s="4" t="s">
        <v>1323</v>
      </c>
      <c r="C530" s="4" t="s">
        <v>1324</v>
      </c>
      <c r="D530" s="4" t="s">
        <v>340</v>
      </c>
      <c r="E530" s="4">
        <v>54</v>
      </c>
      <c r="F530" s="4">
        <v>2</v>
      </c>
      <c r="G530" s="4" t="s">
        <v>11</v>
      </c>
      <c r="H530" s="4" t="s">
        <v>12</v>
      </c>
    </row>
    <row r="531" spans="1:8">
      <c r="A531" s="3" t="s">
        <v>1191</v>
      </c>
      <c r="B531" s="4" t="s">
        <v>1325</v>
      </c>
      <c r="C531" s="4" t="s">
        <v>1326</v>
      </c>
      <c r="D531" s="4" t="s">
        <v>340</v>
      </c>
      <c r="E531" s="4">
        <v>41</v>
      </c>
      <c r="F531" s="4">
        <v>2</v>
      </c>
      <c r="G531" s="4" t="s">
        <v>11</v>
      </c>
      <c r="H531" s="4" t="s">
        <v>12</v>
      </c>
    </row>
    <row r="532" spans="1:8">
      <c r="A532" s="3" t="s">
        <v>1191</v>
      </c>
      <c r="B532" s="4" t="s">
        <v>1327</v>
      </c>
      <c r="C532" s="4" t="s">
        <v>1328</v>
      </c>
      <c r="D532" s="4" t="s">
        <v>340</v>
      </c>
      <c r="E532" s="4">
        <v>46</v>
      </c>
      <c r="F532" s="4">
        <v>2</v>
      </c>
      <c r="G532" s="4" t="s">
        <v>11</v>
      </c>
      <c r="H532" s="4" t="s">
        <v>12</v>
      </c>
    </row>
    <row r="533" spans="1:8">
      <c r="A533" s="3" t="s">
        <v>1191</v>
      </c>
      <c r="B533" s="4" t="s">
        <v>1329</v>
      </c>
      <c r="C533" s="4" t="s">
        <v>1330</v>
      </c>
      <c r="D533" s="4" t="s">
        <v>340</v>
      </c>
      <c r="E533" s="4">
        <v>53</v>
      </c>
      <c r="F533" s="4">
        <v>2</v>
      </c>
      <c r="G533" s="4" t="s">
        <v>11</v>
      </c>
      <c r="H533" s="4" t="s">
        <v>12</v>
      </c>
    </row>
    <row r="534" spans="1:8">
      <c r="A534" s="3" t="s">
        <v>1191</v>
      </c>
      <c r="B534" s="4" t="s">
        <v>1331</v>
      </c>
      <c r="C534" s="4" t="s">
        <v>1332</v>
      </c>
      <c r="D534" s="4" t="s">
        <v>340</v>
      </c>
      <c r="E534" s="4">
        <v>40</v>
      </c>
      <c r="F534" s="4">
        <v>2</v>
      </c>
      <c r="G534" s="4" t="s">
        <v>11</v>
      </c>
      <c r="H534" s="4" t="s">
        <v>12</v>
      </c>
    </row>
    <row r="535" spans="1:8">
      <c r="A535" s="3" t="s">
        <v>1191</v>
      </c>
      <c r="B535" s="4" t="s">
        <v>1333</v>
      </c>
      <c r="C535" s="4" t="s">
        <v>1334</v>
      </c>
      <c r="D535" s="4" t="s">
        <v>340</v>
      </c>
      <c r="E535" s="4">
        <v>40</v>
      </c>
      <c r="F535" s="4">
        <v>2</v>
      </c>
      <c r="G535" s="4" t="s">
        <v>11</v>
      </c>
      <c r="H535" s="4" t="s">
        <v>12</v>
      </c>
    </row>
    <row r="536" spans="1:8">
      <c r="A536" s="3" t="s">
        <v>1191</v>
      </c>
      <c r="B536" s="4" t="s">
        <v>1335</v>
      </c>
      <c r="C536" s="4" t="s">
        <v>1336</v>
      </c>
      <c r="D536" s="4" t="s">
        <v>340</v>
      </c>
      <c r="E536" s="4">
        <v>42</v>
      </c>
      <c r="F536" s="4">
        <v>2</v>
      </c>
      <c r="G536" s="4" t="s">
        <v>11</v>
      </c>
      <c r="H536" s="4" t="s">
        <v>12</v>
      </c>
    </row>
    <row r="537" spans="1:8">
      <c r="A537" s="3" t="s">
        <v>1191</v>
      </c>
      <c r="B537" s="4" t="s">
        <v>1337</v>
      </c>
      <c r="C537" s="4" t="s">
        <v>1338</v>
      </c>
      <c r="D537" s="4" t="s">
        <v>340</v>
      </c>
      <c r="E537" s="4">
        <v>55</v>
      </c>
      <c r="F537" s="4">
        <v>2</v>
      </c>
      <c r="G537" s="4" t="s">
        <v>11</v>
      </c>
      <c r="H537" s="4" t="s">
        <v>12</v>
      </c>
    </row>
    <row r="538" spans="1:8">
      <c r="A538" s="3" t="s">
        <v>1191</v>
      </c>
      <c r="B538" s="4" t="s">
        <v>1198</v>
      </c>
      <c r="C538" s="4" t="s">
        <v>1199</v>
      </c>
      <c r="D538" s="4" t="s">
        <v>340</v>
      </c>
      <c r="E538" s="4">
        <v>47</v>
      </c>
      <c r="F538" s="4">
        <v>2</v>
      </c>
      <c r="G538" s="4" t="s">
        <v>11</v>
      </c>
      <c r="H538" s="4" t="s">
        <v>12</v>
      </c>
    </row>
    <row r="539" spans="1:8">
      <c r="A539" s="3" t="s">
        <v>1231</v>
      </c>
      <c r="B539" s="4" t="s">
        <v>1412</v>
      </c>
      <c r="C539" s="4" t="s">
        <v>1413</v>
      </c>
      <c r="D539" s="4" t="s">
        <v>340</v>
      </c>
      <c r="E539" s="4">
        <v>51</v>
      </c>
      <c r="F539" s="4">
        <v>2</v>
      </c>
      <c r="G539" s="4" t="s">
        <v>11</v>
      </c>
      <c r="H539" s="4" t="s">
        <v>12</v>
      </c>
    </row>
    <row r="540" spans="1:8">
      <c r="A540" s="3" t="s">
        <v>1231</v>
      </c>
      <c r="B540" s="4" t="s">
        <v>1414</v>
      </c>
      <c r="C540" s="4" t="s">
        <v>1415</v>
      </c>
      <c r="D540" s="4" t="s">
        <v>340</v>
      </c>
      <c r="E540" s="4">
        <v>52</v>
      </c>
      <c r="F540" s="4">
        <v>2</v>
      </c>
      <c r="G540" s="4" t="s">
        <v>11</v>
      </c>
      <c r="H540" s="4" t="s">
        <v>12</v>
      </c>
    </row>
    <row r="541" spans="1:8">
      <c r="A541" s="3" t="s">
        <v>1231</v>
      </c>
      <c r="B541" s="4" t="s">
        <v>1416</v>
      </c>
      <c r="C541" s="4" t="s">
        <v>1417</v>
      </c>
      <c r="D541" s="4" t="s">
        <v>340</v>
      </c>
      <c r="E541" s="4">
        <v>50</v>
      </c>
      <c r="F541" s="4">
        <v>2</v>
      </c>
      <c r="G541" s="4" t="s">
        <v>11</v>
      </c>
      <c r="H541" s="4" t="s">
        <v>12</v>
      </c>
    </row>
    <row r="542" spans="1:8">
      <c r="A542" s="3" t="s">
        <v>1231</v>
      </c>
      <c r="B542" s="4" t="s">
        <v>1234</v>
      </c>
      <c r="C542" s="4" t="s">
        <v>1235</v>
      </c>
      <c r="D542" s="4" t="s">
        <v>340</v>
      </c>
      <c r="E542" s="4">
        <v>54</v>
      </c>
      <c r="F542" s="4">
        <v>2</v>
      </c>
      <c r="G542" s="4" t="s">
        <v>11</v>
      </c>
      <c r="H542" s="4" t="s">
        <v>12</v>
      </c>
    </row>
    <row r="543" spans="1:8">
      <c r="A543" s="3" t="s">
        <v>1231</v>
      </c>
      <c r="B543" s="4" t="s">
        <v>1418</v>
      </c>
      <c r="C543" s="4" t="s">
        <v>1419</v>
      </c>
      <c r="D543" s="4" t="s">
        <v>340</v>
      </c>
      <c r="E543" s="4">
        <v>48</v>
      </c>
      <c r="F543" s="4">
        <v>2</v>
      </c>
      <c r="G543" s="4" t="s">
        <v>11</v>
      </c>
      <c r="H543" s="4" t="s">
        <v>12</v>
      </c>
    </row>
    <row r="544" spans="1:8">
      <c r="A544" s="3" t="s">
        <v>1231</v>
      </c>
      <c r="B544" s="4" t="s">
        <v>1420</v>
      </c>
      <c r="C544" s="4" t="s">
        <v>1421</v>
      </c>
      <c r="D544" s="4" t="s">
        <v>340</v>
      </c>
      <c r="E544" s="4">
        <v>55</v>
      </c>
      <c r="F544" s="4">
        <v>2</v>
      </c>
      <c r="G544" s="4" t="s">
        <v>11</v>
      </c>
      <c r="H544" s="4" t="s">
        <v>12</v>
      </c>
    </row>
    <row r="545" spans="1:8">
      <c r="A545" s="3" t="s">
        <v>1231</v>
      </c>
      <c r="B545" s="4" t="s">
        <v>1422</v>
      </c>
      <c r="C545" s="4" t="s">
        <v>1423</v>
      </c>
      <c r="D545" s="4" t="s">
        <v>340</v>
      </c>
      <c r="E545" s="4">
        <v>50</v>
      </c>
      <c r="F545" s="4">
        <v>2</v>
      </c>
      <c r="G545" s="4" t="s">
        <v>11</v>
      </c>
      <c r="H545" s="4" t="s">
        <v>12</v>
      </c>
    </row>
    <row r="546" spans="1:8">
      <c r="A546" s="3" t="s">
        <v>1231</v>
      </c>
      <c r="B546" s="4" t="s">
        <v>1236</v>
      </c>
      <c r="C546" s="4" t="s">
        <v>1237</v>
      </c>
      <c r="D546" s="4" t="s">
        <v>340</v>
      </c>
      <c r="E546" s="4">
        <v>40</v>
      </c>
      <c r="F546" s="4">
        <v>2</v>
      </c>
      <c r="G546" s="4" t="s">
        <v>11</v>
      </c>
      <c r="H546" s="4" t="s">
        <v>12</v>
      </c>
    </row>
    <row r="547" spans="1:8">
      <c r="A547" s="3" t="s">
        <v>1231</v>
      </c>
      <c r="B547" s="4" t="s">
        <v>1238</v>
      </c>
      <c r="C547" s="4" t="s">
        <v>1239</v>
      </c>
      <c r="D547" s="4" t="s">
        <v>340</v>
      </c>
      <c r="E547" s="4">
        <v>43</v>
      </c>
      <c r="F547" s="4">
        <v>2</v>
      </c>
      <c r="G547" s="4" t="s">
        <v>11</v>
      </c>
      <c r="H547" s="4" t="s">
        <v>12</v>
      </c>
    </row>
    <row r="548" spans="1:8">
      <c r="A548" s="3" t="s">
        <v>1231</v>
      </c>
      <c r="B548" s="4" t="s">
        <v>1240</v>
      </c>
      <c r="C548" s="4" t="s">
        <v>157</v>
      </c>
      <c r="D548" s="4" t="s">
        <v>340</v>
      </c>
      <c r="E548" s="4">
        <v>40</v>
      </c>
      <c r="F548" s="4">
        <v>2</v>
      </c>
      <c r="G548" s="4" t="s">
        <v>11</v>
      </c>
      <c r="H548" s="4" t="s">
        <v>12</v>
      </c>
    </row>
    <row r="549" spans="1:8">
      <c r="A549" s="3" t="s">
        <v>1231</v>
      </c>
      <c r="B549" s="4" t="s">
        <v>1424</v>
      </c>
      <c r="C549" s="4" t="s">
        <v>1425</v>
      </c>
      <c r="D549" s="4" t="s">
        <v>340</v>
      </c>
      <c r="E549" s="4">
        <v>40</v>
      </c>
      <c r="F549" s="4">
        <v>2</v>
      </c>
      <c r="G549" s="4" t="s">
        <v>11</v>
      </c>
      <c r="H549" s="4" t="s">
        <v>12</v>
      </c>
    </row>
    <row r="550" spans="1:8">
      <c r="A550" s="3" t="s">
        <v>1231</v>
      </c>
      <c r="B550" s="4" t="s">
        <v>1426</v>
      </c>
      <c r="C550" s="4" t="s">
        <v>1427</v>
      </c>
      <c r="D550" s="4" t="s">
        <v>340</v>
      </c>
      <c r="E550" s="4">
        <v>44</v>
      </c>
      <c r="F550" s="4">
        <v>2</v>
      </c>
      <c r="G550" s="4" t="s">
        <v>11</v>
      </c>
      <c r="H550" s="4" t="s">
        <v>12</v>
      </c>
    </row>
    <row r="551" spans="1:8">
      <c r="A551" s="3" t="s">
        <v>1231</v>
      </c>
      <c r="B551" s="4" t="s">
        <v>1241</v>
      </c>
      <c r="C551" s="4" t="s">
        <v>1242</v>
      </c>
      <c r="D551" s="4" t="s">
        <v>340</v>
      </c>
      <c r="E551" s="4">
        <v>40</v>
      </c>
      <c r="F551" s="4">
        <v>2</v>
      </c>
      <c r="G551" s="4" t="s">
        <v>11</v>
      </c>
      <c r="H551" s="4" t="s">
        <v>12</v>
      </c>
    </row>
    <row r="552" spans="1:8">
      <c r="A552" s="3" t="s">
        <v>1102</v>
      </c>
      <c r="B552" s="4" t="s">
        <v>1105</v>
      </c>
      <c r="C552" s="4" t="s">
        <v>1106</v>
      </c>
      <c r="D552" s="4" t="s">
        <v>340</v>
      </c>
      <c r="E552" s="4">
        <v>49</v>
      </c>
      <c r="F552" s="4">
        <v>2</v>
      </c>
      <c r="G552" s="4" t="s">
        <v>11</v>
      </c>
      <c r="H552" s="4" t="s">
        <v>12</v>
      </c>
    </row>
    <row r="553" spans="1:8">
      <c r="A553" s="3" t="s">
        <v>1102</v>
      </c>
      <c r="B553" s="4" t="s">
        <v>1107</v>
      </c>
      <c r="C553" s="4" t="s">
        <v>1108</v>
      </c>
      <c r="D553" s="4" t="s">
        <v>340</v>
      </c>
      <c r="E553" s="4">
        <v>45</v>
      </c>
      <c r="F553" s="4">
        <v>2</v>
      </c>
      <c r="G553" s="4" t="s">
        <v>11</v>
      </c>
      <c r="H553" s="4" t="s">
        <v>12</v>
      </c>
    </row>
    <row r="554" spans="1:8">
      <c r="A554" s="3" t="s">
        <v>1102</v>
      </c>
      <c r="B554" s="4" t="s">
        <v>1117</v>
      </c>
      <c r="C554" s="4" t="s">
        <v>1118</v>
      </c>
      <c r="D554" s="4" t="s">
        <v>340</v>
      </c>
      <c r="E554" s="4">
        <v>44</v>
      </c>
      <c r="F554" s="4">
        <v>2</v>
      </c>
      <c r="G554" s="4" t="s">
        <v>11</v>
      </c>
      <c r="H554" s="4" t="s">
        <v>12</v>
      </c>
    </row>
    <row r="555" spans="1:8">
      <c r="A555" s="3" t="s">
        <v>1102</v>
      </c>
      <c r="B555" s="4" t="s">
        <v>1303</v>
      </c>
      <c r="C555" s="4" t="s">
        <v>1304</v>
      </c>
      <c r="D555" s="4" t="s">
        <v>340</v>
      </c>
      <c r="E555" s="4">
        <v>40</v>
      </c>
      <c r="F555" s="4">
        <v>2</v>
      </c>
      <c r="G555" s="4" t="s">
        <v>11</v>
      </c>
      <c r="H555" s="4" t="s">
        <v>12</v>
      </c>
    </row>
    <row r="556" spans="1:8">
      <c r="A556" s="3" t="s">
        <v>1102</v>
      </c>
      <c r="B556" s="4" t="s">
        <v>1129</v>
      </c>
      <c r="C556" s="4" t="s">
        <v>1130</v>
      </c>
      <c r="D556" s="4" t="s">
        <v>340</v>
      </c>
      <c r="E556" s="4">
        <v>43</v>
      </c>
      <c r="F556" s="4">
        <v>2</v>
      </c>
      <c r="G556" s="4" t="s">
        <v>11</v>
      </c>
      <c r="H556" s="4" t="s">
        <v>12</v>
      </c>
    </row>
    <row r="557" spans="1:8">
      <c r="A557" s="3" t="s">
        <v>1102</v>
      </c>
      <c r="B557" s="4" t="s">
        <v>1131</v>
      </c>
      <c r="C557" s="4" t="s">
        <v>1132</v>
      </c>
      <c r="D557" s="4" t="s">
        <v>340</v>
      </c>
      <c r="E557" s="4">
        <v>52</v>
      </c>
      <c r="F557" s="4">
        <v>2</v>
      </c>
      <c r="G557" s="4" t="s">
        <v>11</v>
      </c>
      <c r="H557" s="4" t="s">
        <v>12</v>
      </c>
    </row>
    <row r="558" spans="1:8">
      <c r="A558" s="3" t="s">
        <v>1135</v>
      </c>
      <c r="B558" s="4" t="s">
        <v>1138</v>
      </c>
      <c r="C558" s="4" t="s">
        <v>1139</v>
      </c>
      <c r="D558" s="4" t="s">
        <v>340</v>
      </c>
      <c r="E558" s="4">
        <v>42</v>
      </c>
      <c r="F558" s="4">
        <v>2</v>
      </c>
      <c r="G558" s="4" t="s">
        <v>11</v>
      </c>
      <c r="H558" s="4" t="s">
        <v>12</v>
      </c>
    </row>
    <row r="559" spans="1:8">
      <c r="A559" s="3" t="s">
        <v>1135</v>
      </c>
      <c r="B559" s="4" t="s">
        <v>1339</v>
      </c>
      <c r="C559" s="4" t="s">
        <v>1340</v>
      </c>
      <c r="D559" s="4" t="s">
        <v>340</v>
      </c>
      <c r="E559" s="4">
        <v>55</v>
      </c>
      <c r="F559" s="4">
        <v>2</v>
      </c>
      <c r="G559" s="4" t="s">
        <v>11</v>
      </c>
      <c r="H559" s="4" t="s">
        <v>12</v>
      </c>
    </row>
    <row r="560" spans="1:8">
      <c r="A560" s="3" t="s">
        <v>1135</v>
      </c>
      <c r="B560" s="4" t="s">
        <v>1341</v>
      </c>
      <c r="C560" s="4" t="s">
        <v>1342</v>
      </c>
      <c r="D560" s="4" t="s">
        <v>340</v>
      </c>
      <c r="E560" s="4">
        <v>49</v>
      </c>
      <c r="F560" s="4">
        <v>2</v>
      </c>
      <c r="G560" s="4" t="s">
        <v>11</v>
      </c>
      <c r="H560" s="4" t="s">
        <v>12</v>
      </c>
    </row>
    <row r="561" spans="1:8">
      <c r="A561" s="3" t="s">
        <v>1135</v>
      </c>
      <c r="B561" s="4" t="s">
        <v>1343</v>
      </c>
      <c r="C561" s="4" t="s">
        <v>1344</v>
      </c>
      <c r="D561" s="4" t="s">
        <v>340</v>
      </c>
      <c r="E561" s="4">
        <v>52</v>
      </c>
      <c r="F561" s="4">
        <v>2</v>
      </c>
      <c r="G561" s="4" t="s">
        <v>11</v>
      </c>
      <c r="H561" s="4" t="s">
        <v>12</v>
      </c>
    </row>
    <row r="562" spans="1:8">
      <c r="A562" s="3" t="s">
        <v>1135</v>
      </c>
      <c r="B562" s="4" t="s">
        <v>1345</v>
      </c>
      <c r="C562" s="4" t="s">
        <v>1346</v>
      </c>
      <c r="D562" s="4" t="s">
        <v>340</v>
      </c>
      <c r="E562" s="4">
        <v>43</v>
      </c>
      <c r="F562" s="4">
        <v>2</v>
      </c>
      <c r="G562" s="4" t="s">
        <v>11</v>
      </c>
      <c r="H562" s="4" t="s">
        <v>12</v>
      </c>
    </row>
    <row r="563" spans="1:8">
      <c r="A563" s="3" t="s">
        <v>1135</v>
      </c>
      <c r="B563" s="4" t="s">
        <v>1347</v>
      </c>
      <c r="C563" s="4" t="s">
        <v>1348</v>
      </c>
      <c r="D563" s="4" t="s">
        <v>340</v>
      </c>
      <c r="E563" s="4">
        <v>56</v>
      </c>
      <c r="F563" s="4">
        <v>2</v>
      </c>
      <c r="G563" s="4" t="s">
        <v>11</v>
      </c>
      <c r="H563" s="4" t="s">
        <v>12</v>
      </c>
    </row>
    <row r="564" spans="1:8">
      <c r="A564" s="3" t="s">
        <v>1135</v>
      </c>
      <c r="B564" s="4" t="s">
        <v>1349</v>
      </c>
      <c r="C564" s="4" t="s">
        <v>1350</v>
      </c>
      <c r="D564" s="4" t="s">
        <v>340</v>
      </c>
      <c r="E564" s="4">
        <v>51</v>
      </c>
      <c r="F564" s="4">
        <v>2</v>
      </c>
      <c r="G564" s="4" t="s">
        <v>11</v>
      </c>
      <c r="H564" s="4" t="s">
        <v>12</v>
      </c>
    </row>
    <row r="565" spans="1:8">
      <c r="A565" s="3" t="s">
        <v>1428</v>
      </c>
      <c r="B565" s="4" t="s">
        <v>1429</v>
      </c>
      <c r="C565" s="4" t="s">
        <v>1430</v>
      </c>
      <c r="D565" s="4" t="s">
        <v>340</v>
      </c>
      <c r="E565" s="4">
        <v>45</v>
      </c>
      <c r="F565" s="4">
        <v>2</v>
      </c>
      <c r="G565" s="4" t="s">
        <v>11</v>
      </c>
      <c r="H565" s="4" t="s">
        <v>12</v>
      </c>
    </row>
    <row r="566" spans="1:8">
      <c r="A566" s="3" t="s">
        <v>1428</v>
      </c>
      <c r="B566" s="4" t="s">
        <v>1431</v>
      </c>
      <c r="C566" s="4" t="s">
        <v>1432</v>
      </c>
      <c r="D566" s="4" t="s">
        <v>340</v>
      </c>
      <c r="E566" s="4">
        <v>48</v>
      </c>
      <c r="F566" s="4">
        <v>2</v>
      </c>
      <c r="G566" s="4" t="s">
        <v>11</v>
      </c>
      <c r="H566" s="4" t="s">
        <v>12</v>
      </c>
    </row>
    <row r="567" spans="1:8">
      <c r="A567" s="3" t="s">
        <v>1035</v>
      </c>
      <c r="B567" s="4" t="s">
        <v>1690</v>
      </c>
      <c r="C567" s="4" t="s">
        <v>1691</v>
      </c>
      <c r="D567" s="4" t="s">
        <v>1692</v>
      </c>
      <c r="E567" s="4">
        <v>46</v>
      </c>
      <c r="F567" s="4">
        <v>2</v>
      </c>
      <c r="G567" s="4" t="s">
        <v>583</v>
      </c>
      <c r="H567" s="4" t="s">
        <v>12</v>
      </c>
    </row>
    <row r="568" spans="1:8">
      <c r="A568" s="3" t="s">
        <v>1144</v>
      </c>
      <c r="B568" s="4" t="s">
        <v>1163</v>
      </c>
      <c r="C568" s="4" t="s">
        <v>1164</v>
      </c>
      <c r="D568" s="4" t="s">
        <v>1692</v>
      </c>
      <c r="E568" s="4">
        <v>54</v>
      </c>
      <c r="F568" s="4">
        <v>2</v>
      </c>
      <c r="G568" s="4" t="s">
        <v>583</v>
      </c>
      <c r="H568" s="4" t="s">
        <v>12</v>
      </c>
    </row>
    <row r="569" spans="1:8">
      <c r="A569" s="3" t="s">
        <v>1144</v>
      </c>
      <c r="B569" s="4" t="s">
        <v>1165</v>
      </c>
      <c r="C569" s="4" t="s">
        <v>1166</v>
      </c>
      <c r="D569" s="4" t="s">
        <v>1692</v>
      </c>
      <c r="E569" s="4">
        <v>57</v>
      </c>
      <c r="F569" s="4">
        <v>2</v>
      </c>
      <c r="G569" s="4" t="s">
        <v>583</v>
      </c>
      <c r="H569" s="4" t="s">
        <v>12</v>
      </c>
    </row>
    <row r="570" spans="1:8">
      <c r="A570" s="3" t="s">
        <v>1009</v>
      </c>
      <c r="B570" s="4" t="s">
        <v>1804</v>
      </c>
      <c r="C570" s="4" t="s">
        <v>1805</v>
      </c>
      <c r="D570" s="4" t="s">
        <v>1806</v>
      </c>
      <c r="E570" s="4">
        <v>44</v>
      </c>
      <c r="F570" s="4">
        <v>2</v>
      </c>
      <c r="G570" s="4" t="s">
        <v>583</v>
      </c>
      <c r="H570" s="4" t="s">
        <v>12</v>
      </c>
    </row>
    <row r="571" spans="1:8">
      <c r="A571" s="3" t="s">
        <v>1009</v>
      </c>
      <c r="B571" s="4" t="s">
        <v>1807</v>
      </c>
      <c r="C571" s="4" t="s">
        <v>1808</v>
      </c>
      <c r="D571" s="4" t="s">
        <v>1806</v>
      </c>
      <c r="E571" s="4">
        <v>47</v>
      </c>
      <c r="F571" s="4">
        <v>2</v>
      </c>
      <c r="G571" s="4" t="s">
        <v>583</v>
      </c>
      <c r="H571" s="4" t="s">
        <v>12</v>
      </c>
    </row>
    <row r="572" spans="1:8">
      <c r="A572" s="3" t="s">
        <v>1009</v>
      </c>
      <c r="B572" s="4" t="s">
        <v>1809</v>
      </c>
      <c r="C572" s="4" t="s">
        <v>1810</v>
      </c>
      <c r="D572" s="4" t="s">
        <v>1806</v>
      </c>
      <c r="E572" s="4">
        <v>48</v>
      </c>
      <c r="F572" s="4">
        <v>2</v>
      </c>
      <c r="G572" s="4" t="s">
        <v>583</v>
      </c>
      <c r="H572" s="4" t="s">
        <v>12</v>
      </c>
    </row>
    <row r="573" spans="1:8">
      <c r="A573" s="3" t="s">
        <v>1009</v>
      </c>
      <c r="B573" s="4" t="s">
        <v>1811</v>
      </c>
      <c r="C573" s="4" t="s">
        <v>1812</v>
      </c>
      <c r="D573" s="4" t="s">
        <v>1806</v>
      </c>
      <c r="E573" s="4">
        <v>47</v>
      </c>
      <c r="F573" s="4">
        <v>2</v>
      </c>
      <c r="G573" s="4" t="s">
        <v>583</v>
      </c>
      <c r="H573" s="4" t="s">
        <v>12</v>
      </c>
    </row>
    <row r="574" spans="1:8">
      <c r="A574" s="3" t="s">
        <v>1009</v>
      </c>
      <c r="B574" s="4" t="s">
        <v>1014</v>
      </c>
      <c r="C574" s="4" t="s">
        <v>1015</v>
      </c>
      <c r="D574" s="4" t="s">
        <v>1806</v>
      </c>
      <c r="E574" s="4">
        <v>49</v>
      </c>
      <c r="F574" s="4">
        <v>2</v>
      </c>
      <c r="G574" s="4" t="s">
        <v>583</v>
      </c>
      <c r="H574" s="4" t="s">
        <v>12</v>
      </c>
    </row>
    <row r="575" spans="1:8">
      <c r="A575" s="3" t="s">
        <v>1059</v>
      </c>
      <c r="B575" s="4" t="s">
        <v>1487</v>
      </c>
      <c r="C575" s="4" t="s">
        <v>1488</v>
      </c>
      <c r="D575" s="4" t="s">
        <v>1806</v>
      </c>
      <c r="E575" s="4">
        <v>40</v>
      </c>
      <c r="F575" s="4">
        <v>2</v>
      </c>
      <c r="G575" s="4" t="s">
        <v>583</v>
      </c>
      <c r="H575" s="4" t="s">
        <v>12</v>
      </c>
    </row>
    <row r="576" spans="1:8">
      <c r="A576" s="3" t="s">
        <v>1059</v>
      </c>
      <c r="B576" s="4" t="s">
        <v>1794</v>
      </c>
      <c r="C576" s="4" t="s">
        <v>1795</v>
      </c>
      <c r="D576" s="4" t="s">
        <v>1806</v>
      </c>
      <c r="E576" s="4">
        <v>46</v>
      </c>
      <c r="F576" s="4">
        <v>2</v>
      </c>
      <c r="G576" s="4" t="s">
        <v>583</v>
      </c>
      <c r="H576" s="4" t="s">
        <v>12</v>
      </c>
    </row>
    <row r="577" spans="1:8">
      <c r="A577" s="3" t="s">
        <v>1059</v>
      </c>
      <c r="B577" s="4" t="s">
        <v>1813</v>
      </c>
      <c r="C577" s="4" t="s">
        <v>1814</v>
      </c>
      <c r="D577" s="4" t="s">
        <v>1806</v>
      </c>
      <c r="E577" s="4">
        <v>49</v>
      </c>
      <c r="F577" s="4">
        <v>2</v>
      </c>
      <c r="G577" s="4" t="s">
        <v>583</v>
      </c>
      <c r="H577" s="4" t="s">
        <v>12</v>
      </c>
    </row>
    <row r="578" spans="1:8">
      <c r="A578" s="3" t="s">
        <v>1059</v>
      </c>
      <c r="B578" s="4" t="s">
        <v>1495</v>
      </c>
      <c r="C578" s="4" t="s">
        <v>1496</v>
      </c>
      <c r="D578" s="4" t="s">
        <v>1806</v>
      </c>
      <c r="E578" s="4">
        <v>41</v>
      </c>
      <c r="F578" s="4">
        <v>2</v>
      </c>
      <c r="G578" s="4" t="s">
        <v>583</v>
      </c>
      <c r="H578" s="4" t="s">
        <v>12</v>
      </c>
    </row>
    <row r="579" spans="1:8">
      <c r="A579" s="3" t="s">
        <v>968</v>
      </c>
      <c r="B579" s="4" t="s">
        <v>1279</v>
      </c>
      <c r="C579" s="4" t="s">
        <v>1280</v>
      </c>
      <c r="D579" s="4" t="s">
        <v>709</v>
      </c>
      <c r="E579" s="4">
        <v>55</v>
      </c>
      <c r="F579" s="4">
        <v>2</v>
      </c>
      <c r="G579" s="4" t="s">
        <v>11</v>
      </c>
      <c r="H579" s="4" t="s">
        <v>12</v>
      </c>
    </row>
    <row r="580" spans="1:8">
      <c r="A580" s="3" t="s">
        <v>1171</v>
      </c>
      <c r="B580" s="4" t="s">
        <v>1251</v>
      </c>
      <c r="C580" s="4" t="s">
        <v>1252</v>
      </c>
      <c r="D580" s="4" t="s">
        <v>709</v>
      </c>
      <c r="E580" s="4">
        <v>55</v>
      </c>
      <c r="F580" s="4">
        <v>2</v>
      </c>
      <c r="G580" s="4" t="s">
        <v>11</v>
      </c>
      <c r="H580" s="4" t="s">
        <v>12</v>
      </c>
    </row>
    <row r="581" spans="1:8">
      <c r="A581" s="3" t="s">
        <v>1171</v>
      </c>
      <c r="B581" s="4" t="s">
        <v>1178</v>
      </c>
      <c r="C581" s="4" t="s">
        <v>1179</v>
      </c>
      <c r="D581" s="4" t="s">
        <v>709</v>
      </c>
      <c r="E581" s="4">
        <v>51</v>
      </c>
      <c r="F581" s="4">
        <v>2</v>
      </c>
      <c r="G581" s="4" t="s">
        <v>11</v>
      </c>
      <c r="H581" s="4" t="s">
        <v>12</v>
      </c>
    </row>
    <row r="582" spans="1:8">
      <c r="A582" s="3" t="s">
        <v>1171</v>
      </c>
      <c r="B582" s="4" t="s">
        <v>1253</v>
      </c>
      <c r="C582" s="4" t="s">
        <v>1254</v>
      </c>
      <c r="D582" s="4" t="s">
        <v>709</v>
      </c>
      <c r="E582" s="4">
        <v>55</v>
      </c>
      <c r="F582" s="4">
        <v>2</v>
      </c>
      <c r="G582" s="4" t="s">
        <v>11</v>
      </c>
      <c r="H582" s="4" t="s">
        <v>12</v>
      </c>
    </row>
    <row r="583" spans="1:8">
      <c r="A583" s="3" t="s">
        <v>1083</v>
      </c>
      <c r="B583" s="4" t="s">
        <v>1092</v>
      </c>
      <c r="C583" s="4" t="s">
        <v>1093</v>
      </c>
      <c r="D583" s="4" t="s">
        <v>709</v>
      </c>
      <c r="E583" s="4">
        <v>54</v>
      </c>
      <c r="F583" s="4">
        <v>2</v>
      </c>
      <c r="G583" s="4" t="s">
        <v>11</v>
      </c>
      <c r="H583" s="4" t="s">
        <v>12</v>
      </c>
    </row>
    <row r="584" spans="1:8">
      <c r="A584" s="3" t="s">
        <v>1191</v>
      </c>
      <c r="B584" s="4" t="s">
        <v>1503</v>
      </c>
      <c r="C584" s="4" t="s">
        <v>1504</v>
      </c>
      <c r="D584" s="4" t="s">
        <v>709</v>
      </c>
      <c r="E584" s="4">
        <v>50</v>
      </c>
      <c r="F584" s="4">
        <v>2</v>
      </c>
      <c r="G584" s="4" t="s">
        <v>11</v>
      </c>
      <c r="H584" s="4" t="s">
        <v>12</v>
      </c>
    </row>
    <row r="585" spans="1:8">
      <c r="A585" s="3" t="s">
        <v>1191</v>
      </c>
      <c r="B585" s="4" t="s">
        <v>1198</v>
      </c>
      <c r="C585" s="4" t="s">
        <v>1199</v>
      </c>
      <c r="D585" s="4" t="s">
        <v>709</v>
      </c>
      <c r="E585" s="4">
        <v>42</v>
      </c>
      <c r="F585" s="4">
        <v>2</v>
      </c>
      <c r="G585" s="4" t="s">
        <v>11</v>
      </c>
      <c r="H585" s="4" t="s">
        <v>12</v>
      </c>
    </row>
    <row r="586" spans="1:8">
      <c r="A586" s="3" t="s">
        <v>1231</v>
      </c>
      <c r="B586" s="4" t="s">
        <v>1232</v>
      </c>
      <c r="C586" s="4" t="s">
        <v>1233</v>
      </c>
      <c r="D586" s="4" t="s">
        <v>709</v>
      </c>
      <c r="E586" s="4">
        <v>53</v>
      </c>
      <c r="F586" s="4">
        <v>2</v>
      </c>
      <c r="G586" s="4" t="s">
        <v>11</v>
      </c>
      <c r="H586" s="4" t="s">
        <v>12</v>
      </c>
    </row>
    <row r="587" spans="1:8">
      <c r="A587" s="3" t="s">
        <v>1231</v>
      </c>
      <c r="B587" s="4" t="s">
        <v>1426</v>
      </c>
      <c r="C587" s="4" t="s">
        <v>1427</v>
      </c>
      <c r="D587" s="4" t="s">
        <v>709</v>
      </c>
      <c r="E587" s="4">
        <v>41</v>
      </c>
      <c r="F587" s="4">
        <v>2</v>
      </c>
      <c r="G587" s="4" t="s">
        <v>11</v>
      </c>
      <c r="H587" s="4" t="s">
        <v>12</v>
      </c>
    </row>
    <row r="588" spans="1:8">
      <c r="A588" s="3" t="s">
        <v>1102</v>
      </c>
      <c r="B588" s="4" t="s">
        <v>1445</v>
      </c>
      <c r="C588" s="4" t="s">
        <v>1446</v>
      </c>
      <c r="D588" s="4" t="s">
        <v>709</v>
      </c>
      <c r="E588" s="4">
        <v>55</v>
      </c>
      <c r="F588" s="4">
        <v>2</v>
      </c>
      <c r="G588" s="4" t="s">
        <v>11</v>
      </c>
      <c r="H588" s="4" t="s">
        <v>12</v>
      </c>
    </row>
    <row r="589" spans="1:8">
      <c r="A589" s="3" t="s">
        <v>1102</v>
      </c>
      <c r="B589" s="4" t="s">
        <v>1123</v>
      </c>
      <c r="C589" s="4" t="s">
        <v>1124</v>
      </c>
      <c r="D589" s="4" t="s">
        <v>709</v>
      </c>
      <c r="E589" s="4">
        <v>52</v>
      </c>
      <c r="F589" s="4">
        <v>2</v>
      </c>
      <c r="G589" s="4" t="s">
        <v>11</v>
      </c>
      <c r="H589" s="4" t="s">
        <v>12</v>
      </c>
    </row>
    <row r="590" spans="1:8">
      <c r="A590" s="3" t="s">
        <v>1020</v>
      </c>
      <c r="B590" s="4" t="s">
        <v>1261</v>
      </c>
      <c r="C590" s="4" t="s">
        <v>1262</v>
      </c>
      <c r="D590" s="4" t="s">
        <v>1589</v>
      </c>
      <c r="E590" s="4">
        <v>40</v>
      </c>
      <c r="F590" s="4">
        <v>1</v>
      </c>
      <c r="G590" s="4" t="s">
        <v>11</v>
      </c>
      <c r="H590" s="4" t="s">
        <v>12</v>
      </c>
    </row>
    <row r="591" spans="1:8">
      <c r="A591" s="3" t="s">
        <v>1171</v>
      </c>
      <c r="B591" s="4" t="s">
        <v>1178</v>
      </c>
      <c r="C591" s="4" t="s">
        <v>1179</v>
      </c>
      <c r="D591" s="4" t="s">
        <v>1586</v>
      </c>
      <c r="E591" s="4">
        <v>47</v>
      </c>
      <c r="F591" s="4">
        <v>2</v>
      </c>
      <c r="G591" s="4" t="s">
        <v>11</v>
      </c>
      <c r="H591" s="4" t="s">
        <v>12</v>
      </c>
    </row>
    <row r="592" spans="1:8">
      <c r="A592" s="3" t="s">
        <v>1191</v>
      </c>
      <c r="B592" s="4" t="s">
        <v>1587</v>
      </c>
      <c r="C592" s="4" t="s">
        <v>1588</v>
      </c>
      <c r="D592" s="4" t="s">
        <v>1586</v>
      </c>
      <c r="E592" s="4">
        <v>55</v>
      </c>
      <c r="F592" s="4">
        <v>2</v>
      </c>
      <c r="G592" s="4" t="s">
        <v>11</v>
      </c>
      <c r="H592" s="4" t="s">
        <v>12</v>
      </c>
    </row>
    <row r="593" spans="1:8">
      <c r="A593" s="3" t="s">
        <v>1191</v>
      </c>
      <c r="B593" s="4" t="s">
        <v>1194</v>
      </c>
      <c r="C593" s="4" t="s">
        <v>1195</v>
      </c>
      <c r="D593" s="4" t="s">
        <v>1586</v>
      </c>
      <c r="E593" s="4">
        <v>42</v>
      </c>
      <c r="F593" s="4">
        <v>2</v>
      </c>
      <c r="G593" s="4" t="s">
        <v>11</v>
      </c>
      <c r="H593" s="4" t="s">
        <v>12</v>
      </c>
    </row>
    <row r="594" spans="1:8">
      <c r="A594" s="3" t="s">
        <v>1231</v>
      </c>
      <c r="B594" s="4" t="s">
        <v>1426</v>
      </c>
      <c r="C594" s="4" t="s">
        <v>1427</v>
      </c>
      <c r="D594" s="4" t="s">
        <v>1586</v>
      </c>
      <c r="E594" s="4">
        <v>53</v>
      </c>
      <c r="F594" s="4">
        <v>2</v>
      </c>
      <c r="G594" s="4" t="s">
        <v>11</v>
      </c>
      <c r="H594" s="4" t="s">
        <v>12</v>
      </c>
    </row>
    <row r="595" spans="1:8">
      <c r="A595" s="3" t="s">
        <v>1102</v>
      </c>
      <c r="B595" s="4" t="s">
        <v>1445</v>
      </c>
      <c r="C595" s="4" t="s">
        <v>1446</v>
      </c>
      <c r="D595" s="4" t="s">
        <v>1586</v>
      </c>
      <c r="E595" s="4">
        <v>50</v>
      </c>
      <c r="F595" s="4">
        <v>2</v>
      </c>
      <c r="G595" s="4" t="s">
        <v>11</v>
      </c>
      <c r="H595" s="4" t="s">
        <v>12</v>
      </c>
    </row>
    <row r="596" spans="1:8">
      <c r="A596" s="3" t="s">
        <v>1059</v>
      </c>
      <c r="B596" s="4" t="s">
        <v>1487</v>
      </c>
      <c r="C596" s="4" t="s">
        <v>1488</v>
      </c>
      <c r="D596" s="4" t="s">
        <v>1586</v>
      </c>
      <c r="E596" s="4">
        <v>54</v>
      </c>
      <c r="F596" s="4">
        <v>2</v>
      </c>
      <c r="G596" s="4" t="s">
        <v>11</v>
      </c>
      <c r="H596" s="4" t="s">
        <v>12</v>
      </c>
    </row>
    <row r="597" spans="1:8">
      <c r="A597" s="3" t="s">
        <v>1054</v>
      </c>
      <c r="B597" s="4" t="s">
        <v>1580</v>
      </c>
      <c r="C597" s="4" t="s">
        <v>1581</v>
      </c>
      <c r="D597" s="4" t="s">
        <v>793</v>
      </c>
      <c r="E597" s="4">
        <v>52</v>
      </c>
      <c r="F597" s="4">
        <v>2</v>
      </c>
      <c r="G597" s="4" t="s">
        <v>11</v>
      </c>
      <c r="H597" s="4" t="s">
        <v>12</v>
      </c>
    </row>
    <row r="598" spans="1:8">
      <c r="A598" s="3" t="s">
        <v>1200</v>
      </c>
      <c r="B598" s="4" t="s">
        <v>1443</v>
      </c>
      <c r="C598" s="4" t="s">
        <v>1444</v>
      </c>
      <c r="D598" s="4" t="s">
        <v>793</v>
      </c>
      <c r="E598" s="4">
        <v>50</v>
      </c>
      <c r="F598" s="4">
        <v>2</v>
      </c>
      <c r="G598" s="4" t="s">
        <v>11</v>
      </c>
      <c r="H598" s="4" t="s">
        <v>12</v>
      </c>
    </row>
    <row r="599" spans="1:8">
      <c r="A599" s="3" t="s">
        <v>1217</v>
      </c>
      <c r="B599" s="4" t="s">
        <v>1572</v>
      </c>
      <c r="C599" s="4" t="s">
        <v>1573</v>
      </c>
      <c r="D599" s="4" t="s">
        <v>793</v>
      </c>
      <c r="E599" s="4">
        <v>40</v>
      </c>
      <c r="F599" s="4">
        <v>2</v>
      </c>
      <c r="G599" s="4" t="s">
        <v>11</v>
      </c>
      <c r="H599" s="4" t="s">
        <v>12</v>
      </c>
    </row>
    <row r="600" spans="1:8">
      <c r="A600" s="3" t="s">
        <v>998</v>
      </c>
      <c r="B600" s="4" t="s">
        <v>1582</v>
      </c>
      <c r="C600" s="4" t="s">
        <v>1583</v>
      </c>
      <c r="D600" s="4" t="s">
        <v>793</v>
      </c>
      <c r="E600" s="4">
        <v>40</v>
      </c>
      <c r="F600" s="4">
        <v>2</v>
      </c>
      <c r="G600" s="4" t="s">
        <v>11</v>
      </c>
      <c r="H600" s="4" t="s">
        <v>12</v>
      </c>
    </row>
    <row r="601" spans="1:8">
      <c r="A601" s="3" t="s">
        <v>998</v>
      </c>
      <c r="B601" s="4" t="s">
        <v>1584</v>
      </c>
      <c r="C601" s="4" t="s">
        <v>1585</v>
      </c>
      <c r="D601" s="4" t="s">
        <v>793</v>
      </c>
      <c r="E601" s="4">
        <v>42</v>
      </c>
      <c r="F601" s="4">
        <v>2</v>
      </c>
      <c r="G601" s="4" t="s">
        <v>11</v>
      </c>
      <c r="H601" s="4" t="s">
        <v>12</v>
      </c>
    </row>
    <row r="602" spans="1:8">
      <c r="A602" s="3" t="s">
        <v>998</v>
      </c>
      <c r="B602" s="4" t="s">
        <v>1497</v>
      </c>
      <c r="C602" s="4" t="s">
        <v>1498</v>
      </c>
      <c r="D602" s="4" t="s">
        <v>793</v>
      </c>
      <c r="E602" s="4">
        <v>50</v>
      </c>
      <c r="F602" s="4">
        <v>2</v>
      </c>
      <c r="G602" s="4" t="s">
        <v>11</v>
      </c>
      <c r="H602" s="4" t="s">
        <v>12</v>
      </c>
    </row>
    <row r="603" spans="1:8">
      <c r="A603" s="3" t="s">
        <v>998</v>
      </c>
      <c r="B603" s="4" t="s">
        <v>1576</v>
      </c>
      <c r="C603" s="4" t="s">
        <v>1577</v>
      </c>
      <c r="D603" s="4" t="s">
        <v>793</v>
      </c>
      <c r="E603" s="4">
        <v>46</v>
      </c>
      <c r="F603" s="4">
        <v>2</v>
      </c>
      <c r="G603" s="4" t="s">
        <v>11</v>
      </c>
      <c r="H603" s="4" t="s">
        <v>12</v>
      </c>
    </row>
    <row r="604" spans="1:8">
      <c r="A604" s="3" t="s">
        <v>1020</v>
      </c>
      <c r="B604" s="4" t="s">
        <v>1545</v>
      </c>
      <c r="C604" s="4" t="s">
        <v>1546</v>
      </c>
      <c r="D604" s="4" t="s">
        <v>702</v>
      </c>
      <c r="E604" s="4">
        <v>51</v>
      </c>
      <c r="F604" s="4">
        <v>2</v>
      </c>
      <c r="G604" s="4" t="s">
        <v>11</v>
      </c>
      <c r="H604" s="4" t="s">
        <v>12</v>
      </c>
    </row>
    <row r="605" spans="1:8">
      <c r="A605" s="3" t="s">
        <v>1020</v>
      </c>
      <c r="B605" s="4" t="s">
        <v>1025</v>
      </c>
      <c r="C605" s="4" t="s">
        <v>1026</v>
      </c>
      <c r="D605" s="4" t="s">
        <v>702</v>
      </c>
      <c r="E605" s="4">
        <v>55</v>
      </c>
      <c r="F605" s="4">
        <v>2</v>
      </c>
      <c r="G605" s="4" t="s">
        <v>11</v>
      </c>
      <c r="H605" s="4" t="s">
        <v>12</v>
      </c>
    </row>
  </sheetData>
  <autoFilter ref="A1:H605" xr:uid="{9E567927-D330-4271-B891-66FDA3FA360C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B4AE-8F4E-4F1B-8515-B6D725950E7E}">
  <dimension ref="A1:H775"/>
  <sheetViews>
    <sheetView topLeftCell="A19" workbookViewId="0">
      <selection sqref="A1:XFD1048576"/>
    </sheetView>
  </sheetViews>
  <sheetFormatPr defaultRowHeight="12.5"/>
  <cols>
    <col min="4" max="4" width="24.90625" bestFit="1" customWidth="1"/>
    <col min="224" max="224" width="7.6328125" bestFit="1" customWidth="1"/>
    <col min="225" max="225" width="0" hidden="1" customWidth="1"/>
    <col min="227" max="227" width="0" hidden="1" customWidth="1"/>
    <col min="228" max="228" width="24.90625" bestFit="1" customWidth="1"/>
    <col min="229" max="229" width="10" bestFit="1" customWidth="1"/>
    <col min="230" max="230" width="9.54296875" customWidth="1"/>
    <col min="231" max="231" width="9.54296875" bestFit="1" customWidth="1"/>
    <col min="232" max="233" width="0" hidden="1" customWidth="1"/>
    <col min="234" max="234" width="11.453125" bestFit="1" customWidth="1"/>
    <col min="235" max="253" width="0" hidden="1" customWidth="1"/>
    <col min="480" max="480" width="7.6328125" bestFit="1" customWidth="1"/>
    <col min="481" max="481" width="0" hidden="1" customWidth="1"/>
    <col min="483" max="483" width="0" hidden="1" customWidth="1"/>
    <col min="484" max="484" width="24.90625" bestFit="1" customWidth="1"/>
    <col min="485" max="485" width="10" bestFit="1" customWidth="1"/>
    <col min="486" max="486" width="9.54296875" customWidth="1"/>
    <col min="487" max="487" width="9.54296875" bestFit="1" customWidth="1"/>
    <col min="488" max="489" width="0" hidden="1" customWidth="1"/>
    <col min="490" max="490" width="11.453125" bestFit="1" customWidth="1"/>
    <col min="491" max="509" width="0" hidden="1" customWidth="1"/>
    <col min="736" max="736" width="7.6328125" bestFit="1" customWidth="1"/>
    <col min="737" max="737" width="0" hidden="1" customWidth="1"/>
    <col min="739" max="739" width="0" hidden="1" customWidth="1"/>
    <col min="740" max="740" width="24.90625" bestFit="1" customWidth="1"/>
    <col min="741" max="741" width="10" bestFit="1" customWidth="1"/>
    <col min="742" max="742" width="9.54296875" customWidth="1"/>
    <col min="743" max="743" width="9.54296875" bestFit="1" customWidth="1"/>
    <col min="744" max="745" width="0" hidden="1" customWidth="1"/>
    <col min="746" max="746" width="11.453125" bestFit="1" customWidth="1"/>
    <col min="747" max="765" width="0" hidden="1" customWidth="1"/>
    <col min="992" max="992" width="7.6328125" bestFit="1" customWidth="1"/>
    <col min="993" max="993" width="0" hidden="1" customWidth="1"/>
    <col min="995" max="995" width="0" hidden="1" customWidth="1"/>
    <col min="996" max="996" width="24.90625" bestFit="1" customWidth="1"/>
    <col min="997" max="997" width="10" bestFit="1" customWidth="1"/>
    <col min="998" max="998" width="9.54296875" customWidth="1"/>
    <col min="999" max="999" width="9.54296875" bestFit="1" customWidth="1"/>
    <col min="1000" max="1001" width="0" hidden="1" customWidth="1"/>
    <col min="1002" max="1002" width="11.453125" bestFit="1" customWidth="1"/>
    <col min="1003" max="1021" width="0" hidden="1" customWidth="1"/>
    <col min="1248" max="1248" width="7.6328125" bestFit="1" customWidth="1"/>
    <col min="1249" max="1249" width="0" hidden="1" customWidth="1"/>
    <col min="1251" max="1251" width="0" hidden="1" customWidth="1"/>
    <col min="1252" max="1252" width="24.90625" bestFit="1" customWidth="1"/>
    <col min="1253" max="1253" width="10" bestFit="1" customWidth="1"/>
    <col min="1254" max="1254" width="9.54296875" customWidth="1"/>
    <col min="1255" max="1255" width="9.54296875" bestFit="1" customWidth="1"/>
    <col min="1256" max="1257" width="0" hidden="1" customWidth="1"/>
    <col min="1258" max="1258" width="11.453125" bestFit="1" customWidth="1"/>
    <col min="1259" max="1277" width="0" hidden="1" customWidth="1"/>
    <col min="1504" max="1504" width="7.6328125" bestFit="1" customWidth="1"/>
    <col min="1505" max="1505" width="0" hidden="1" customWidth="1"/>
    <col min="1507" max="1507" width="0" hidden="1" customWidth="1"/>
    <col min="1508" max="1508" width="24.90625" bestFit="1" customWidth="1"/>
    <col min="1509" max="1509" width="10" bestFit="1" customWidth="1"/>
    <col min="1510" max="1510" width="9.54296875" customWidth="1"/>
    <col min="1511" max="1511" width="9.54296875" bestFit="1" customWidth="1"/>
    <col min="1512" max="1513" width="0" hidden="1" customWidth="1"/>
    <col min="1514" max="1514" width="11.453125" bestFit="1" customWidth="1"/>
    <col min="1515" max="1533" width="0" hidden="1" customWidth="1"/>
    <col min="1760" max="1760" width="7.6328125" bestFit="1" customWidth="1"/>
    <col min="1761" max="1761" width="0" hidden="1" customWidth="1"/>
    <col min="1763" max="1763" width="0" hidden="1" customWidth="1"/>
    <col min="1764" max="1764" width="24.90625" bestFit="1" customWidth="1"/>
    <col min="1765" max="1765" width="10" bestFit="1" customWidth="1"/>
    <col min="1766" max="1766" width="9.54296875" customWidth="1"/>
    <col min="1767" max="1767" width="9.54296875" bestFit="1" customWidth="1"/>
    <col min="1768" max="1769" width="0" hidden="1" customWidth="1"/>
    <col min="1770" max="1770" width="11.453125" bestFit="1" customWidth="1"/>
    <col min="1771" max="1789" width="0" hidden="1" customWidth="1"/>
    <col min="2016" max="2016" width="7.6328125" bestFit="1" customWidth="1"/>
    <col min="2017" max="2017" width="0" hidden="1" customWidth="1"/>
    <col min="2019" max="2019" width="0" hidden="1" customWidth="1"/>
    <col min="2020" max="2020" width="24.90625" bestFit="1" customWidth="1"/>
    <col min="2021" max="2021" width="10" bestFit="1" customWidth="1"/>
    <col min="2022" max="2022" width="9.54296875" customWidth="1"/>
    <col min="2023" max="2023" width="9.54296875" bestFit="1" customWidth="1"/>
    <col min="2024" max="2025" width="0" hidden="1" customWidth="1"/>
    <col min="2026" max="2026" width="11.453125" bestFit="1" customWidth="1"/>
    <col min="2027" max="2045" width="0" hidden="1" customWidth="1"/>
    <col min="2272" max="2272" width="7.6328125" bestFit="1" customWidth="1"/>
    <col min="2273" max="2273" width="0" hidden="1" customWidth="1"/>
    <col min="2275" max="2275" width="0" hidden="1" customWidth="1"/>
    <col min="2276" max="2276" width="24.90625" bestFit="1" customWidth="1"/>
    <col min="2277" max="2277" width="10" bestFit="1" customWidth="1"/>
    <col min="2278" max="2278" width="9.54296875" customWidth="1"/>
    <col min="2279" max="2279" width="9.54296875" bestFit="1" customWidth="1"/>
    <col min="2280" max="2281" width="0" hidden="1" customWidth="1"/>
    <col min="2282" max="2282" width="11.453125" bestFit="1" customWidth="1"/>
    <col min="2283" max="2301" width="0" hidden="1" customWidth="1"/>
    <col min="2528" max="2528" width="7.6328125" bestFit="1" customWidth="1"/>
    <col min="2529" max="2529" width="0" hidden="1" customWidth="1"/>
    <col min="2531" max="2531" width="0" hidden="1" customWidth="1"/>
    <col min="2532" max="2532" width="24.90625" bestFit="1" customWidth="1"/>
    <col min="2533" max="2533" width="10" bestFit="1" customWidth="1"/>
    <col min="2534" max="2534" width="9.54296875" customWidth="1"/>
    <col min="2535" max="2535" width="9.54296875" bestFit="1" customWidth="1"/>
    <col min="2536" max="2537" width="0" hidden="1" customWidth="1"/>
    <col min="2538" max="2538" width="11.453125" bestFit="1" customWidth="1"/>
    <col min="2539" max="2557" width="0" hidden="1" customWidth="1"/>
    <col min="2784" max="2784" width="7.6328125" bestFit="1" customWidth="1"/>
    <col min="2785" max="2785" width="0" hidden="1" customWidth="1"/>
    <col min="2787" max="2787" width="0" hidden="1" customWidth="1"/>
    <col min="2788" max="2788" width="24.90625" bestFit="1" customWidth="1"/>
    <col min="2789" max="2789" width="10" bestFit="1" customWidth="1"/>
    <col min="2790" max="2790" width="9.54296875" customWidth="1"/>
    <col min="2791" max="2791" width="9.54296875" bestFit="1" customWidth="1"/>
    <col min="2792" max="2793" width="0" hidden="1" customWidth="1"/>
    <col min="2794" max="2794" width="11.453125" bestFit="1" customWidth="1"/>
    <col min="2795" max="2813" width="0" hidden="1" customWidth="1"/>
    <col min="3040" max="3040" width="7.6328125" bestFit="1" customWidth="1"/>
    <col min="3041" max="3041" width="0" hidden="1" customWidth="1"/>
    <col min="3043" max="3043" width="0" hidden="1" customWidth="1"/>
    <col min="3044" max="3044" width="24.90625" bestFit="1" customWidth="1"/>
    <col min="3045" max="3045" width="10" bestFit="1" customWidth="1"/>
    <col min="3046" max="3046" width="9.54296875" customWidth="1"/>
    <col min="3047" max="3047" width="9.54296875" bestFit="1" customWidth="1"/>
    <col min="3048" max="3049" width="0" hidden="1" customWidth="1"/>
    <col min="3050" max="3050" width="11.453125" bestFit="1" customWidth="1"/>
    <col min="3051" max="3069" width="0" hidden="1" customWidth="1"/>
    <col min="3296" max="3296" width="7.6328125" bestFit="1" customWidth="1"/>
    <col min="3297" max="3297" width="0" hidden="1" customWidth="1"/>
    <col min="3299" max="3299" width="0" hidden="1" customWidth="1"/>
    <col min="3300" max="3300" width="24.90625" bestFit="1" customWidth="1"/>
    <col min="3301" max="3301" width="10" bestFit="1" customWidth="1"/>
    <col min="3302" max="3302" width="9.54296875" customWidth="1"/>
    <col min="3303" max="3303" width="9.54296875" bestFit="1" customWidth="1"/>
    <col min="3304" max="3305" width="0" hidden="1" customWidth="1"/>
    <col min="3306" max="3306" width="11.453125" bestFit="1" customWidth="1"/>
    <col min="3307" max="3325" width="0" hidden="1" customWidth="1"/>
    <col min="3552" max="3552" width="7.6328125" bestFit="1" customWidth="1"/>
    <col min="3553" max="3553" width="0" hidden="1" customWidth="1"/>
    <col min="3555" max="3555" width="0" hidden="1" customWidth="1"/>
    <col min="3556" max="3556" width="24.90625" bestFit="1" customWidth="1"/>
    <col min="3557" max="3557" width="10" bestFit="1" customWidth="1"/>
    <col min="3558" max="3558" width="9.54296875" customWidth="1"/>
    <col min="3559" max="3559" width="9.54296875" bestFit="1" customWidth="1"/>
    <col min="3560" max="3561" width="0" hidden="1" customWidth="1"/>
    <col min="3562" max="3562" width="11.453125" bestFit="1" customWidth="1"/>
    <col min="3563" max="3581" width="0" hidden="1" customWidth="1"/>
    <col min="3808" max="3808" width="7.6328125" bestFit="1" customWidth="1"/>
    <col min="3809" max="3809" width="0" hidden="1" customWidth="1"/>
    <col min="3811" max="3811" width="0" hidden="1" customWidth="1"/>
    <col min="3812" max="3812" width="24.90625" bestFit="1" customWidth="1"/>
    <col min="3813" max="3813" width="10" bestFit="1" customWidth="1"/>
    <col min="3814" max="3814" width="9.54296875" customWidth="1"/>
    <col min="3815" max="3815" width="9.54296875" bestFit="1" customWidth="1"/>
    <col min="3816" max="3817" width="0" hidden="1" customWidth="1"/>
    <col min="3818" max="3818" width="11.453125" bestFit="1" customWidth="1"/>
    <col min="3819" max="3837" width="0" hidden="1" customWidth="1"/>
    <col min="4064" max="4064" width="7.6328125" bestFit="1" customWidth="1"/>
    <col min="4065" max="4065" width="0" hidden="1" customWidth="1"/>
    <col min="4067" max="4067" width="0" hidden="1" customWidth="1"/>
    <col min="4068" max="4068" width="24.90625" bestFit="1" customWidth="1"/>
    <col min="4069" max="4069" width="10" bestFit="1" customWidth="1"/>
    <col min="4070" max="4070" width="9.54296875" customWidth="1"/>
    <col min="4071" max="4071" width="9.54296875" bestFit="1" customWidth="1"/>
    <col min="4072" max="4073" width="0" hidden="1" customWidth="1"/>
    <col min="4074" max="4074" width="11.453125" bestFit="1" customWidth="1"/>
    <col min="4075" max="4093" width="0" hidden="1" customWidth="1"/>
    <col min="4320" max="4320" width="7.6328125" bestFit="1" customWidth="1"/>
    <col min="4321" max="4321" width="0" hidden="1" customWidth="1"/>
    <col min="4323" max="4323" width="0" hidden="1" customWidth="1"/>
    <col min="4324" max="4324" width="24.90625" bestFit="1" customWidth="1"/>
    <col min="4325" max="4325" width="10" bestFit="1" customWidth="1"/>
    <col min="4326" max="4326" width="9.54296875" customWidth="1"/>
    <col min="4327" max="4327" width="9.54296875" bestFit="1" customWidth="1"/>
    <col min="4328" max="4329" width="0" hidden="1" customWidth="1"/>
    <col min="4330" max="4330" width="11.453125" bestFit="1" customWidth="1"/>
    <col min="4331" max="4349" width="0" hidden="1" customWidth="1"/>
    <col min="4576" max="4576" width="7.6328125" bestFit="1" customWidth="1"/>
    <col min="4577" max="4577" width="0" hidden="1" customWidth="1"/>
    <col min="4579" max="4579" width="0" hidden="1" customWidth="1"/>
    <col min="4580" max="4580" width="24.90625" bestFit="1" customWidth="1"/>
    <col min="4581" max="4581" width="10" bestFit="1" customWidth="1"/>
    <col min="4582" max="4582" width="9.54296875" customWidth="1"/>
    <col min="4583" max="4583" width="9.54296875" bestFit="1" customWidth="1"/>
    <col min="4584" max="4585" width="0" hidden="1" customWidth="1"/>
    <col min="4586" max="4586" width="11.453125" bestFit="1" customWidth="1"/>
    <col min="4587" max="4605" width="0" hidden="1" customWidth="1"/>
    <col min="4832" max="4832" width="7.6328125" bestFit="1" customWidth="1"/>
    <col min="4833" max="4833" width="0" hidden="1" customWidth="1"/>
    <col min="4835" max="4835" width="0" hidden="1" customWidth="1"/>
    <col min="4836" max="4836" width="24.90625" bestFit="1" customWidth="1"/>
    <col min="4837" max="4837" width="10" bestFit="1" customWidth="1"/>
    <col min="4838" max="4838" width="9.54296875" customWidth="1"/>
    <col min="4839" max="4839" width="9.54296875" bestFit="1" customWidth="1"/>
    <col min="4840" max="4841" width="0" hidden="1" customWidth="1"/>
    <col min="4842" max="4842" width="11.453125" bestFit="1" customWidth="1"/>
    <col min="4843" max="4861" width="0" hidden="1" customWidth="1"/>
    <col min="5088" max="5088" width="7.6328125" bestFit="1" customWidth="1"/>
    <col min="5089" max="5089" width="0" hidden="1" customWidth="1"/>
    <col min="5091" max="5091" width="0" hidden="1" customWidth="1"/>
    <col min="5092" max="5092" width="24.90625" bestFit="1" customWidth="1"/>
    <col min="5093" max="5093" width="10" bestFit="1" customWidth="1"/>
    <col min="5094" max="5094" width="9.54296875" customWidth="1"/>
    <col min="5095" max="5095" width="9.54296875" bestFit="1" customWidth="1"/>
    <col min="5096" max="5097" width="0" hidden="1" customWidth="1"/>
    <col min="5098" max="5098" width="11.453125" bestFit="1" customWidth="1"/>
    <col min="5099" max="5117" width="0" hidden="1" customWidth="1"/>
    <col min="5344" max="5344" width="7.6328125" bestFit="1" customWidth="1"/>
    <col min="5345" max="5345" width="0" hidden="1" customWidth="1"/>
    <col min="5347" max="5347" width="0" hidden="1" customWidth="1"/>
    <col min="5348" max="5348" width="24.90625" bestFit="1" customWidth="1"/>
    <col min="5349" max="5349" width="10" bestFit="1" customWidth="1"/>
    <col min="5350" max="5350" width="9.54296875" customWidth="1"/>
    <col min="5351" max="5351" width="9.54296875" bestFit="1" customWidth="1"/>
    <col min="5352" max="5353" width="0" hidden="1" customWidth="1"/>
    <col min="5354" max="5354" width="11.453125" bestFit="1" customWidth="1"/>
    <col min="5355" max="5373" width="0" hidden="1" customWidth="1"/>
    <col min="5600" max="5600" width="7.6328125" bestFit="1" customWidth="1"/>
    <col min="5601" max="5601" width="0" hidden="1" customWidth="1"/>
    <col min="5603" max="5603" width="0" hidden="1" customWidth="1"/>
    <col min="5604" max="5604" width="24.90625" bestFit="1" customWidth="1"/>
    <col min="5605" max="5605" width="10" bestFit="1" customWidth="1"/>
    <col min="5606" max="5606" width="9.54296875" customWidth="1"/>
    <col min="5607" max="5607" width="9.54296875" bestFit="1" customWidth="1"/>
    <col min="5608" max="5609" width="0" hidden="1" customWidth="1"/>
    <col min="5610" max="5610" width="11.453125" bestFit="1" customWidth="1"/>
    <col min="5611" max="5629" width="0" hidden="1" customWidth="1"/>
    <col min="5856" max="5856" width="7.6328125" bestFit="1" customWidth="1"/>
    <col min="5857" max="5857" width="0" hidden="1" customWidth="1"/>
    <col min="5859" max="5859" width="0" hidden="1" customWidth="1"/>
    <col min="5860" max="5860" width="24.90625" bestFit="1" customWidth="1"/>
    <col min="5861" max="5861" width="10" bestFit="1" customWidth="1"/>
    <col min="5862" max="5862" width="9.54296875" customWidth="1"/>
    <col min="5863" max="5863" width="9.54296875" bestFit="1" customWidth="1"/>
    <col min="5864" max="5865" width="0" hidden="1" customWidth="1"/>
    <col min="5866" max="5866" width="11.453125" bestFit="1" customWidth="1"/>
    <col min="5867" max="5885" width="0" hidden="1" customWidth="1"/>
    <col min="6112" max="6112" width="7.6328125" bestFit="1" customWidth="1"/>
    <col min="6113" max="6113" width="0" hidden="1" customWidth="1"/>
    <col min="6115" max="6115" width="0" hidden="1" customWidth="1"/>
    <col min="6116" max="6116" width="24.90625" bestFit="1" customWidth="1"/>
    <col min="6117" max="6117" width="10" bestFit="1" customWidth="1"/>
    <col min="6118" max="6118" width="9.54296875" customWidth="1"/>
    <col min="6119" max="6119" width="9.54296875" bestFit="1" customWidth="1"/>
    <col min="6120" max="6121" width="0" hidden="1" customWidth="1"/>
    <col min="6122" max="6122" width="11.453125" bestFit="1" customWidth="1"/>
    <col min="6123" max="6141" width="0" hidden="1" customWidth="1"/>
    <col min="6368" max="6368" width="7.6328125" bestFit="1" customWidth="1"/>
    <col min="6369" max="6369" width="0" hidden="1" customWidth="1"/>
    <col min="6371" max="6371" width="0" hidden="1" customWidth="1"/>
    <col min="6372" max="6372" width="24.90625" bestFit="1" customWidth="1"/>
    <col min="6373" max="6373" width="10" bestFit="1" customWidth="1"/>
    <col min="6374" max="6374" width="9.54296875" customWidth="1"/>
    <col min="6375" max="6375" width="9.54296875" bestFit="1" customWidth="1"/>
    <col min="6376" max="6377" width="0" hidden="1" customWidth="1"/>
    <col min="6378" max="6378" width="11.453125" bestFit="1" customWidth="1"/>
    <col min="6379" max="6397" width="0" hidden="1" customWidth="1"/>
    <col min="6624" max="6624" width="7.6328125" bestFit="1" customWidth="1"/>
    <col min="6625" max="6625" width="0" hidden="1" customWidth="1"/>
    <col min="6627" max="6627" width="0" hidden="1" customWidth="1"/>
    <col min="6628" max="6628" width="24.90625" bestFit="1" customWidth="1"/>
    <col min="6629" max="6629" width="10" bestFit="1" customWidth="1"/>
    <col min="6630" max="6630" width="9.54296875" customWidth="1"/>
    <col min="6631" max="6631" width="9.54296875" bestFit="1" customWidth="1"/>
    <col min="6632" max="6633" width="0" hidden="1" customWidth="1"/>
    <col min="6634" max="6634" width="11.453125" bestFit="1" customWidth="1"/>
    <col min="6635" max="6653" width="0" hidden="1" customWidth="1"/>
    <col min="6880" max="6880" width="7.6328125" bestFit="1" customWidth="1"/>
    <col min="6881" max="6881" width="0" hidden="1" customWidth="1"/>
    <col min="6883" max="6883" width="0" hidden="1" customWidth="1"/>
    <col min="6884" max="6884" width="24.90625" bestFit="1" customWidth="1"/>
    <col min="6885" max="6885" width="10" bestFit="1" customWidth="1"/>
    <col min="6886" max="6886" width="9.54296875" customWidth="1"/>
    <col min="6887" max="6887" width="9.54296875" bestFit="1" customWidth="1"/>
    <col min="6888" max="6889" width="0" hidden="1" customWidth="1"/>
    <col min="6890" max="6890" width="11.453125" bestFit="1" customWidth="1"/>
    <col min="6891" max="6909" width="0" hidden="1" customWidth="1"/>
    <col min="7136" max="7136" width="7.6328125" bestFit="1" customWidth="1"/>
    <col min="7137" max="7137" width="0" hidden="1" customWidth="1"/>
    <col min="7139" max="7139" width="0" hidden="1" customWidth="1"/>
    <col min="7140" max="7140" width="24.90625" bestFit="1" customWidth="1"/>
    <col min="7141" max="7141" width="10" bestFit="1" customWidth="1"/>
    <col min="7142" max="7142" width="9.54296875" customWidth="1"/>
    <col min="7143" max="7143" width="9.54296875" bestFit="1" customWidth="1"/>
    <col min="7144" max="7145" width="0" hidden="1" customWidth="1"/>
    <col min="7146" max="7146" width="11.453125" bestFit="1" customWidth="1"/>
    <col min="7147" max="7165" width="0" hidden="1" customWidth="1"/>
    <col min="7392" max="7392" width="7.6328125" bestFit="1" customWidth="1"/>
    <col min="7393" max="7393" width="0" hidden="1" customWidth="1"/>
    <col min="7395" max="7395" width="0" hidden="1" customWidth="1"/>
    <col min="7396" max="7396" width="24.90625" bestFit="1" customWidth="1"/>
    <col min="7397" max="7397" width="10" bestFit="1" customWidth="1"/>
    <col min="7398" max="7398" width="9.54296875" customWidth="1"/>
    <col min="7399" max="7399" width="9.54296875" bestFit="1" customWidth="1"/>
    <col min="7400" max="7401" width="0" hidden="1" customWidth="1"/>
    <col min="7402" max="7402" width="11.453125" bestFit="1" customWidth="1"/>
    <col min="7403" max="7421" width="0" hidden="1" customWidth="1"/>
    <col min="7648" max="7648" width="7.6328125" bestFit="1" customWidth="1"/>
    <col min="7649" max="7649" width="0" hidden="1" customWidth="1"/>
    <col min="7651" max="7651" width="0" hidden="1" customWidth="1"/>
    <col min="7652" max="7652" width="24.90625" bestFit="1" customWidth="1"/>
    <col min="7653" max="7653" width="10" bestFit="1" customWidth="1"/>
    <col min="7654" max="7654" width="9.54296875" customWidth="1"/>
    <col min="7655" max="7655" width="9.54296875" bestFit="1" customWidth="1"/>
    <col min="7656" max="7657" width="0" hidden="1" customWidth="1"/>
    <col min="7658" max="7658" width="11.453125" bestFit="1" customWidth="1"/>
    <col min="7659" max="7677" width="0" hidden="1" customWidth="1"/>
    <col min="7904" max="7904" width="7.6328125" bestFit="1" customWidth="1"/>
    <col min="7905" max="7905" width="0" hidden="1" customWidth="1"/>
    <col min="7907" max="7907" width="0" hidden="1" customWidth="1"/>
    <col min="7908" max="7908" width="24.90625" bestFit="1" customWidth="1"/>
    <col min="7909" max="7909" width="10" bestFit="1" customWidth="1"/>
    <col min="7910" max="7910" width="9.54296875" customWidth="1"/>
    <col min="7911" max="7911" width="9.54296875" bestFit="1" customWidth="1"/>
    <col min="7912" max="7913" width="0" hidden="1" customWidth="1"/>
    <col min="7914" max="7914" width="11.453125" bestFit="1" customWidth="1"/>
    <col min="7915" max="7933" width="0" hidden="1" customWidth="1"/>
    <col min="8160" max="8160" width="7.6328125" bestFit="1" customWidth="1"/>
    <col min="8161" max="8161" width="0" hidden="1" customWidth="1"/>
    <col min="8163" max="8163" width="0" hidden="1" customWidth="1"/>
    <col min="8164" max="8164" width="24.90625" bestFit="1" customWidth="1"/>
    <col min="8165" max="8165" width="10" bestFit="1" customWidth="1"/>
    <col min="8166" max="8166" width="9.54296875" customWidth="1"/>
    <col min="8167" max="8167" width="9.54296875" bestFit="1" customWidth="1"/>
    <col min="8168" max="8169" width="0" hidden="1" customWidth="1"/>
    <col min="8170" max="8170" width="11.453125" bestFit="1" customWidth="1"/>
    <col min="8171" max="8189" width="0" hidden="1" customWidth="1"/>
    <col min="8416" max="8416" width="7.6328125" bestFit="1" customWidth="1"/>
    <col min="8417" max="8417" width="0" hidden="1" customWidth="1"/>
    <col min="8419" max="8419" width="0" hidden="1" customWidth="1"/>
    <col min="8420" max="8420" width="24.90625" bestFit="1" customWidth="1"/>
    <col min="8421" max="8421" width="10" bestFit="1" customWidth="1"/>
    <col min="8422" max="8422" width="9.54296875" customWidth="1"/>
    <col min="8423" max="8423" width="9.54296875" bestFit="1" customWidth="1"/>
    <col min="8424" max="8425" width="0" hidden="1" customWidth="1"/>
    <col min="8426" max="8426" width="11.453125" bestFit="1" customWidth="1"/>
    <col min="8427" max="8445" width="0" hidden="1" customWidth="1"/>
    <col min="8672" max="8672" width="7.6328125" bestFit="1" customWidth="1"/>
    <col min="8673" max="8673" width="0" hidden="1" customWidth="1"/>
    <col min="8675" max="8675" width="0" hidden="1" customWidth="1"/>
    <col min="8676" max="8676" width="24.90625" bestFit="1" customWidth="1"/>
    <col min="8677" max="8677" width="10" bestFit="1" customWidth="1"/>
    <col min="8678" max="8678" width="9.54296875" customWidth="1"/>
    <col min="8679" max="8679" width="9.54296875" bestFit="1" customWidth="1"/>
    <col min="8680" max="8681" width="0" hidden="1" customWidth="1"/>
    <col min="8682" max="8682" width="11.453125" bestFit="1" customWidth="1"/>
    <col min="8683" max="8701" width="0" hidden="1" customWidth="1"/>
    <col min="8928" max="8928" width="7.6328125" bestFit="1" customWidth="1"/>
    <col min="8929" max="8929" width="0" hidden="1" customWidth="1"/>
    <col min="8931" max="8931" width="0" hidden="1" customWidth="1"/>
    <col min="8932" max="8932" width="24.90625" bestFit="1" customWidth="1"/>
    <col min="8933" max="8933" width="10" bestFit="1" customWidth="1"/>
    <col min="8934" max="8934" width="9.54296875" customWidth="1"/>
    <col min="8935" max="8935" width="9.54296875" bestFit="1" customWidth="1"/>
    <col min="8936" max="8937" width="0" hidden="1" customWidth="1"/>
    <col min="8938" max="8938" width="11.453125" bestFit="1" customWidth="1"/>
    <col min="8939" max="8957" width="0" hidden="1" customWidth="1"/>
    <col min="9184" max="9184" width="7.6328125" bestFit="1" customWidth="1"/>
    <col min="9185" max="9185" width="0" hidden="1" customWidth="1"/>
    <col min="9187" max="9187" width="0" hidden="1" customWidth="1"/>
    <col min="9188" max="9188" width="24.90625" bestFit="1" customWidth="1"/>
    <col min="9189" max="9189" width="10" bestFit="1" customWidth="1"/>
    <col min="9190" max="9190" width="9.54296875" customWidth="1"/>
    <col min="9191" max="9191" width="9.54296875" bestFit="1" customWidth="1"/>
    <col min="9192" max="9193" width="0" hidden="1" customWidth="1"/>
    <col min="9194" max="9194" width="11.453125" bestFit="1" customWidth="1"/>
    <col min="9195" max="9213" width="0" hidden="1" customWidth="1"/>
    <col min="9440" max="9440" width="7.6328125" bestFit="1" customWidth="1"/>
    <col min="9441" max="9441" width="0" hidden="1" customWidth="1"/>
    <col min="9443" max="9443" width="0" hidden="1" customWidth="1"/>
    <col min="9444" max="9444" width="24.90625" bestFit="1" customWidth="1"/>
    <col min="9445" max="9445" width="10" bestFit="1" customWidth="1"/>
    <col min="9446" max="9446" width="9.54296875" customWidth="1"/>
    <col min="9447" max="9447" width="9.54296875" bestFit="1" customWidth="1"/>
    <col min="9448" max="9449" width="0" hidden="1" customWidth="1"/>
    <col min="9450" max="9450" width="11.453125" bestFit="1" customWidth="1"/>
    <col min="9451" max="9469" width="0" hidden="1" customWidth="1"/>
    <col min="9696" max="9696" width="7.6328125" bestFit="1" customWidth="1"/>
    <col min="9697" max="9697" width="0" hidden="1" customWidth="1"/>
    <col min="9699" max="9699" width="0" hidden="1" customWidth="1"/>
    <col min="9700" max="9700" width="24.90625" bestFit="1" customWidth="1"/>
    <col min="9701" max="9701" width="10" bestFit="1" customWidth="1"/>
    <col min="9702" max="9702" width="9.54296875" customWidth="1"/>
    <col min="9703" max="9703" width="9.54296875" bestFit="1" customWidth="1"/>
    <col min="9704" max="9705" width="0" hidden="1" customWidth="1"/>
    <col min="9706" max="9706" width="11.453125" bestFit="1" customWidth="1"/>
    <col min="9707" max="9725" width="0" hidden="1" customWidth="1"/>
    <col min="9952" max="9952" width="7.6328125" bestFit="1" customWidth="1"/>
    <col min="9953" max="9953" width="0" hidden="1" customWidth="1"/>
    <col min="9955" max="9955" width="0" hidden="1" customWidth="1"/>
    <col min="9956" max="9956" width="24.90625" bestFit="1" customWidth="1"/>
    <col min="9957" max="9957" width="10" bestFit="1" customWidth="1"/>
    <col min="9958" max="9958" width="9.54296875" customWidth="1"/>
    <col min="9959" max="9959" width="9.54296875" bestFit="1" customWidth="1"/>
    <col min="9960" max="9961" width="0" hidden="1" customWidth="1"/>
    <col min="9962" max="9962" width="11.453125" bestFit="1" customWidth="1"/>
    <col min="9963" max="9981" width="0" hidden="1" customWidth="1"/>
    <col min="10208" max="10208" width="7.6328125" bestFit="1" customWidth="1"/>
    <col min="10209" max="10209" width="0" hidden="1" customWidth="1"/>
    <col min="10211" max="10211" width="0" hidden="1" customWidth="1"/>
    <col min="10212" max="10212" width="24.90625" bestFit="1" customWidth="1"/>
    <col min="10213" max="10213" width="10" bestFit="1" customWidth="1"/>
    <col min="10214" max="10214" width="9.54296875" customWidth="1"/>
    <col min="10215" max="10215" width="9.54296875" bestFit="1" customWidth="1"/>
    <col min="10216" max="10217" width="0" hidden="1" customWidth="1"/>
    <col min="10218" max="10218" width="11.453125" bestFit="1" customWidth="1"/>
    <col min="10219" max="10237" width="0" hidden="1" customWidth="1"/>
    <col min="10464" max="10464" width="7.6328125" bestFit="1" customWidth="1"/>
    <col min="10465" max="10465" width="0" hidden="1" customWidth="1"/>
    <col min="10467" max="10467" width="0" hidden="1" customWidth="1"/>
    <col min="10468" max="10468" width="24.90625" bestFit="1" customWidth="1"/>
    <col min="10469" max="10469" width="10" bestFit="1" customWidth="1"/>
    <col min="10470" max="10470" width="9.54296875" customWidth="1"/>
    <col min="10471" max="10471" width="9.54296875" bestFit="1" customWidth="1"/>
    <col min="10472" max="10473" width="0" hidden="1" customWidth="1"/>
    <col min="10474" max="10474" width="11.453125" bestFit="1" customWidth="1"/>
    <col min="10475" max="10493" width="0" hidden="1" customWidth="1"/>
    <col min="10720" max="10720" width="7.6328125" bestFit="1" customWidth="1"/>
    <col min="10721" max="10721" width="0" hidden="1" customWidth="1"/>
    <col min="10723" max="10723" width="0" hidden="1" customWidth="1"/>
    <col min="10724" max="10724" width="24.90625" bestFit="1" customWidth="1"/>
    <col min="10725" max="10725" width="10" bestFit="1" customWidth="1"/>
    <col min="10726" max="10726" width="9.54296875" customWidth="1"/>
    <col min="10727" max="10727" width="9.54296875" bestFit="1" customWidth="1"/>
    <col min="10728" max="10729" width="0" hidden="1" customWidth="1"/>
    <col min="10730" max="10730" width="11.453125" bestFit="1" customWidth="1"/>
    <col min="10731" max="10749" width="0" hidden="1" customWidth="1"/>
    <col min="10976" max="10976" width="7.6328125" bestFit="1" customWidth="1"/>
    <col min="10977" max="10977" width="0" hidden="1" customWidth="1"/>
    <col min="10979" max="10979" width="0" hidden="1" customWidth="1"/>
    <col min="10980" max="10980" width="24.90625" bestFit="1" customWidth="1"/>
    <col min="10981" max="10981" width="10" bestFit="1" customWidth="1"/>
    <col min="10982" max="10982" width="9.54296875" customWidth="1"/>
    <col min="10983" max="10983" width="9.54296875" bestFit="1" customWidth="1"/>
    <col min="10984" max="10985" width="0" hidden="1" customWidth="1"/>
    <col min="10986" max="10986" width="11.453125" bestFit="1" customWidth="1"/>
    <col min="10987" max="11005" width="0" hidden="1" customWidth="1"/>
    <col min="11232" max="11232" width="7.6328125" bestFit="1" customWidth="1"/>
    <col min="11233" max="11233" width="0" hidden="1" customWidth="1"/>
    <col min="11235" max="11235" width="0" hidden="1" customWidth="1"/>
    <col min="11236" max="11236" width="24.90625" bestFit="1" customWidth="1"/>
    <col min="11237" max="11237" width="10" bestFit="1" customWidth="1"/>
    <col min="11238" max="11238" width="9.54296875" customWidth="1"/>
    <col min="11239" max="11239" width="9.54296875" bestFit="1" customWidth="1"/>
    <col min="11240" max="11241" width="0" hidden="1" customWidth="1"/>
    <col min="11242" max="11242" width="11.453125" bestFit="1" customWidth="1"/>
    <col min="11243" max="11261" width="0" hidden="1" customWidth="1"/>
    <col min="11488" max="11488" width="7.6328125" bestFit="1" customWidth="1"/>
    <col min="11489" max="11489" width="0" hidden="1" customWidth="1"/>
    <col min="11491" max="11491" width="0" hidden="1" customWidth="1"/>
    <col min="11492" max="11492" width="24.90625" bestFit="1" customWidth="1"/>
    <col min="11493" max="11493" width="10" bestFit="1" customWidth="1"/>
    <col min="11494" max="11494" width="9.54296875" customWidth="1"/>
    <col min="11495" max="11495" width="9.54296875" bestFit="1" customWidth="1"/>
    <col min="11496" max="11497" width="0" hidden="1" customWidth="1"/>
    <col min="11498" max="11498" width="11.453125" bestFit="1" customWidth="1"/>
    <col min="11499" max="11517" width="0" hidden="1" customWidth="1"/>
    <col min="11744" max="11744" width="7.6328125" bestFit="1" customWidth="1"/>
    <col min="11745" max="11745" width="0" hidden="1" customWidth="1"/>
    <col min="11747" max="11747" width="0" hidden="1" customWidth="1"/>
    <col min="11748" max="11748" width="24.90625" bestFit="1" customWidth="1"/>
    <col min="11749" max="11749" width="10" bestFit="1" customWidth="1"/>
    <col min="11750" max="11750" width="9.54296875" customWidth="1"/>
    <col min="11751" max="11751" width="9.54296875" bestFit="1" customWidth="1"/>
    <col min="11752" max="11753" width="0" hidden="1" customWidth="1"/>
    <col min="11754" max="11754" width="11.453125" bestFit="1" customWidth="1"/>
    <col min="11755" max="11773" width="0" hidden="1" customWidth="1"/>
    <col min="12000" max="12000" width="7.6328125" bestFit="1" customWidth="1"/>
    <col min="12001" max="12001" width="0" hidden="1" customWidth="1"/>
    <col min="12003" max="12003" width="0" hidden="1" customWidth="1"/>
    <col min="12004" max="12004" width="24.90625" bestFit="1" customWidth="1"/>
    <col min="12005" max="12005" width="10" bestFit="1" customWidth="1"/>
    <col min="12006" max="12006" width="9.54296875" customWidth="1"/>
    <col min="12007" max="12007" width="9.54296875" bestFit="1" customWidth="1"/>
    <col min="12008" max="12009" width="0" hidden="1" customWidth="1"/>
    <col min="12010" max="12010" width="11.453125" bestFit="1" customWidth="1"/>
    <col min="12011" max="12029" width="0" hidden="1" customWidth="1"/>
    <col min="12256" max="12256" width="7.6328125" bestFit="1" customWidth="1"/>
    <col min="12257" max="12257" width="0" hidden="1" customWidth="1"/>
    <col min="12259" max="12259" width="0" hidden="1" customWidth="1"/>
    <col min="12260" max="12260" width="24.90625" bestFit="1" customWidth="1"/>
    <col min="12261" max="12261" width="10" bestFit="1" customWidth="1"/>
    <col min="12262" max="12262" width="9.54296875" customWidth="1"/>
    <col min="12263" max="12263" width="9.54296875" bestFit="1" customWidth="1"/>
    <col min="12264" max="12265" width="0" hidden="1" customWidth="1"/>
    <col min="12266" max="12266" width="11.453125" bestFit="1" customWidth="1"/>
    <col min="12267" max="12285" width="0" hidden="1" customWidth="1"/>
    <col min="12512" max="12512" width="7.6328125" bestFit="1" customWidth="1"/>
    <col min="12513" max="12513" width="0" hidden="1" customWidth="1"/>
    <col min="12515" max="12515" width="0" hidden="1" customWidth="1"/>
    <col min="12516" max="12516" width="24.90625" bestFit="1" customWidth="1"/>
    <col min="12517" max="12517" width="10" bestFit="1" customWidth="1"/>
    <col min="12518" max="12518" width="9.54296875" customWidth="1"/>
    <col min="12519" max="12519" width="9.54296875" bestFit="1" customWidth="1"/>
    <col min="12520" max="12521" width="0" hidden="1" customWidth="1"/>
    <col min="12522" max="12522" width="11.453125" bestFit="1" customWidth="1"/>
    <col min="12523" max="12541" width="0" hidden="1" customWidth="1"/>
    <col min="12768" max="12768" width="7.6328125" bestFit="1" customWidth="1"/>
    <col min="12769" max="12769" width="0" hidden="1" customWidth="1"/>
    <col min="12771" max="12771" width="0" hidden="1" customWidth="1"/>
    <col min="12772" max="12772" width="24.90625" bestFit="1" customWidth="1"/>
    <col min="12773" max="12773" width="10" bestFit="1" customWidth="1"/>
    <col min="12774" max="12774" width="9.54296875" customWidth="1"/>
    <col min="12775" max="12775" width="9.54296875" bestFit="1" customWidth="1"/>
    <col min="12776" max="12777" width="0" hidden="1" customWidth="1"/>
    <col min="12778" max="12778" width="11.453125" bestFit="1" customWidth="1"/>
    <col min="12779" max="12797" width="0" hidden="1" customWidth="1"/>
    <col min="13024" max="13024" width="7.6328125" bestFit="1" customWidth="1"/>
    <col min="13025" max="13025" width="0" hidden="1" customWidth="1"/>
    <col min="13027" max="13027" width="0" hidden="1" customWidth="1"/>
    <col min="13028" max="13028" width="24.90625" bestFit="1" customWidth="1"/>
    <col min="13029" max="13029" width="10" bestFit="1" customWidth="1"/>
    <col min="13030" max="13030" width="9.54296875" customWidth="1"/>
    <col min="13031" max="13031" width="9.54296875" bestFit="1" customWidth="1"/>
    <col min="13032" max="13033" width="0" hidden="1" customWidth="1"/>
    <col min="13034" max="13034" width="11.453125" bestFit="1" customWidth="1"/>
    <col min="13035" max="13053" width="0" hidden="1" customWidth="1"/>
    <col min="13280" max="13280" width="7.6328125" bestFit="1" customWidth="1"/>
    <col min="13281" max="13281" width="0" hidden="1" customWidth="1"/>
    <col min="13283" max="13283" width="0" hidden="1" customWidth="1"/>
    <col min="13284" max="13284" width="24.90625" bestFit="1" customWidth="1"/>
    <col min="13285" max="13285" width="10" bestFit="1" customWidth="1"/>
    <col min="13286" max="13286" width="9.54296875" customWidth="1"/>
    <col min="13287" max="13287" width="9.54296875" bestFit="1" customWidth="1"/>
    <col min="13288" max="13289" width="0" hidden="1" customWidth="1"/>
    <col min="13290" max="13290" width="11.453125" bestFit="1" customWidth="1"/>
    <col min="13291" max="13309" width="0" hidden="1" customWidth="1"/>
    <col min="13536" max="13536" width="7.6328125" bestFit="1" customWidth="1"/>
    <col min="13537" max="13537" width="0" hidden="1" customWidth="1"/>
    <col min="13539" max="13539" width="0" hidden="1" customWidth="1"/>
    <col min="13540" max="13540" width="24.90625" bestFit="1" customWidth="1"/>
    <col min="13541" max="13541" width="10" bestFit="1" customWidth="1"/>
    <col min="13542" max="13542" width="9.54296875" customWidth="1"/>
    <col min="13543" max="13543" width="9.54296875" bestFit="1" customWidth="1"/>
    <col min="13544" max="13545" width="0" hidden="1" customWidth="1"/>
    <col min="13546" max="13546" width="11.453125" bestFit="1" customWidth="1"/>
    <col min="13547" max="13565" width="0" hidden="1" customWidth="1"/>
    <col min="13792" max="13792" width="7.6328125" bestFit="1" customWidth="1"/>
    <col min="13793" max="13793" width="0" hidden="1" customWidth="1"/>
    <col min="13795" max="13795" width="0" hidden="1" customWidth="1"/>
    <col min="13796" max="13796" width="24.90625" bestFit="1" customWidth="1"/>
    <col min="13797" max="13797" width="10" bestFit="1" customWidth="1"/>
    <col min="13798" max="13798" width="9.54296875" customWidth="1"/>
    <col min="13799" max="13799" width="9.54296875" bestFit="1" customWidth="1"/>
    <col min="13800" max="13801" width="0" hidden="1" customWidth="1"/>
    <col min="13802" max="13802" width="11.453125" bestFit="1" customWidth="1"/>
    <col min="13803" max="13821" width="0" hidden="1" customWidth="1"/>
    <col min="14048" max="14048" width="7.6328125" bestFit="1" customWidth="1"/>
    <col min="14049" max="14049" width="0" hidden="1" customWidth="1"/>
    <col min="14051" max="14051" width="0" hidden="1" customWidth="1"/>
    <col min="14052" max="14052" width="24.90625" bestFit="1" customWidth="1"/>
    <col min="14053" max="14053" width="10" bestFit="1" customWidth="1"/>
    <col min="14054" max="14054" width="9.54296875" customWidth="1"/>
    <col min="14055" max="14055" width="9.54296875" bestFit="1" customWidth="1"/>
    <col min="14056" max="14057" width="0" hidden="1" customWidth="1"/>
    <col min="14058" max="14058" width="11.453125" bestFit="1" customWidth="1"/>
    <col min="14059" max="14077" width="0" hidden="1" customWidth="1"/>
    <col min="14304" max="14304" width="7.6328125" bestFit="1" customWidth="1"/>
    <col min="14305" max="14305" width="0" hidden="1" customWidth="1"/>
    <col min="14307" max="14307" width="0" hidden="1" customWidth="1"/>
    <col min="14308" max="14308" width="24.90625" bestFit="1" customWidth="1"/>
    <col min="14309" max="14309" width="10" bestFit="1" customWidth="1"/>
    <col min="14310" max="14310" width="9.54296875" customWidth="1"/>
    <col min="14311" max="14311" width="9.54296875" bestFit="1" customWidth="1"/>
    <col min="14312" max="14313" width="0" hidden="1" customWidth="1"/>
    <col min="14314" max="14314" width="11.453125" bestFit="1" customWidth="1"/>
    <col min="14315" max="14333" width="0" hidden="1" customWidth="1"/>
    <col min="14560" max="14560" width="7.6328125" bestFit="1" customWidth="1"/>
    <col min="14561" max="14561" width="0" hidden="1" customWidth="1"/>
    <col min="14563" max="14563" width="0" hidden="1" customWidth="1"/>
    <col min="14564" max="14564" width="24.90625" bestFit="1" customWidth="1"/>
    <col min="14565" max="14565" width="10" bestFit="1" customWidth="1"/>
    <col min="14566" max="14566" width="9.54296875" customWidth="1"/>
    <col min="14567" max="14567" width="9.54296875" bestFit="1" customWidth="1"/>
    <col min="14568" max="14569" width="0" hidden="1" customWidth="1"/>
    <col min="14570" max="14570" width="11.453125" bestFit="1" customWidth="1"/>
    <col min="14571" max="14589" width="0" hidden="1" customWidth="1"/>
    <col min="14816" max="14816" width="7.6328125" bestFit="1" customWidth="1"/>
    <col min="14817" max="14817" width="0" hidden="1" customWidth="1"/>
    <col min="14819" max="14819" width="0" hidden="1" customWidth="1"/>
    <col min="14820" max="14820" width="24.90625" bestFit="1" customWidth="1"/>
    <col min="14821" max="14821" width="10" bestFit="1" customWidth="1"/>
    <col min="14822" max="14822" width="9.54296875" customWidth="1"/>
    <col min="14823" max="14823" width="9.54296875" bestFit="1" customWidth="1"/>
    <col min="14824" max="14825" width="0" hidden="1" customWidth="1"/>
    <col min="14826" max="14826" width="11.453125" bestFit="1" customWidth="1"/>
    <col min="14827" max="14845" width="0" hidden="1" customWidth="1"/>
    <col min="15072" max="15072" width="7.6328125" bestFit="1" customWidth="1"/>
    <col min="15073" max="15073" width="0" hidden="1" customWidth="1"/>
    <col min="15075" max="15075" width="0" hidden="1" customWidth="1"/>
    <col min="15076" max="15076" width="24.90625" bestFit="1" customWidth="1"/>
    <col min="15077" max="15077" width="10" bestFit="1" customWidth="1"/>
    <col min="15078" max="15078" width="9.54296875" customWidth="1"/>
    <col min="15079" max="15079" width="9.54296875" bestFit="1" customWidth="1"/>
    <col min="15080" max="15081" width="0" hidden="1" customWidth="1"/>
    <col min="15082" max="15082" width="11.453125" bestFit="1" customWidth="1"/>
    <col min="15083" max="15101" width="0" hidden="1" customWidth="1"/>
    <col min="15328" max="15328" width="7.6328125" bestFit="1" customWidth="1"/>
    <col min="15329" max="15329" width="0" hidden="1" customWidth="1"/>
    <col min="15331" max="15331" width="0" hidden="1" customWidth="1"/>
    <col min="15332" max="15332" width="24.90625" bestFit="1" customWidth="1"/>
    <col min="15333" max="15333" width="10" bestFit="1" customWidth="1"/>
    <col min="15334" max="15334" width="9.54296875" customWidth="1"/>
    <col min="15335" max="15335" width="9.54296875" bestFit="1" customWidth="1"/>
    <col min="15336" max="15337" width="0" hidden="1" customWidth="1"/>
    <col min="15338" max="15338" width="11.453125" bestFit="1" customWidth="1"/>
    <col min="15339" max="15357" width="0" hidden="1" customWidth="1"/>
    <col min="15584" max="15584" width="7.6328125" bestFit="1" customWidth="1"/>
    <col min="15585" max="15585" width="0" hidden="1" customWidth="1"/>
    <col min="15587" max="15587" width="0" hidden="1" customWidth="1"/>
    <col min="15588" max="15588" width="24.90625" bestFit="1" customWidth="1"/>
    <col min="15589" max="15589" width="10" bestFit="1" customWidth="1"/>
    <col min="15590" max="15590" width="9.54296875" customWidth="1"/>
    <col min="15591" max="15591" width="9.54296875" bestFit="1" customWidth="1"/>
    <col min="15592" max="15593" width="0" hidden="1" customWidth="1"/>
    <col min="15594" max="15594" width="11.453125" bestFit="1" customWidth="1"/>
    <col min="15595" max="15613" width="0" hidden="1" customWidth="1"/>
    <col min="15840" max="15840" width="7.6328125" bestFit="1" customWidth="1"/>
    <col min="15841" max="15841" width="0" hidden="1" customWidth="1"/>
    <col min="15843" max="15843" width="0" hidden="1" customWidth="1"/>
    <col min="15844" max="15844" width="24.90625" bestFit="1" customWidth="1"/>
    <col min="15845" max="15845" width="10" bestFit="1" customWidth="1"/>
    <col min="15846" max="15846" width="9.54296875" customWidth="1"/>
    <col min="15847" max="15847" width="9.54296875" bestFit="1" customWidth="1"/>
    <col min="15848" max="15849" width="0" hidden="1" customWidth="1"/>
    <col min="15850" max="15850" width="11.453125" bestFit="1" customWidth="1"/>
    <col min="15851" max="15869" width="0" hidden="1" customWidth="1"/>
    <col min="16096" max="16096" width="7.6328125" bestFit="1" customWidth="1"/>
    <col min="16097" max="16097" width="0" hidden="1" customWidth="1"/>
    <col min="16099" max="16099" width="0" hidden="1" customWidth="1"/>
    <col min="16100" max="16100" width="24.90625" bestFit="1" customWidth="1"/>
    <col min="16101" max="16101" width="10" bestFit="1" customWidth="1"/>
    <col min="16102" max="16102" width="9.54296875" customWidth="1"/>
    <col min="16103" max="16103" width="9.54296875" bestFit="1" customWidth="1"/>
    <col min="16104" max="16105" width="0" hidden="1" customWidth="1"/>
    <col min="16106" max="16106" width="11.453125" bestFit="1" customWidth="1"/>
    <col min="16107" max="16125" width="0" hidden="1" customWidth="1"/>
  </cols>
  <sheetData>
    <row r="1" spans="1:8" s="1" customFormat="1" ht="13.25" customHeight="1">
      <c r="A1" s="1" t="s">
        <v>0</v>
      </c>
      <c r="B1" s="1" t="s">
        <v>1</v>
      </c>
      <c r="C1" s="1" t="s">
        <v>1837</v>
      </c>
      <c r="D1" s="1" t="s">
        <v>3</v>
      </c>
      <c r="E1" s="1" t="s">
        <v>4</v>
      </c>
      <c r="F1" s="2" t="s">
        <v>1838</v>
      </c>
      <c r="G1" s="1" t="s">
        <v>5</v>
      </c>
      <c r="H1" s="1" t="s">
        <v>6</v>
      </c>
    </row>
    <row r="2" spans="1:8">
      <c r="A2" t="s">
        <v>174</v>
      </c>
      <c r="B2" t="s">
        <v>491</v>
      </c>
      <c r="C2" t="s">
        <v>492</v>
      </c>
      <c r="D2" t="s">
        <v>340</v>
      </c>
      <c r="E2">
        <v>43</v>
      </c>
      <c r="F2" t="s">
        <v>11</v>
      </c>
      <c r="G2">
        <v>2</v>
      </c>
      <c r="H2" t="s">
        <v>12</v>
      </c>
    </row>
    <row r="3" spans="1:8">
      <c r="A3" t="s">
        <v>174</v>
      </c>
      <c r="B3" t="s">
        <v>175</v>
      </c>
      <c r="C3" t="s">
        <v>176</v>
      </c>
      <c r="D3" t="s">
        <v>712</v>
      </c>
      <c r="E3">
        <v>44</v>
      </c>
      <c r="F3" t="s">
        <v>11</v>
      </c>
      <c r="G3">
        <v>2</v>
      </c>
      <c r="H3" t="s">
        <v>12</v>
      </c>
    </row>
    <row r="4" spans="1:8">
      <c r="A4" t="s">
        <v>174</v>
      </c>
      <c r="B4" t="s">
        <v>175</v>
      </c>
      <c r="C4" t="s">
        <v>176</v>
      </c>
      <c r="D4" t="s">
        <v>340</v>
      </c>
      <c r="E4">
        <v>41</v>
      </c>
      <c r="F4" t="s">
        <v>11</v>
      </c>
      <c r="G4">
        <v>2</v>
      </c>
      <c r="H4" t="s">
        <v>12</v>
      </c>
    </row>
    <row r="5" spans="1:8">
      <c r="A5" t="s">
        <v>174</v>
      </c>
      <c r="B5" t="s">
        <v>175</v>
      </c>
      <c r="C5" t="s">
        <v>176</v>
      </c>
      <c r="D5" t="s">
        <v>10</v>
      </c>
      <c r="E5">
        <v>40</v>
      </c>
      <c r="F5" t="s">
        <v>11</v>
      </c>
      <c r="G5">
        <v>3</v>
      </c>
      <c r="H5" t="s">
        <v>12</v>
      </c>
    </row>
    <row r="6" spans="1:8">
      <c r="A6" t="s">
        <v>174</v>
      </c>
      <c r="B6" t="s">
        <v>620</v>
      </c>
      <c r="C6" t="s">
        <v>621</v>
      </c>
      <c r="D6" t="s">
        <v>712</v>
      </c>
      <c r="E6">
        <v>54</v>
      </c>
      <c r="F6" t="s">
        <v>11</v>
      </c>
      <c r="G6">
        <v>2</v>
      </c>
      <c r="H6" t="s">
        <v>12</v>
      </c>
    </row>
    <row r="7" spans="1:8">
      <c r="A7" t="s">
        <v>174</v>
      </c>
      <c r="B7" t="s">
        <v>831</v>
      </c>
      <c r="C7" t="s">
        <v>832</v>
      </c>
      <c r="D7" t="s">
        <v>828</v>
      </c>
      <c r="E7">
        <v>40</v>
      </c>
      <c r="F7" t="s">
        <v>11</v>
      </c>
      <c r="G7">
        <v>1</v>
      </c>
      <c r="H7" t="s">
        <v>12</v>
      </c>
    </row>
    <row r="8" spans="1:8">
      <c r="A8" t="s">
        <v>174</v>
      </c>
      <c r="B8" t="s">
        <v>831</v>
      </c>
      <c r="C8" t="s">
        <v>832</v>
      </c>
      <c r="D8" t="s">
        <v>898</v>
      </c>
      <c r="E8">
        <v>52</v>
      </c>
      <c r="F8" t="s">
        <v>11</v>
      </c>
      <c r="G8">
        <v>3</v>
      </c>
      <c r="H8" t="s">
        <v>12</v>
      </c>
    </row>
    <row r="9" spans="1:8">
      <c r="A9" t="s">
        <v>174</v>
      </c>
      <c r="B9" t="s">
        <v>493</v>
      </c>
      <c r="C9" t="s">
        <v>494</v>
      </c>
      <c r="D9" t="s">
        <v>340</v>
      </c>
      <c r="E9">
        <v>49</v>
      </c>
      <c r="F9" t="s">
        <v>11</v>
      </c>
      <c r="G9">
        <v>2</v>
      </c>
      <c r="H9" t="s">
        <v>12</v>
      </c>
    </row>
    <row r="10" spans="1:8">
      <c r="A10" t="s">
        <v>174</v>
      </c>
      <c r="B10" t="s">
        <v>177</v>
      </c>
      <c r="C10" t="s">
        <v>178</v>
      </c>
      <c r="D10" t="s">
        <v>10</v>
      </c>
      <c r="E10">
        <v>45</v>
      </c>
      <c r="F10" t="s">
        <v>11</v>
      </c>
      <c r="G10">
        <v>3</v>
      </c>
      <c r="H10" t="s">
        <v>12</v>
      </c>
    </row>
    <row r="11" spans="1:8">
      <c r="A11" t="s">
        <v>174</v>
      </c>
      <c r="B11" t="s">
        <v>177</v>
      </c>
      <c r="C11" t="s">
        <v>178</v>
      </c>
      <c r="D11" t="s">
        <v>636</v>
      </c>
      <c r="E11">
        <v>50</v>
      </c>
      <c r="F11" t="s">
        <v>11</v>
      </c>
      <c r="G11">
        <v>4</v>
      </c>
      <c r="H11" t="s">
        <v>12</v>
      </c>
    </row>
    <row r="12" spans="1:8">
      <c r="A12" t="s">
        <v>174</v>
      </c>
      <c r="B12" t="s">
        <v>495</v>
      </c>
      <c r="C12" t="s">
        <v>496</v>
      </c>
      <c r="D12" t="s">
        <v>340</v>
      </c>
      <c r="E12">
        <v>50</v>
      </c>
      <c r="F12" t="s">
        <v>11</v>
      </c>
      <c r="G12">
        <v>2</v>
      </c>
      <c r="H12" t="s">
        <v>12</v>
      </c>
    </row>
    <row r="13" spans="1:8">
      <c r="A13" t="s">
        <v>174</v>
      </c>
      <c r="B13" t="s">
        <v>495</v>
      </c>
      <c r="C13" t="s">
        <v>496</v>
      </c>
      <c r="D13" t="s">
        <v>636</v>
      </c>
      <c r="E13">
        <v>50</v>
      </c>
      <c r="F13" t="s">
        <v>11</v>
      </c>
      <c r="G13">
        <v>4</v>
      </c>
      <c r="H13" t="s">
        <v>12</v>
      </c>
    </row>
    <row r="14" spans="1:8">
      <c r="A14" t="s">
        <v>174</v>
      </c>
      <c r="B14" t="s">
        <v>179</v>
      </c>
      <c r="C14" t="s">
        <v>180</v>
      </c>
      <c r="D14" t="s">
        <v>10</v>
      </c>
      <c r="E14">
        <v>54</v>
      </c>
      <c r="F14" t="s">
        <v>11</v>
      </c>
      <c r="G14">
        <v>3</v>
      </c>
      <c r="H14" t="s">
        <v>12</v>
      </c>
    </row>
    <row r="15" spans="1:8">
      <c r="A15" t="s">
        <v>174</v>
      </c>
      <c r="B15" t="s">
        <v>181</v>
      </c>
      <c r="C15" t="s">
        <v>182</v>
      </c>
      <c r="D15" t="s">
        <v>712</v>
      </c>
      <c r="E15">
        <v>50</v>
      </c>
      <c r="F15" t="s">
        <v>11</v>
      </c>
      <c r="G15">
        <v>2</v>
      </c>
      <c r="H15" t="s">
        <v>12</v>
      </c>
    </row>
    <row r="16" spans="1:8">
      <c r="A16" t="s">
        <v>174</v>
      </c>
      <c r="B16" t="s">
        <v>181</v>
      </c>
      <c r="C16" t="s">
        <v>182</v>
      </c>
      <c r="D16" t="s">
        <v>10</v>
      </c>
      <c r="E16">
        <v>56</v>
      </c>
      <c r="F16" t="s">
        <v>11</v>
      </c>
      <c r="G16">
        <v>3</v>
      </c>
      <c r="H16" t="s">
        <v>12</v>
      </c>
    </row>
    <row r="17" spans="1:8">
      <c r="A17" t="s">
        <v>174</v>
      </c>
      <c r="B17" t="s">
        <v>497</v>
      </c>
      <c r="C17" t="s">
        <v>498</v>
      </c>
      <c r="D17" t="s">
        <v>340</v>
      </c>
      <c r="E17">
        <v>48</v>
      </c>
      <c r="F17" t="s">
        <v>11</v>
      </c>
      <c r="G17">
        <v>2</v>
      </c>
      <c r="H17" t="s">
        <v>12</v>
      </c>
    </row>
    <row r="18" spans="1:8">
      <c r="A18" t="s">
        <v>174</v>
      </c>
      <c r="B18" t="s">
        <v>679</v>
      </c>
      <c r="C18" t="s">
        <v>680</v>
      </c>
      <c r="D18" t="s">
        <v>636</v>
      </c>
      <c r="E18">
        <v>52</v>
      </c>
      <c r="F18" t="s">
        <v>11</v>
      </c>
      <c r="G18">
        <v>4</v>
      </c>
      <c r="H18" t="s">
        <v>12</v>
      </c>
    </row>
    <row r="19" spans="1:8">
      <c r="A19" t="s">
        <v>174</v>
      </c>
      <c r="B19" t="s">
        <v>183</v>
      </c>
      <c r="C19" t="s">
        <v>184</v>
      </c>
      <c r="D19" t="s">
        <v>712</v>
      </c>
      <c r="E19">
        <v>50</v>
      </c>
      <c r="F19" t="s">
        <v>11</v>
      </c>
      <c r="G19">
        <v>2</v>
      </c>
      <c r="H19" t="s">
        <v>12</v>
      </c>
    </row>
    <row r="20" spans="1:8">
      <c r="A20" t="s">
        <v>174</v>
      </c>
      <c r="B20" t="s">
        <v>183</v>
      </c>
      <c r="C20" t="s">
        <v>184</v>
      </c>
      <c r="D20" t="s">
        <v>340</v>
      </c>
      <c r="E20">
        <v>51</v>
      </c>
      <c r="F20" t="s">
        <v>11</v>
      </c>
      <c r="G20">
        <v>2</v>
      </c>
      <c r="H20" t="s">
        <v>12</v>
      </c>
    </row>
    <row r="21" spans="1:8">
      <c r="A21" t="s">
        <v>174</v>
      </c>
      <c r="B21" t="s">
        <v>183</v>
      </c>
      <c r="C21" t="s">
        <v>184</v>
      </c>
      <c r="D21" t="s">
        <v>10</v>
      </c>
      <c r="E21">
        <v>55</v>
      </c>
      <c r="F21" t="s">
        <v>11</v>
      </c>
      <c r="G21">
        <v>3</v>
      </c>
      <c r="H21" t="s">
        <v>12</v>
      </c>
    </row>
    <row r="22" spans="1:8">
      <c r="A22" t="s">
        <v>174</v>
      </c>
      <c r="B22" t="s">
        <v>717</v>
      </c>
      <c r="C22" t="s">
        <v>718</v>
      </c>
      <c r="D22" t="s">
        <v>712</v>
      </c>
      <c r="E22">
        <v>54</v>
      </c>
      <c r="F22" t="s">
        <v>11</v>
      </c>
      <c r="G22">
        <v>2</v>
      </c>
      <c r="H22" t="s">
        <v>12</v>
      </c>
    </row>
    <row r="23" spans="1:8">
      <c r="A23" t="s">
        <v>174</v>
      </c>
      <c r="B23" t="s">
        <v>185</v>
      </c>
      <c r="C23" t="s">
        <v>186</v>
      </c>
      <c r="D23" t="s">
        <v>712</v>
      </c>
      <c r="E23">
        <v>48</v>
      </c>
      <c r="F23" t="s">
        <v>11</v>
      </c>
      <c r="G23">
        <v>2</v>
      </c>
      <c r="H23" t="s">
        <v>12</v>
      </c>
    </row>
    <row r="24" spans="1:8">
      <c r="A24" t="s">
        <v>174</v>
      </c>
      <c r="B24" t="s">
        <v>185</v>
      </c>
      <c r="C24" t="s">
        <v>186</v>
      </c>
      <c r="D24" t="s">
        <v>10</v>
      </c>
      <c r="E24">
        <v>50</v>
      </c>
      <c r="F24" t="s">
        <v>11</v>
      </c>
      <c r="G24">
        <v>3</v>
      </c>
      <c r="H24" t="s">
        <v>12</v>
      </c>
    </row>
    <row r="25" spans="1:8">
      <c r="A25" t="s">
        <v>174</v>
      </c>
      <c r="B25" t="s">
        <v>187</v>
      </c>
      <c r="C25" t="s">
        <v>188</v>
      </c>
      <c r="D25" t="s">
        <v>712</v>
      </c>
      <c r="E25">
        <v>50</v>
      </c>
      <c r="F25" t="s">
        <v>11</v>
      </c>
      <c r="G25">
        <v>2</v>
      </c>
      <c r="H25" t="s">
        <v>12</v>
      </c>
    </row>
    <row r="26" spans="1:8">
      <c r="A26" t="s">
        <v>174</v>
      </c>
      <c r="B26" t="s">
        <v>187</v>
      </c>
      <c r="C26" t="s">
        <v>188</v>
      </c>
      <c r="D26" t="s">
        <v>340</v>
      </c>
      <c r="E26">
        <v>50</v>
      </c>
      <c r="F26" t="s">
        <v>11</v>
      </c>
      <c r="G26">
        <v>2</v>
      </c>
      <c r="H26" t="s">
        <v>12</v>
      </c>
    </row>
    <row r="27" spans="1:8">
      <c r="A27" t="s">
        <v>174</v>
      </c>
      <c r="B27" t="s">
        <v>187</v>
      </c>
      <c r="C27" t="s">
        <v>188</v>
      </c>
      <c r="D27" t="s">
        <v>10</v>
      </c>
      <c r="E27">
        <v>44</v>
      </c>
      <c r="F27" t="s">
        <v>11</v>
      </c>
      <c r="G27">
        <v>3</v>
      </c>
      <c r="H27" t="s">
        <v>12</v>
      </c>
    </row>
    <row r="28" spans="1:8">
      <c r="A28" t="s">
        <v>174</v>
      </c>
      <c r="B28" t="s">
        <v>499</v>
      </c>
      <c r="C28" t="s">
        <v>500</v>
      </c>
      <c r="D28" t="s">
        <v>340</v>
      </c>
      <c r="E28">
        <v>43</v>
      </c>
      <c r="F28" t="s">
        <v>11</v>
      </c>
      <c r="G28">
        <v>2</v>
      </c>
      <c r="H28" t="s">
        <v>12</v>
      </c>
    </row>
    <row r="29" spans="1:8">
      <c r="A29" t="s">
        <v>174</v>
      </c>
      <c r="B29" t="s">
        <v>189</v>
      </c>
      <c r="C29" t="s">
        <v>190</v>
      </c>
      <c r="D29" t="s">
        <v>340</v>
      </c>
      <c r="E29">
        <v>54</v>
      </c>
      <c r="F29" t="s">
        <v>11</v>
      </c>
      <c r="G29">
        <v>2</v>
      </c>
      <c r="H29" t="s">
        <v>12</v>
      </c>
    </row>
    <row r="30" spans="1:8">
      <c r="A30" t="s">
        <v>174</v>
      </c>
      <c r="B30" t="s">
        <v>189</v>
      </c>
      <c r="C30" t="s">
        <v>190</v>
      </c>
      <c r="D30" t="s">
        <v>10</v>
      </c>
      <c r="E30">
        <v>48</v>
      </c>
      <c r="F30" t="s">
        <v>11</v>
      </c>
      <c r="G30">
        <v>3</v>
      </c>
      <c r="H30" t="s">
        <v>12</v>
      </c>
    </row>
    <row r="31" spans="1:8">
      <c r="A31" t="s">
        <v>174</v>
      </c>
      <c r="B31" t="s">
        <v>189</v>
      </c>
      <c r="C31" t="s">
        <v>190</v>
      </c>
      <c r="D31" t="s">
        <v>636</v>
      </c>
      <c r="E31">
        <v>51</v>
      </c>
      <c r="F31" t="s">
        <v>11</v>
      </c>
      <c r="G31">
        <v>4</v>
      </c>
      <c r="H31" t="s">
        <v>12</v>
      </c>
    </row>
    <row r="32" spans="1:8">
      <c r="A32" t="s">
        <v>174</v>
      </c>
      <c r="B32" t="s">
        <v>191</v>
      </c>
      <c r="C32" t="s">
        <v>151</v>
      </c>
      <c r="D32" t="s">
        <v>712</v>
      </c>
      <c r="E32">
        <v>41</v>
      </c>
      <c r="F32" t="s">
        <v>11</v>
      </c>
      <c r="G32">
        <v>2</v>
      </c>
      <c r="H32" t="s">
        <v>12</v>
      </c>
    </row>
    <row r="33" spans="1:8">
      <c r="A33" t="s">
        <v>174</v>
      </c>
      <c r="B33" t="s">
        <v>191</v>
      </c>
      <c r="C33" t="s">
        <v>151</v>
      </c>
      <c r="D33" t="s">
        <v>340</v>
      </c>
      <c r="E33">
        <v>42</v>
      </c>
      <c r="F33" t="s">
        <v>11</v>
      </c>
      <c r="G33">
        <v>2</v>
      </c>
      <c r="H33" t="s">
        <v>12</v>
      </c>
    </row>
    <row r="34" spans="1:8">
      <c r="A34" t="s">
        <v>174</v>
      </c>
      <c r="B34" t="s">
        <v>191</v>
      </c>
      <c r="C34" t="s">
        <v>151</v>
      </c>
      <c r="D34" t="s">
        <v>10</v>
      </c>
      <c r="E34">
        <v>53</v>
      </c>
      <c r="F34" t="s">
        <v>11</v>
      </c>
      <c r="G34">
        <v>3</v>
      </c>
      <c r="H34" t="s">
        <v>12</v>
      </c>
    </row>
    <row r="35" spans="1:8">
      <c r="A35" t="s">
        <v>174</v>
      </c>
      <c r="B35" t="s">
        <v>191</v>
      </c>
      <c r="C35" t="s">
        <v>151</v>
      </c>
      <c r="D35" t="s">
        <v>636</v>
      </c>
      <c r="E35">
        <v>50</v>
      </c>
      <c r="F35" t="s">
        <v>11</v>
      </c>
      <c r="G35">
        <v>4</v>
      </c>
      <c r="H35" t="s">
        <v>12</v>
      </c>
    </row>
    <row r="36" spans="1:8">
      <c r="A36" t="s">
        <v>174</v>
      </c>
      <c r="B36" t="s">
        <v>192</v>
      </c>
      <c r="C36" t="s">
        <v>193</v>
      </c>
      <c r="D36" t="s">
        <v>340</v>
      </c>
      <c r="E36">
        <v>40</v>
      </c>
      <c r="F36" t="s">
        <v>11</v>
      </c>
      <c r="G36">
        <v>2</v>
      </c>
      <c r="H36" t="s">
        <v>12</v>
      </c>
    </row>
    <row r="37" spans="1:8">
      <c r="A37" t="s">
        <v>174</v>
      </c>
      <c r="B37" t="s">
        <v>192</v>
      </c>
      <c r="C37" t="s">
        <v>193</v>
      </c>
      <c r="D37" t="s">
        <v>10</v>
      </c>
      <c r="E37">
        <v>50</v>
      </c>
      <c r="F37" t="s">
        <v>11</v>
      </c>
      <c r="G37">
        <v>3</v>
      </c>
      <c r="H37" t="s">
        <v>12</v>
      </c>
    </row>
    <row r="38" spans="1:8">
      <c r="A38" t="s">
        <v>174</v>
      </c>
      <c r="B38" t="s">
        <v>501</v>
      </c>
      <c r="C38" t="s">
        <v>502</v>
      </c>
      <c r="D38" t="s">
        <v>712</v>
      </c>
      <c r="E38">
        <v>42</v>
      </c>
      <c r="F38" t="s">
        <v>11</v>
      </c>
      <c r="G38">
        <v>2</v>
      </c>
      <c r="H38" t="s">
        <v>12</v>
      </c>
    </row>
    <row r="39" spans="1:8">
      <c r="A39" t="s">
        <v>174</v>
      </c>
      <c r="B39" t="s">
        <v>501</v>
      </c>
      <c r="C39" t="s">
        <v>502</v>
      </c>
      <c r="D39" t="s">
        <v>340</v>
      </c>
      <c r="E39">
        <v>40</v>
      </c>
      <c r="F39" t="s">
        <v>11</v>
      </c>
      <c r="G39">
        <v>2</v>
      </c>
      <c r="H39" t="s">
        <v>12</v>
      </c>
    </row>
    <row r="40" spans="1:8">
      <c r="A40" t="s">
        <v>174</v>
      </c>
      <c r="B40" t="s">
        <v>503</v>
      </c>
      <c r="C40" t="s">
        <v>504</v>
      </c>
      <c r="D40" t="s">
        <v>340</v>
      </c>
      <c r="E40">
        <v>41</v>
      </c>
      <c r="F40" t="s">
        <v>11</v>
      </c>
      <c r="G40">
        <v>2</v>
      </c>
      <c r="H40" t="s">
        <v>12</v>
      </c>
    </row>
    <row r="41" spans="1:8">
      <c r="A41" t="s">
        <v>174</v>
      </c>
      <c r="B41" t="s">
        <v>505</v>
      </c>
      <c r="C41" t="s">
        <v>506</v>
      </c>
      <c r="D41" t="s">
        <v>340</v>
      </c>
      <c r="E41">
        <v>49</v>
      </c>
      <c r="F41" t="s">
        <v>11</v>
      </c>
      <c r="G41">
        <v>2</v>
      </c>
      <c r="H41" t="s">
        <v>12</v>
      </c>
    </row>
    <row r="42" spans="1:8">
      <c r="A42" t="s">
        <v>174</v>
      </c>
      <c r="B42" t="s">
        <v>505</v>
      </c>
      <c r="C42" t="s">
        <v>506</v>
      </c>
      <c r="D42" t="s">
        <v>636</v>
      </c>
      <c r="E42">
        <v>40</v>
      </c>
      <c r="F42" t="s">
        <v>11</v>
      </c>
      <c r="G42">
        <v>4</v>
      </c>
      <c r="H42" t="s">
        <v>12</v>
      </c>
    </row>
    <row r="43" spans="1:8">
      <c r="A43" t="s">
        <v>279</v>
      </c>
      <c r="B43" t="s">
        <v>280</v>
      </c>
      <c r="C43" t="s">
        <v>281</v>
      </c>
      <c r="D43" t="s">
        <v>340</v>
      </c>
      <c r="E43">
        <v>45</v>
      </c>
      <c r="F43" t="s">
        <v>11</v>
      </c>
      <c r="G43">
        <v>2</v>
      </c>
      <c r="H43" t="s">
        <v>12</v>
      </c>
    </row>
    <row r="44" spans="1:8">
      <c r="A44" t="s">
        <v>279</v>
      </c>
      <c r="B44" t="s">
        <v>280</v>
      </c>
      <c r="C44" t="s">
        <v>281</v>
      </c>
      <c r="D44" t="s">
        <v>10</v>
      </c>
      <c r="E44">
        <v>45</v>
      </c>
      <c r="F44" t="s">
        <v>11</v>
      </c>
      <c r="G44">
        <v>3</v>
      </c>
      <c r="H44" t="s">
        <v>12</v>
      </c>
    </row>
    <row r="45" spans="1:8">
      <c r="A45" t="s">
        <v>279</v>
      </c>
      <c r="B45" t="s">
        <v>280</v>
      </c>
      <c r="C45" t="s">
        <v>281</v>
      </c>
      <c r="D45" t="s">
        <v>636</v>
      </c>
      <c r="E45">
        <v>47</v>
      </c>
      <c r="F45" t="s">
        <v>11</v>
      </c>
      <c r="G45">
        <v>4</v>
      </c>
      <c r="H45" t="s">
        <v>12</v>
      </c>
    </row>
    <row r="46" spans="1:8">
      <c r="A46" t="s">
        <v>279</v>
      </c>
      <c r="B46" t="s">
        <v>282</v>
      </c>
      <c r="C46" t="s">
        <v>283</v>
      </c>
      <c r="D46" t="s">
        <v>340</v>
      </c>
      <c r="E46">
        <v>40</v>
      </c>
      <c r="F46" t="s">
        <v>11</v>
      </c>
      <c r="G46">
        <v>2</v>
      </c>
      <c r="H46" t="s">
        <v>12</v>
      </c>
    </row>
    <row r="47" spans="1:8">
      <c r="A47" t="s">
        <v>279</v>
      </c>
      <c r="B47" t="s">
        <v>282</v>
      </c>
      <c r="C47" t="s">
        <v>283</v>
      </c>
      <c r="D47" t="s">
        <v>10</v>
      </c>
      <c r="E47">
        <v>50</v>
      </c>
      <c r="F47" t="s">
        <v>11</v>
      </c>
      <c r="G47">
        <v>3</v>
      </c>
      <c r="H47" t="s">
        <v>12</v>
      </c>
    </row>
    <row r="48" spans="1:8">
      <c r="A48" t="s">
        <v>279</v>
      </c>
      <c r="B48" t="s">
        <v>284</v>
      </c>
      <c r="C48" t="s">
        <v>285</v>
      </c>
      <c r="D48" t="s">
        <v>10</v>
      </c>
      <c r="E48">
        <v>51</v>
      </c>
      <c r="F48" t="s">
        <v>11</v>
      </c>
      <c r="G48">
        <v>3</v>
      </c>
      <c r="H48" t="s">
        <v>12</v>
      </c>
    </row>
    <row r="49" spans="1:8">
      <c r="A49" t="s">
        <v>279</v>
      </c>
      <c r="B49" t="s">
        <v>715</v>
      </c>
      <c r="C49" t="s">
        <v>716</v>
      </c>
      <c r="D49" t="s">
        <v>712</v>
      </c>
      <c r="E49">
        <v>47</v>
      </c>
      <c r="F49" t="s">
        <v>11</v>
      </c>
      <c r="G49">
        <v>2</v>
      </c>
      <c r="H49" t="s">
        <v>12</v>
      </c>
    </row>
    <row r="50" spans="1:8">
      <c r="A50" t="s">
        <v>279</v>
      </c>
      <c r="B50" t="s">
        <v>715</v>
      </c>
      <c r="C50" t="s">
        <v>716</v>
      </c>
      <c r="D50" t="s">
        <v>898</v>
      </c>
      <c r="E50">
        <v>58</v>
      </c>
      <c r="F50" t="s">
        <v>11</v>
      </c>
      <c r="G50">
        <v>3</v>
      </c>
      <c r="H50" t="s">
        <v>12</v>
      </c>
    </row>
    <row r="51" spans="1:8">
      <c r="A51" t="s">
        <v>279</v>
      </c>
      <c r="B51" t="s">
        <v>353</v>
      </c>
      <c r="C51" t="s">
        <v>354</v>
      </c>
      <c r="D51" t="s">
        <v>712</v>
      </c>
      <c r="E51">
        <v>50</v>
      </c>
      <c r="F51" t="s">
        <v>11</v>
      </c>
      <c r="G51">
        <v>2</v>
      </c>
      <c r="H51" t="s">
        <v>12</v>
      </c>
    </row>
    <row r="52" spans="1:8">
      <c r="A52" t="s">
        <v>279</v>
      </c>
      <c r="B52" t="s">
        <v>353</v>
      </c>
      <c r="C52" t="s">
        <v>354</v>
      </c>
      <c r="D52" t="s">
        <v>340</v>
      </c>
      <c r="E52">
        <v>44</v>
      </c>
      <c r="F52" t="s">
        <v>11</v>
      </c>
      <c r="G52">
        <v>2</v>
      </c>
      <c r="H52" t="s">
        <v>12</v>
      </c>
    </row>
    <row r="53" spans="1:8">
      <c r="A53" t="s">
        <v>279</v>
      </c>
      <c r="B53" t="s">
        <v>353</v>
      </c>
      <c r="C53" t="s">
        <v>354</v>
      </c>
      <c r="D53" t="s">
        <v>636</v>
      </c>
      <c r="E53">
        <v>50</v>
      </c>
      <c r="F53" t="s">
        <v>11</v>
      </c>
      <c r="G53">
        <v>4</v>
      </c>
      <c r="H53" t="s">
        <v>12</v>
      </c>
    </row>
    <row r="54" spans="1:8">
      <c r="A54" t="s">
        <v>279</v>
      </c>
      <c r="B54" t="s">
        <v>353</v>
      </c>
      <c r="C54" t="s">
        <v>354</v>
      </c>
      <c r="D54" t="s">
        <v>898</v>
      </c>
      <c r="E54">
        <v>48</v>
      </c>
      <c r="F54" t="s">
        <v>11</v>
      </c>
      <c r="G54">
        <v>3</v>
      </c>
      <c r="H54" t="s">
        <v>12</v>
      </c>
    </row>
    <row r="55" spans="1:8">
      <c r="A55" t="s">
        <v>279</v>
      </c>
      <c r="B55" t="s">
        <v>355</v>
      </c>
      <c r="C55" t="s">
        <v>356</v>
      </c>
      <c r="D55" t="s">
        <v>712</v>
      </c>
      <c r="E55">
        <v>51</v>
      </c>
      <c r="F55" t="s">
        <v>11</v>
      </c>
      <c r="G55">
        <v>2</v>
      </c>
      <c r="H55" t="s">
        <v>12</v>
      </c>
    </row>
    <row r="56" spans="1:8">
      <c r="A56" t="s">
        <v>279</v>
      </c>
      <c r="B56" t="s">
        <v>355</v>
      </c>
      <c r="C56" t="s">
        <v>356</v>
      </c>
      <c r="D56" t="s">
        <v>340</v>
      </c>
      <c r="E56">
        <v>45</v>
      </c>
      <c r="F56" t="s">
        <v>11</v>
      </c>
      <c r="G56">
        <v>2</v>
      </c>
      <c r="H56" t="s">
        <v>12</v>
      </c>
    </row>
    <row r="57" spans="1:8">
      <c r="A57" t="s">
        <v>279</v>
      </c>
      <c r="B57" t="s">
        <v>355</v>
      </c>
      <c r="C57" t="s">
        <v>356</v>
      </c>
      <c r="D57" t="s">
        <v>898</v>
      </c>
      <c r="E57">
        <v>45</v>
      </c>
      <c r="F57" t="s">
        <v>11</v>
      </c>
      <c r="G57">
        <v>3</v>
      </c>
      <c r="H57" t="s">
        <v>12</v>
      </c>
    </row>
    <row r="58" spans="1:8">
      <c r="A58" t="s">
        <v>279</v>
      </c>
      <c r="B58" t="s">
        <v>286</v>
      </c>
      <c r="C58" t="s">
        <v>287</v>
      </c>
      <c r="D58" t="s">
        <v>340</v>
      </c>
      <c r="E58">
        <v>47</v>
      </c>
      <c r="F58" t="s">
        <v>11</v>
      </c>
      <c r="G58">
        <v>2</v>
      </c>
      <c r="H58" t="s">
        <v>12</v>
      </c>
    </row>
    <row r="59" spans="1:8">
      <c r="A59" t="s">
        <v>279</v>
      </c>
      <c r="B59" t="s">
        <v>286</v>
      </c>
      <c r="C59" t="s">
        <v>287</v>
      </c>
      <c r="D59" t="s">
        <v>10</v>
      </c>
      <c r="E59">
        <v>54</v>
      </c>
      <c r="F59" t="s">
        <v>11</v>
      </c>
      <c r="G59">
        <v>3</v>
      </c>
      <c r="H59" t="s">
        <v>12</v>
      </c>
    </row>
    <row r="60" spans="1:8">
      <c r="A60" t="s">
        <v>279</v>
      </c>
      <c r="B60" t="s">
        <v>286</v>
      </c>
      <c r="C60" t="s">
        <v>287</v>
      </c>
      <c r="D60" t="s">
        <v>636</v>
      </c>
      <c r="E60">
        <v>48</v>
      </c>
      <c r="F60" t="s">
        <v>11</v>
      </c>
      <c r="G60">
        <v>4</v>
      </c>
      <c r="H60" t="s">
        <v>12</v>
      </c>
    </row>
    <row r="61" spans="1:8">
      <c r="A61" t="s">
        <v>279</v>
      </c>
      <c r="B61" t="s">
        <v>286</v>
      </c>
      <c r="C61" t="s">
        <v>287</v>
      </c>
      <c r="D61" t="s">
        <v>898</v>
      </c>
      <c r="E61">
        <v>54</v>
      </c>
      <c r="F61" t="s">
        <v>11</v>
      </c>
      <c r="G61">
        <v>3</v>
      </c>
      <c r="H61" t="s">
        <v>12</v>
      </c>
    </row>
    <row r="62" spans="1:8">
      <c r="A62" t="s">
        <v>279</v>
      </c>
      <c r="B62" t="s">
        <v>357</v>
      </c>
      <c r="C62" t="s">
        <v>358</v>
      </c>
      <c r="D62" t="s">
        <v>340</v>
      </c>
      <c r="E62">
        <v>55</v>
      </c>
      <c r="F62" t="s">
        <v>11</v>
      </c>
      <c r="G62">
        <v>2</v>
      </c>
      <c r="H62" t="s">
        <v>12</v>
      </c>
    </row>
    <row r="63" spans="1:8">
      <c r="A63" t="s">
        <v>279</v>
      </c>
      <c r="B63" t="s">
        <v>357</v>
      </c>
      <c r="C63" t="s">
        <v>358</v>
      </c>
      <c r="D63" t="s">
        <v>636</v>
      </c>
      <c r="E63">
        <v>40</v>
      </c>
      <c r="F63" t="s">
        <v>11</v>
      </c>
      <c r="G63">
        <v>4</v>
      </c>
      <c r="H63" t="s">
        <v>12</v>
      </c>
    </row>
    <row r="64" spans="1:8">
      <c r="A64" t="s">
        <v>279</v>
      </c>
      <c r="B64" t="s">
        <v>357</v>
      </c>
      <c r="C64" t="s">
        <v>358</v>
      </c>
      <c r="D64" t="s">
        <v>898</v>
      </c>
      <c r="E64">
        <v>51</v>
      </c>
      <c r="F64" t="s">
        <v>11</v>
      </c>
      <c r="G64">
        <v>3</v>
      </c>
      <c r="H64" t="s">
        <v>12</v>
      </c>
    </row>
    <row r="65" spans="1:8">
      <c r="A65" t="s">
        <v>279</v>
      </c>
      <c r="B65" t="s">
        <v>687</v>
      </c>
      <c r="C65" t="s">
        <v>688</v>
      </c>
      <c r="D65" t="s">
        <v>636</v>
      </c>
      <c r="E65">
        <v>47</v>
      </c>
      <c r="F65" t="s">
        <v>11</v>
      </c>
      <c r="G65">
        <v>4</v>
      </c>
      <c r="H65" t="s">
        <v>12</v>
      </c>
    </row>
    <row r="66" spans="1:8">
      <c r="A66" t="s">
        <v>279</v>
      </c>
      <c r="B66" t="s">
        <v>359</v>
      </c>
      <c r="C66" t="s">
        <v>360</v>
      </c>
      <c r="D66" t="s">
        <v>712</v>
      </c>
      <c r="E66">
        <v>40</v>
      </c>
      <c r="F66" t="s">
        <v>11</v>
      </c>
      <c r="G66">
        <v>2</v>
      </c>
      <c r="H66" t="s">
        <v>12</v>
      </c>
    </row>
    <row r="67" spans="1:8">
      <c r="A67" t="s">
        <v>279</v>
      </c>
      <c r="B67" t="s">
        <v>359</v>
      </c>
      <c r="C67" t="s">
        <v>360</v>
      </c>
      <c r="D67" t="s">
        <v>340</v>
      </c>
      <c r="E67">
        <v>46</v>
      </c>
      <c r="F67" t="s">
        <v>11</v>
      </c>
      <c r="G67">
        <v>2</v>
      </c>
      <c r="H67" t="s">
        <v>12</v>
      </c>
    </row>
    <row r="68" spans="1:8">
      <c r="A68" t="s">
        <v>279</v>
      </c>
      <c r="B68" t="s">
        <v>359</v>
      </c>
      <c r="C68" t="s">
        <v>360</v>
      </c>
      <c r="D68" t="s">
        <v>898</v>
      </c>
      <c r="E68">
        <v>58</v>
      </c>
      <c r="F68" t="s">
        <v>11</v>
      </c>
      <c r="G68">
        <v>3</v>
      </c>
      <c r="H68" t="s">
        <v>12</v>
      </c>
    </row>
    <row r="69" spans="1:8">
      <c r="A69" t="s">
        <v>279</v>
      </c>
      <c r="B69" t="s">
        <v>288</v>
      </c>
      <c r="C69" t="s">
        <v>289</v>
      </c>
      <c r="D69" t="s">
        <v>340</v>
      </c>
      <c r="E69">
        <v>54</v>
      </c>
      <c r="F69" t="s">
        <v>11</v>
      </c>
      <c r="G69">
        <v>2</v>
      </c>
      <c r="H69" t="s">
        <v>12</v>
      </c>
    </row>
    <row r="70" spans="1:8">
      <c r="A70" t="s">
        <v>279</v>
      </c>
      <c r="B70" t="s">
        <v>288</v>
      </c>
      <c r="C70" t="s">
        <v>289</v>
      </c>
      <c r="D70" t="s">
        <v>10</v>
      </c>
      <c r="E70">
        <v>56</v>
      </c>
      <c r="F70" t="s">
        <v>11</v>
      </c>
      <c r="G70">
        <v>3</v>
      </c>
      <c r="H70" t="s">
        <v>12</v>
      </c>
    </row>
    <row r="71" spans="1:8">
      <c r="A71" t="s">
        <v>279</v>
      </c>
      <c r="B71" t="s">
        <v>288</v>
      </c>
      <c r="C71" t="s">
        <v>289</v>
      </c>
      <c r="D71" t="s">
        <v>898</v>
      </c>
      <c r="E71">
        <v>56</v>
      </c>
      <c r="F71" t="s">
        <v>11</v>
      </c>
      <c r="G71">
        <v>3</v>
      </c>
      <c r="H71" t="s">
        <v>12</v>
      </c>
    </row>
    <row r="72" spans="1:8">
      <c r="A72" t="s">
        <v>279</v>
      </c>
      <c r="B72" t="s">
        <v>290</v>
      </c>
      <c r="C72" t="s">
        <v>291</v>
      </c>
      <c r="D72" t="s">
        <v>340</v>
      </c>
      <c r="E72">
        <v>52</v>
      </c>
      <c r="F72" t="s">
        <v>11</v>
      </c>
      <c r="G72">
        <v>2</v>
      </c>
      <c r="H72" t="s">
        <v>12</v>
      </c>
    </row>
    <row r="73" spans="1:8">
      <c r="A73" t="s">
        <v>279</v>
      </c>
      <c r="B73" t="s">
        <v>290</v>
      </c>
      <c r="C73" t="s">
        <v>291</v>
      </c>
      <c r="D73" t="s">
        <v>10</v>
      </c>
      <c r="E73">
        <v>58</v>
      </c>
      <c r="F73" t="s">
        <v>11</v>
      </c>
      <c r="G73">
        <v>3</v>
      </c>
      <c r="H73" t="s">
        <v>12</v>
      </c>
    </row>
    <row r="74" spans="1:8">
      <c r="A74" t="s">
        <v>279</v>
      </c>
      <c r="B74" t="s">
        <v>361</v>
      </c>
      <c r="C74" t="s">
        <v>362</v>
      </c>
      <c r="D74" t="s">
        <v>712</v>
      </c>
      <c r="E74">
        <v>48</v>
      </c>
      <c r="F74" t="s">
        <v>11</v>
      </c>
      <c r="G74">
        <v>2</v>
      </c>
      <c r="H74" t="s">
        <v>12</v>
      </c>
    </row>
    <row r="75" spans="1:8">
      <c r="A75" t="s">
        <v>279</v>
      </c>
      <c r="B75" t="s">
        <v>361</v>
      </c>
      <c r="C75" t="s">
        <v>362</v>
      </c>
      <c r="D75" t="s">
        <v>340</v>
      </c>
      <c r="E75">
        <v>49</v>
      </c>
      <c r="F75" t="s">
        <v>11</v>
      </c>
      <c r="G75">
        <v>2</v>
      </c>
      <c r="H75" t="s">
        <v>12</v>
      </c>
    </row>
    <row r="76" spans="1:8">
      <c r="A76" t="s">
        <v>279</v>
      </c>
      <c r="B76" t="s">
        <v>361</v>
      </c>
      <c r="C76" t="s">
        <v>362</v>
      </c>
      <c r="D76" t="s">
        <v>636</v>
      </c>
      <c r="E76">
        <v>40</v>
      </c>
      <c r="F76" t="s">
        <v>11</v>
      </c>
      <c r="G76">
        <v>4</v>
      </c>
      <c r="H76" t="s">
        <v>12</v>
      </c>
    </row>
    <row r="77" spans="1:8">
      <c r="A77" t="s">
        <v>279</v>
      </c>
      <c r="B77" t="s">
        <v>361</v>
      </c>
      <c r="C77" t="s">
        <v>362</v>
      </c>
      <c r="D77" t="s">
        <v>898</v>
      </c>
      <c r="E77">
        <v>58</v>
      </c>
      <c r="F77" t="s">
        <v>11</v>
      </c>
      <c r="G77">
        <v>3</v>
      </c>
      <c r="H77" t="s">
        <v>12</v>
      </c>
    </row>
    <row r="78" spans="1:8">
      <c r="A78" t="s">
        <v>279</v>
      </c>
      <c r="B78" t="s">
        <v>363</v>
      </c>
      <c r="C78" t="s">
        <v>364</v>
      </c>
      <c r="D78" t="s">
        <v>340</v>
      </c>
      <c r="E78">
        <v>50</v>
      </c>
      <c r="F78" t="s">
        <v>11</v>
      </c>
      <c r="G78">
        <v>2</v>
      </c>
      <c r="H78" t="s">
        <v>12</v>
      </c>
    </row>
    <row r="79" spans="1:8">
      <c r="A79" t="s">
        <v>279</v>
      </c>
      <c r="B79" t="s">
        <v>584</v>
      </c>
      <c r="C79" t="s">
        <v>585</v>
      </c>
      <c r="D79" t="s">
        <v>636</v>
      </c>
      <c r="E79">
        <v>40</v>
      </c>
      <c r="F79" t="s">
        <v>11</v>
      </c>
      <c r="G79">
        <v>4</v>
      </c>
      <c r="H79" t="s">
        <v>12</v>
      </c>
    </row>
    <row r="80" spans="1:8">
      <c r="A80" t="s">
        <v>279</v>
      </c>
      <c r="B80" t="s">
        <v>365</v>
      </c>
      <c r="C80" t="s">
        <v>366</v>
      </c>
      <c r="D80" t="s">
        <v>340</v>
      </c>
      <c r="E80">
        <v>49</v>
      </c>
      <c r="F80" t="s">
        <v>11</v>
      </c>
      <c r="G80">
        <v>2</v>
      </c>
      <c r="H80" t="s">
        <v>12</v>
      </c>
    </row>
    <row r="81" spans="1:8">
      <c r="A81" t="s">
        <v>279</v>
      </c>
      <c r="B81" t="s">
        <v>292</v>
      </c>
      <c r="C81" t="s">
        <v>293</v>
      </c>
      <c r="D81" t="s">
        <v>340</v>
      </c>
      <c r="E81">
        <v>49</v>
      </c>
      <c r="F81" t="s">
        <v>11</v>
      </c>
      <c r="G81">
        <v>2</v>
      </c>
      <c r="H81" t="s">
        <v>12</v>
      </c>
    </row>
    <row r="82" spans="1:8">
      <c r="A82" t="s">
        <v>279</v>
      </c>
      <c r="B82" t="s">
        <v>292</v>
      </c>
      <c r="C82" t="s">
        <v>293</v>
      </c>
      <c r="D82" t="s">
        <v>10</v>
      </c>
      <c r="E82">
        <v>51</v>
      </c>
      <c r="F82" t="s">
        <v>11</v>
      </c>
      <c r="G82">
        <v>3</v>
      </c>
      <c r="H82" t="s">
        <v>12</v>
      </c>
    </row>
    <row r="83" spans="1:8">
      <c r="A83" t="s">
        <v>279</v>
      </c>
      <c r="B83" t="s">
        <v>899</v>
      </c>
      <c r="C83" t="s">
        <v>900</v>
      </c>
      <c r="D83" t="s">
        <v>898</v>
      </c>
      <c r="E83">
        <v>58</v>
      </c>
      <c r="F83" t="s">
        <v>11</v>
      </c>
      <c r="G83">
        <v>3</v>
      </c>
      <c r="H83" t="s">
        <v>12</v>
      </c>
    </row>
    <row r="84" spans="1:8">
      <c r="A84" t="s">
        <v>294</v>
      </c>
      <c r="B84" t="s">
        <v>417</v>
      </c>
      <c r="C84" t="s">
        <v>418</v>
      </c>
      <c r="D84" t="s">
        <v>340</v>
      </c>
      <c r="E84">
        <v>56</v>
      </c>
      <c r="F84" t="s">
        <v>11</v>
      </c>
      <c r="G84">
        <v>2</v>
      </c>
      <c r="H84" t="s">
        <v>12</v>
      </c>
    </row>
    <row r="85" spans="1:8">
      <c r="A85" t="s">
        <v>294</v>
      </c>
      <c r="B85" t="s">
        <v>417</v>
      </c>
      <c r="C85" t="s">
        <v>418</v>
      </c>
      <c r="D85" t="s">
        <v>904</v>
      </c>
      <c r="E85">
        <v>55</v>
      </c>
      <c r="F85" t="s">
        <v>11</v>
      </c>
      <c r="G85">
        <v>4</v>
      </c>
      <c r="H85" t="s">
        <v>12</v>
      </c>
    </row>
    <row r="86" spans="1:8">
      <c r="A86" t="s">
        <v>294</v>
      </c>
      <c r="B86" t="s">
        <v>729</v>
      </c>
      <c r="C86" t="s">
        <v>730</v>
      </c>
      <c r="D86" t="s">
        <v>712</v>
      </c>
      <c r="E86">
        <v>41</v>
      </c>
      <c r="F86" t="s">
        <v>11</v>
      </c>
      <c r="G86">
        <v>2</v>
      </c>
      <c r="H86" t="s">
        <v>12</v>
      </c>
    </row>
    <row r="87" spans="1:8">
      <c r="A87" t="s">
        <v>294</v>
      </c>
      <c r="B87" t="s">
        <v>729</v>
      </c>
      <c r="C87" t="s">
        <v>730</v>
      </c>
      <c r="D87" t="s">
        <v>871</v>
      </c>
      <c r="E87">
        <v>50</v>
      </c>
      <c r="F87" t="s">
        <v>11</v>
      </c>
      <c r="G87">
        <v>3</v>
      </c>
      <c r="H87" t="s">
        <v>12</v>
      </c>
    </row>
    <row r="88" spans="1:8">
      <c r="A88" t="s">
        <v>294</v>
      </c>
      <c r="B88" t="s">
        <v>419</v>
      </c>
      <c r="C88" t="s">
        <v>420</v>
      </c>
      <c r="D88" t="s">
        <v>340</v>
      </c>
      <c r="E88">
        <v>48</v>
      </c>
      <c r="F88" t="s">
        <v>11</v>
      </c>
      <c r="G88">
        <v>2</v>
      </c>
      <c r="H88" t="s">
        <v>12</v>
      </c>
    </row>
    <row r="89" spans="1:8">
      <c r="A89" t="s">
        <v>294</v>
      </c>
      <c r="B89" t="s">
        <v>419</v>
      </c>
      <c r="C89" t="s">
        <v>420</v>
      </c>
      <c r="D89" t="s">
        <v>871</v>
      </c>
      <c r="E89">
        <v>45</v>
      </c>
      <c r="F89" t="s">
        <v>11</v>
      </c>
      <c r="G89">
        <v>3</v>
      </c>
      <c r="H89" t="s">
        <v>12</v>
      </c>
    </row>
    <row r="90" spans="1:8">
      <c r="A90" t="s">
        <v>294</v>
      </c>
      <c r="B90" t="s">
        <v>295</v>
      </c>
      <c r="C90" t="s">
        <v>296</v>
      </c>
      <c r="D90" t="s">
        <v>10</v>
      </c>
      <c r="E90">
        <v>55</v>
      </c>
      <c r="F90" t="s">
        <v>11</v>
      </c>
      <c r="G90">
        <v>3</v>
      </c>
      <c r="H90" t="s">
        <v>12</v>
      </c>
    </row>
    <row r="91" spans="1:8">
      <c r="A91" t="s">
        <v>294</v>
      </c>
      <c r="B91" t="s">
        <v>295</v>
      </c>
      <c r="C91" t="s">
        <v>296</v>
      </c>
      <c r="D91" t="s">
        <v>904</v>
      </c>
      <c r="E91">
        <v>59</v>
      </c>
      <c r="F91" t="s">
        <v>11</v>
      </c>
      <c r="G91">
        <v>4</v>
      </c>
      <c r="H91" t="s">
        <v>12</v>
      </c>
    </row>
    <row r="92" spans="1:8">
      <c r="A92" t="s">
        <v>294</v>
      </c>
      <c r="B92" t="s">
        <v>297</v>
      </c>
      <c r="C92" t="s">
        <v>298</v>
      </c>
      <c r="D92" t="s">
        <v>340</v>
      </c>
      <c r="E92">
        <v>52</v>
      </c>
      <c r="F92" t="s">
        <v>11</v>
      </c>
      <c r="G92">
        <v>2</v>
      </c>
      <c r="H92" t="s">
        <v>12</v>
      </c>
    </row>
    <row r="93" spans="1:8">
      <c r="A93" t="s">
        <v>294</v>
      </c>
      <c r="B93" t="s">
        <v>297</v>
      </c>
      <c r="C93" t="s">
        <v>298</v>
      </c>
      <c r="D93" t="s">
        <v>10</v>
      </c>
      <c r="E93">
        <v>57</v>
      </c>
      <c r="F93" t="s">
        <v>11</v>
      </c>
      <c r="G93">
        <v>3</v>
      </c>
      <c r="H93" t="s">
        <v>12</v>
      </c>
    </row>
    <row r="94" spans="1:8">
      <c r="A94" t="s">
        <v>294</v>
      </c>
      <c r="B94" t="s">
        <v>421</v>
      </c>
      <c r="C94" t="s">
        <v>422</v>
      </c>
      <c r="D94" t="s">
        <v>712</v>
      </c>
      <c r="E94">
        <v>53</v>
      </c>
      <c r="F94" t="s">
        <v>11</v>
      </c>
      <c r="G94">
        <v>2</v>
      </c>
      <c r="H94" t="s">
        <v>12</v>
      </c>
    </row>
    <row r="95" spans="1:8">
      <c r="A95" t="s">
        <v>294</v>
      </c>
      <c r="B95" t="s">
        <v>421</v>
      </c>
      <c r="C95" t="s">
        <v>422</v>
      </c>
      <c r="D95" t="s">
        <v>340</v>
      </c>
      <c r="E95">
        <v>48</v>
      </c>
      <c r="F95" t="s">
        <v>11</v>
      </c>
      <c r="G95">
        <v>2</v>
      </c>
      <c r="H95" t="s">
        <v>12</v>
      </c>
    </row>
    <row r="96" spans="1:8">
      <c r="A96" t="s">
        <v>294</v>
      </c>
      <c r="B96" t="s">
        <v>423</v>
      </c>
      <c r="C96" t="s">
        <v>424</v>
      </c>
      <c r="D96" t="s">
        <v>340</v>
      </c>
      <c r="E96">
        <v>56</v>
      </c>
      <c r="F96" t="s">
        <v>11</v>
      </c>
      <c r="G96">
        <v>2</v>
      </c>
      <c r="H96" t="s">
        <v>12</v>
      </c>
    </row>
    <row r="97" spans="1:8">
      <c r="A97" t="s">
        <v>294</v>
      </c>
      <c r="B97" t="s">
        <v>423</v>
      </c>
      <c r="C97" t="s">
        <v>424</v>
      </c>
      <c r="D97" t="s">
        <v>871</v>
      </c>
      <c r="E97">
        <v>51</v>
      </c>
      <c r="F97" t="s">
        <v>11</v>
      </c>
      <c r="G97">
        <v>3</v>
      </c>
      <c r="H97" t="s">
        <v>12</v>
      </c>
    </row>
    <row r="98" spans="1:8">
      <c r="A98" t="s">
        <v>294</v>
      </c>
      <c r="B98" t="s">
        <v>425</v>
      </c>
      <c r="C98" t="s">
        <v>426</v>
      </c>
      <c r="D98" t="s">
        <v>340</v>
      </c>
      <c r="E98">
        <v>56</v>
      </c>
      <c r="F98" t="s">
        <v>11</v>
      </c>
      <c r="G98">
        <v>2</v>
      </c>
      <c r="H98" t="s">
        <v>12</v>
      </c>
    </row>
    <row r="99" spans="1:8">
      <c r="A99" t="s">
        <v>294</v>
      </c>
      <c r="B99" t="s">
        <v>427</v>
      </c>
      <c r="C99" t="s">
        <v>428</v>
      </c>
      <c r="D99" t="s">
        <v>340</v>
      </c>
      <c r="E99">
        <v>53</v>
      </c>
      <c r="F99" t="s">
        <v>11</v>
      </c>
      <c r="G99">
        <v>2</v>
      </c>
      <c r="H99" t="s">
        <v>12</v>
      </c>
    </row>
    <row r="100" spans="1:8">
      <c r="A100" t="s">
        <v>294</v>
      </c>
      <c r="B100" t="s">
        <v>429</v>
      </c>
      <c r="C100" t="s">
        <v>430</v>
      </c>
      <c r="D100" t="s">
        <v>712</v>
      </c>
      <c r="E100">
        <v>40</v>
      </c>
      <c r="F100" t="s">
        <v>11</v>
      </c>
      <c r="G100">
        <v>2</v>
      </c>
      <c r="H100" t="s">
        <v>12</v>
      </c>
    </row>
    <row r="101" spans="1:8">
      <c r="A101" t="s">
        <v>294</v>
      </c>
      <c r="B101" t="s">
        <v>429</v>
      </c>
      <c r="C101" t="s">
        <v>430</v>
      </c>
      <c r="D101" t="s">
        <v>340</v>
      </c>
      <c r="E101">
        <v>56</v>
      </c>
      <c r="F101" t="s">
        <v>11</v>
      </c>
      <c r="G101">
        <v>2</v>
      </c>
      <c r="H101" t="s">
        <v>12</v>
      </c>
    </row>
    <row r="102" spans="1:8">
      <c r="A102" t="s">
        <v>294</v>
      </c>
      <c r="B102" t="s">
        <v>299</v>
      </c>
      <c r="C102" t="s">
        <v>300</v>
      </c>
      <c r="D102" t="s">
        <v>10</v>
      </c>
      <c r="E102">
        <v>51</v>
      </c>
      <c r="F102" t="s">
        <v>11</v>
      </c>
      <c r="G102">
        <v>3</v>
      </c>
      <c r="H102" t="s">
        <v>12</v>
      </c>
    </row>
    <row r="103" spans="1:8">
      <c r="A103" t="s">
        <v>294</v>
      </c>
      <c r="B103" t="s">
        <v>299</v>
      </c>
      <c r="C103" t="s">
        <v>300</v>
      </c>
      <c r="D103" t="s">
        <v>904</v>
      </c>
      <c r="E103">
        <v>49</v>
      </c>
      <c r="F103" t="s">
        <v>11</v>
      </c>
      <c r="G103">
        <v>4</v>
      </c>
      <c r="H103" t="s">
        <v>12</v>
      </c>
    </row>
    <row r="104" spans="1:8">
      <c r="A104" t="s">
        <v>294</v>
      </c>
      <c r="B104" t="s">
        <v>874</v>
      </c>
      <c r="C104" t="s">
        <v>875</v>
      </c>
      <c r="D104" t="s">
        <v>871</v>
      </c>
      <c r="E104">
        <v>44</v>
      </c>
      <c r="F104" t="s">
        <v>11</v>
      </c>
      <c r="G104">
        <v>3</v>
      </c>
      <c r="H104" t="s">
        <v>12</v>
      </c>
    </row>
    <row r="105" spans="1:8">
      <c r="A105" t="s">
        <v>65</v>
      </c>
      <c r="B105" t="s">
        <v>66</v>
      </c>
      <c r="C105" t="s">
        <v>67</v>
      </c>
      <c r="D105" t="s">
        <v>340</v>
      </c>
      <c r="E105">
        <v>47</v>
      </c>
      <c r="F105" t="s">
        <v>11</v>
      </c>
      <c r="G105">
        <v>2</v>
      </c>
      <c r="H105" t="s">
        <v>12</v>
      </c>
    </row>
    <row r="106" spans="1:8">
      <c r="A106" t="s">
        <v>65</v>
      </c>
      <c r="B106" t="s">
        <v>66</v>
      </c>
      <c r="C106" t="s">
        <v>67</v>
      </c>
      <c r="D106" t="s">
        <v>10</v>
      </c>
      <c r="E106">
        <v>47</v>
      </c>
      <c r="F106" t="s">
        <v>11</v>
      </c>
      <c r="G106">
        <v>3</v>
      </c>
      <c r="H106" t="s">
        <v>12</v>
      </c>
    </row>
    <row r="107" spans="1:8">
      <c r="A107" t="s">
        <v>65</v>
      </c>
      <c r="B107" t="s">
        <v>66</v>
      </c>
      <c r="C107" t="s">
        <v>67</v>
      </c>
      <c r="D107" t="s">
        <v>871</v>
      </c>
      <c r="E107">
        <v>45</v>
      </c>
      <c r="F107" t="s">
        <v>11</v>
      </c>
      <c r="G107">
        <v>3</v>
      </c>
      <c r="H107" t="s">
        <v>12</v>
      </c>
    </row>
    <row r="108" spans="1:8">
      <c r="A108" t="s">
        <v>65</v>
      </c>
      <c r="B108" t="s">
        <v>66</v>
      </c>
      <c r="C108" t="s">
        <v>67</v>
      </c>
      <c r="D108" t="s">
        <v>904</v>
      </c>
      <c r="E108">
        <v>44</v>
      </c>
      <c r="F108" t="s">
        <v>11</v>
      </c>
      <c r="G108">
        <v>4</v>
      </c>
      <c r="H108" t="s">
        <v>12</v>
      </c>
    </row>
    <row r="109" spans="1:8">
      <c r="A109" t="s">
        <v>65</v>
      </c>
      <c r="B109" t="s">
        <v>68</v>
      </c>
      <c r="C109" t="s">
        <v>69</v>
      </c>
      <c r="D109" t="s">
        <v>712</v>
      </c>
      <c r="E109">
        <v>50</v>
      </c>
      <c r="F109" t="s">
        <v>11</v>
      </c>
      <c r="G109">
        <v>2</v>
      </c>
      <c r="H109" t="s">
        <v>12</v>
      </c>
    </row>
    <row r="110" spans="1:8">
      <c r="A110" t="s">
        <v>65</v>
      </c>
      <c r="B110" t="s">
        <v>68</v>
      </c>
      <c r="C110" t="s">
        <v>69</v>
      </c>
      <c r="D110" t="s">
        <v>10</v>
      </c>
      <c r="E110">
        <v>41</v>
      </c>
      <c r="F110" t="s">
        <v>11</v>
      </c>
      <c r="G110">
        <v>3</v>
      </c>
      <c r="H110" t="s">
        <v>12</v>
      </c>
    </row>
    <row r="111" spans="1:8">
      <c r="A111" t="s">
        <v>65</v>
      </c>
      <c r="B111" t="s">
        <v>68</v>
      </c>
      <c r="C111" t="s">
        <v>69</v>
      </c>
      <c r="D111" t="s">
        <v>871</v>
      </c>
      <c r="E111">
        <v>46</v>
      </c>
      <c r="F111" t="s">
        <v>11</v>
      </c>
      <c r="G111">
        <v>3</v>
      </c>
      <c r="H111" t="s">
        <v>12</v>
      </c>
    </row>
    <row r="112" spans="1:8">
      <c r="A112" t="s">
        <v>65</v>
      </c>
      <c r="B112" t="s">
        <v>68</v>
      </c>
      <c r="C112" t="s">
        <v>69</v>
      </c>
      <c r="D112" t="s">
        <v>904</v>
      </c>
      <c r="E112">
        <v>45</v>
      </c>
      <c r="F112" t="s">
        <v>11</v>
      </c>
      <c r="G112">
        <v>4</v>
      </c>
      <c r="H112" t="s">
        <v>12</v>
      </c>
    </row>
    <row r="113" spans="1:8">
      <c r="A113" t="s">
        <v>65</v>
      </c>
      <c r="B113" t="s">
        <v>70</v>
      </c>
      <c r="C113" t="s">
        <v>71</v>
      </c>
      <c r="D113" t="s">
        <v>10</v>
      </c>
      <c r="E113">
        <v>54</v>
      </c>
      <c r="F113" t="s">
        <v>11</v>
      </c>
      <c r="G113">
        <v>3</v>
      </c>
      <c r="H113" t="s">
        <v>12</v>
      </c>
    </row>
    <row r="114" spans="1:8">
      <c r="A114" t="s">
        <v>65</v>
      </c>
      <c r="B114" t="s">
        <v>70</v>
      </c>
      <c r="C114" t="s">
        <v>71</v>
      </c>
      <c r="D114" t="s">
        <v>871</v>
      </c>
      <c r="E114">
        <v>50</v>
      </c>
      <c r="F114" t="s">
        <v>11</v>
      </c>
      <c r="G114">
        <v>3</v>
      </c>
      <c r="H114" t="s">
        <v>12</v>
      </c>
    </row>
    <row r="115" spans="1:8">
      <c r="A115" t="s">
        <v>65</v>
      </c>
      <c r="B115" t="s">
        <v>70</v>
      </c>
      <c r="C115" t="s">
        <v>71</v>
      </c>
      <c r="D115" t="s">
        <v>904</v>
      </c>
      <c r="E115">
        <v>51</v>
      </c>
      <c r="F115" t="s">
        <v>11</v>
      </c>
      <c r="G115">
        <v>4</v>
      </c>
      <c r="H115" t="s">
        <v>12</v>
      </c>
    </row>
    <row r="116" spans="1:8">
      <c r="A116" t="s">
        <v>65</v>
      </c>
      <c r="B116" t="s">
        <v>72</v>
      </c>
      <c r="C116" t="s">
        <v>73</v>
      </c>
      <c r="D116" t="s">
        <v>10</v>
      </c>
      <c r="E116">
        <v>50</v>
      </c>
      <c r="F116" t="s">
        <v>11</v>
      </c>
      <c r="G116">
        <v>3</v>
      </c>
      <c r="H116" t="s">
        <v>12</v>
      </c>
    </row>
    <row r="117" spans="1:8">
      <c r="A117" t="s">
        <v>65</v>
      </c>
      <c r="B117" t="s">
        <v>72</v>
      </c>
      <c r="C117" t="s">
        <v>73</v>
      </c>
      <c r="D117" t="s">
        <v>871</v>
      </c>
      <c r="E117">
        <v>45</v>
      </c>
      <c r="F117" t="s">
        <v>11</v>
      </c>
      <c r="G117">
        <v>3</v>
      </c>
      <c r="H117" t="s">
        <v>12</v>
      </c>
    </row>
    <row r="118" spans="1:8">
      <c r="A118" t="s">
        <v>65</v>
      </c>
      <c r="B118" t="s">
        <v>72</v>
      </c>
      <c r="C118" t="s">
        <v>73</v>
      </c>
      <c r="D118" t="s">
        <v>904</v>
      </c>
      <c r="E118">
        <v>40</v>
      </c>
      <c r="F118" t="s">
        <v>11</v>
      </c>
      <c r="G118">
        <v>4</v>
      </c>
      <c r="H118" t="s">
        <v>12</v>
      </c>
    </row>
    <row r="119" spans="1:8">
      <c r="A119" t="s">
        <v>65</v>
      </c>
      <c r="B119" t="s">
        <v>72</v>
      </c>
      <c r="C119" t="s">
        <v>73</v>
      </c>
      <c r="D119" t="s">
        <v>636</v>
      </c>
      <c r="E119">
        <v>54</v>
      </c>
      <c r="F119" t="s">
        <v>11</v>
      </c>
      <c r="G119">
        <v>4</v>
      </c>
      <c r="H119" t="s">
        <v>12</v>
      </c>
    </row>
    <row r="120" spans="1:8">
      <c r="A120" t="s">
        <v>65</v>
      </c>
      <c r="B120" t="s">
        <v>74</v>
      </c>
      <c r="C120" t="s">
        <v>75</v>
      </c>
      <c r="D120" t="s">
        <v>340</v>
      </c>
      <c r="E120">
        <v>57</v>
      </c>
      <c r="F120" t="s">
        <v>11</v>
      </c>
      <c r="G120">
        <v>2</v>
      </c>
      <c r="H120" t="s">
        <v>12</v>
      </c>
    </row>
    <row r="121" spans="1:8">
      <c r="A121" t="s">
        <v>65</v>
      </c>
      <c r="B121" t="s">
        <v>74</v>
      </c>
      <c r="C121" t="s">
        <v>75</v>
      </c>
      <c r="D121" t="s">
        <v>10</v>
      </c>
      <c r="E121">
        <v>54</v>
      </c>
      <c r="F121" t="s">
        <v>11</v>
      </c>
      <c r="G121">
        <v>3</v>
      </c>
      <c r="H121" t="s">
        <v>12</v>
      </c>
    </row>
    <row r="122" spans="1:8">
      <c r="A122" t="s">
        <v>65</v>
      </c>
      <c r="B122" t="s">
        <v>74</v>
      </c>
      <c r="C122" t="s">
        <v>75</v>
      </c>
      <c r="D122" t="s">
        <v>871</v>
      </c>
      <c r="E122">
        <v>53</v>
      </c>
      <c r="F122" t="s">
        <v>11</v>
      </c>
      <c r="G122">
        <v>3</v>
      </c>
      <c r="H122" t="s">
        <v>12</v>
      </c>
    </row>
    <row r="123" spans="1:8">
      <c r="A123" t="s">
        <v>65</v>
      </c>
      <c r="B123" t="s">
        <v>74</v>
      </c>
      <c r="C123" t="s">
        <v>75</v>
      </c>
      <c r="D123" t="s">
        <v>904</v>
      </c>
      <c r="E123">
        <v>50</v>
      </c>
      <c r="F123" t="s">
        <v>11</v>
      </c>
      <c r="G123">
        <v>4</v>
      </c>
      <c r="H123" t="s">
        <v>12</v>
      </c>
    </row>
    <row r="124" spans="1:8">
      <c r="A124" t="s">
        <v>65</v>
      </c>
      <c r="B124" t="s">
        <v>74</v>
      </c>
      <c r="C124" t="s">
        <v>75</v>
      </c>
      <c r="D124" t="s">
        <v>636</v>
      </c>
      <c r="E124">
        <v>48</v>
      </c>
      <c r="F124" t="s">
        <v>11</v>
      </c>
      <c r="G124">
        <v>4</v>
      </c>
      <c r="H124" t="s">
        <v>12</v>
      </c>
    </row>
    <row r="125" spans="1:8">
      <c r="A125" t="s">
        <v>65</v>
      </c>
      <c r="B125" t="s">
        <v>689</v>
      </c>
      <c r="C125" t="s">
        <v>690</v>
      </c>
      <c r="D125" t="s">
        <v>712</v>
      </c>
      <c r="E125">
        <v>54</v>
      </c>
      <c r="F125" t="s">
        <v>11</v>
      </c>
      <c r="G125">
        <v>2</v>
      </c>
      <c r="H125" t="s">
        <v>12</v>
      </c>
    </row>
    <row r="126" spans="1:8">
      <c r="A126" t="s">
        <v>65</v>
      </c>
      <c r="B126" t="s">
        <v>689</v>
      </c>
      <c r="C126" t="s">
        <v>690</v>
      </c>
      <c r="D126" t="s">
        <v>871</v>
      </c>
      <c r="E126">
        <v>40</v>
      </c>
      <c r="F126" t="s">
        <v>11</v>
      </c>
      <c r="G126">
        <v>3</v>
      </c>
      <c r="H126" t="s">
        <v>12</v>
      </c>
    </row>
    <row r="127" spans="1:8">
      <c r="A127" t="s">
        <v>65</v>
      </c>
      <c r="B127" t="s">
        <v>689</v>
      </c>
      <c r="C127" t="s">
        <v>690</v>
      </c>
      <c r="D127" t="s">
        <v>904</v>
      </c>
      <c r="E127">
        <v>50</v>
      </c>
      <c r="F127" t="s">
        <v>11</v>
      </c>
      <c r="G127">
        <v>4</v>
      </c>
      <c r="H127" t="s">
        <v>12</v>
      </c>
    </row>
    <row r="128" spans="1:8">
      <c r="A128" t="s">
        <v>65</v>
      </c>
      <c r="B128" t="s">
        <v>689</v>
      </c>
      <c r="C128" t="s">
        <v>690</v>
      </c>
      <c r="D128" t="s">
        <v>636</v>
      </c>
      <c r="E128">
        <v>54</v>
      </c>
      <c r="F128" t="s">
        <v>11</v>
      </c>
      <c r="G128">
        <v>4</v>
      </c>
      <c r="H128" t="s">
        <v>12</v>
      </c>
    </row>
    <row r="129" spans="1:8">
      <c r="A129" t="s">
        <v>65</v>
      </c>
      <c r="B129" t="s">
        <v>719</v>
      </c>
      <c r="C129" t="s">
        <v>720</v>
      </c>
      <c r="D129" t="s">
        <v>712</v>
      </c>
      <c r="E129">
        <v>54</v>
      </c>
      <c r="F129" t="s">
        <v>11</v>
      </c>
      <c r="G129">
        <v>2</v>
      </c>
      <c r="H129" t="s">
        <v>12</v>
      </c>
    </row>
    <row r="130" spans="1:8">
      <c r="A130" t="s">
        <v>65</v>
      </c>
      <c r="B130" t="s">
        <v>719</v>
      </c>
      <c r="C130" t="s">
        <v>720</v>
      </c>
      <c r="D130" t="s">
        <v>871</v>
      </c>
      <c r="E130">
        <v>40</v>
      </c>
      <c r="F130" t="s">
        <v>11</v>
      </c>
      <c r="G130">
        <v>3</v>
      </c>
      <c r="H130" t="s">
        <v>12</v>
      </c>
    </row>
    <row r="131" spans="1:8">
      <c r="A131" t="s">
        <v>65</v>
      </c>
      <c r="B131" t="s">
        <v>719</v>
      </c>
      <c r="C131" t="s">
        <v>720</v>
      </c>
      <c r="D131" t="s">
        <v>904</v>
      </c>
      <c r="E131">
        <v>50</v>
      </c>
      <c r="F131" t="s">
        <v>11</v>
      </c>
      <c r="G131">
        <v>4</v>
      </c>
      <c r="H131" t="s">
        <v>12</v>
      </c>
    </row>
    <row r="132" spans="1:8">
      <c r="A132" t="s">
        <v>65</v>
      </c>
      <c r="B132" t="s">
        <v>691</v>
      </c>
      <c r="C132" t="s">
        <v>692</v>
      </c>
      <c r="D132" t="s">
        <v>636</v>
      </c>
      <c r="E132">
        <v>57</v>
      </c>
      <c r="F132" t="s">
        <v>11</v>
      </c>
      <c r="G132">
        <v>4</v>
      </c>
      <c r="H132" t="s">
        <v>12</v>
      </c>
    </row>
    <row r="133" spans="1:8">
      <c r="A133" t="s">
        <v>65</v>
      </c>
      <c r="B133" t="s">
        <v>76</v>
      </c>
      <c r="C133" t="s">
        <v>77</v>
      </c>
      <c r="D133" t="s">
        <v>712</v>
      </c>
      <c r="E133">
        <v>53</v>
      </c>
      <c r="F133" t="s">
        <v>11</v>
      </c>
      <c r="G133">
        <v>2</v>
      </c>
      <c r="H133" t="s">
        <v>12</v>
      </c>
    </row>
    <row r="134" spans="1:8">
      <c r="A134" t="s">
        <v>65</v>
      </c>
      <c r="B134" t="s">
        <v>76</v>
      </c>
      <c r="C134" t="s">
        <v>77</v>
      </c>
      <c r="D134" t="s">
        <v>10</v>
      </c>
      <c r="E134">
        <v>41</v>
      </c>
      <c r="F134" t="s">
        <v>11</v>
      </c>
      <c r="G134">
        <v>3</v>
      </c>
      <c r="H134" t="s">
        <v>12</v>
      </c>
    </row>
    <row r="135" spans="1:8">
      <c r="A135" t="s">
        <v>65</v>
      </c>
      <c r="B135" t="s">
        <v>76</v>
      </c>
      <c r="C135" t="s">
        <v>77</v>
      </c>
      <c r="D135" t="s">
        <v>904</v>
      </c>
      <c r="E135">
        <v>50</v>
      </c>
      <c r="F135" t="s">
        <v>11</v>
      </c>
      <c r="G135">
        <v>4</v>
      </c>
      <c r="H135" t="s">
        <v>12</v>
      </c>
    </row>
    <row r="136" spans="1:8">
      <c r="A136" t="s">
        <v>65</v>
      </c>
      <c r="B136" t="s">
        <v>721</v>
      </c>
      <c r="C136" t="s">
        <v>722</v>
      </c>
      <c r="D136" t="s">
        <v>712</v>
      </c>
      <c r="E136">
        <v>53</v>
      </c>
      <c r="F136" t="s">
        <v>11</v>
      </c>
      <c r="G136">
        <v>2</v>
      </c>
      <c r="H136" t="s">
        <v>12</v>
      </c>
    </row>
    <row r="137" spans="1:8">
      <c r="A137" t="s">
        <v>65</v>
      </c>
      <c r="B137" t="s">
        <v>489</v>
      </c>
      <c r="C137" t="s">
        <v>490</v>
      </c>
      <c r="D137" t="s">
        <v>340</v>
      </c>
      <c r="E137">
        <v>47</v>
      </c>
      <c r="F137" t="s">
        <v>11</v>
      </c>
      <c r="G137">
        <v>2</v>
      </c>
      <c r="H137" t="s">
        <v>12</v>
      </c>
    </row>
    <row r="138" spans="1:8">
      <c r="A138" t="s">
        <v>65</v>
      </c>
      <c r="B138" t="s">
        <v>723</v>
      </c>
      <c r="C138" t="s">
        <v>724</v>
      </c>
      <c r="D138" t="s">
        <v>712</v>
      </c>
      <c r="E138">
        <v>50</v>
      </c>
      <c r="F138" t="s">
        <v>11</v>
      </c>
      <c r="G138">
        <v>2</v>
      </c>
      <c r="H138" t="s">
        <v>12</v>
      </c>
    </row>
    <row r="139" spans="1:8">
      <c r="A139" t="s">
        <v>65</v>
      </c>
      <c r="B139" t="s">
        <v>723</v>
      </c>
      <c r="C139" t="s">
        <v>724</v>
      </c>
      <c r="D139" t="s">
        <v>904</v>
      </c>
      <c r="E139">
        <v>40</v>
      </c>
      <c r="F139" t="s">
        <v>11</v>
      </c>
      <c r="G139">
        <v>4</v>
      </c>
      <c r="H139" t="s">
        <v>12</v>
      </c>
    </row>
    <row r="140" spans="1:8">
      <c r="A140" t="s">
        <v>65</v>
      </c>
      <c r="B140" t="s">
        <v>78</v>
      </c>
      <c r="C140" t="s">
        <v>79</v>
      </c>
      <c r="D140" t="s">
        <v>712</v>
      </c>
      <c r="E140">
        <v>40</v>
      </c>
      <c r="F140" t="s">
        <v>11</v>
      </c>
      <c r="G140">
        <v>2</v>
      </c>
      <c r="H140" t="s">
        <v>12</v>
      </c>
    </row>
    <row r="141" spans="1:8">
      <c r="A141" t="s">
        <v>65</v>
      </c>
      <c r="B141" t="s">
        <v>78</v>
      </c>
      <c r="C141" t="s">
        <v>79</v>
      </c>
      <c r="D141" t="s">
        <v>10</v>
      </c>
      <c r="E141">
        <v>43</v>
      </c>
      <c r="F141" t="s">
        <v>11</v>
      </c>
      <c r="G141">
        <v>3</v>
      </c>
      <c r="H141" t="s">
        <v>12</v>
      </c>
    </row>
    <row r="142" spans="1:8">
      <c r="A142" t="s">
        <v>65</v>
      </c>
      <c r="B142" t="s">
        <v>78</v>
      </c>
      <c r="C142" t="s">
        <v>79</v>
      </c>
      <c r="D142" t="s">
        <v>904</v>
      </c>
      <c r="E142">
        <v>40</v>
      </c>
      <c r="F142" t="s">
        <v>11</v>
      </c>
      <c r="G142">
        <v>4</v>
      </c>
      <c r="H142" t="s">
        <v>12</v>
      </c>
    </row>
    <row r="143" spans="1:8">
      <c r="A143" t="s">
        <v>65</v>
      </c>
      <c r="B143" t="s">
        <v>78</v>
      </c>
      <c r="C143" t="s">
        <v>79</v>
      </c>
      <c r="D143" t="s">
        <v>636</v>
      </c>
      <c r="E143">
        <v>53</v>
      </c>
      <c r="F143" t="s">
        <v>11</v>
      </c>
      <c r="G143">
        <v>4</v>
      </c>
      <c r="H143" t="s">
        <v>12</v>
      </c>
    </row>
    <row r="144" spans="1:8">
      <c r="A144" t="s">
        <v>65</v>
      </c>
      <c r="B144" t="s">
        <v>725</v>
      </c>
      <c r="C144" t="s">
        <v>726</v>
      </c>
      <c r="D144" t="s">
        <v>712</v>
      </c>
      <c r="E144">
        <v>54</v>
      </c>
      <c r="F144" t="s">
        <v>11</v>
      </c>
      <c r="G144">
        <v>2</v>
      </c>
      <c r="H144" t="s">
        <v>12</v>
      </c>
    </row>
    <row r="145" spans="1:8">
      <c r="A145" t="s">
        <v>65</v>
      </c>
      <c r="B145" t="s">
        <v>725</v>
      </c>
      <c r="C145" t="s">
        <v>726</v>
      </c>
      <c r="D145" t="s">
        <v>871</v>
      </c>
      <c r="E145">
        <v>45</v>
      </c>
      <c r="F145" t="s">
        <v>11</v>
      </c>
      <c r="G145">
        <v>3</v>
      </c>
      <c r="H145" t="s">
        <v>12</v>
      </c>
    </row>
    <row r="146" spans="1:8">
      <c r="A146" t="s">
        <v>65</v>
      </c>
      <c r="B146" t="s">
        <v>725</v>
      </c>
      <c r="C146" t="s">
        <v>726</v>
      </c>
      <c r="D146" t="s">
        <v>904</v>
      </c>
      <c r="E146">
        <v>50</v>
      </c>
      <c r="F146" t="s">
        <v>11</v>
      </c>
      <c r="G146">
        <v>4</v>
      </c>
      <c r="H146" t="s">
        <v>12</v>
      </c>
    </row>
    <row r="147" spans="1:8">
      <c r="A147" t="s">
        <v>65</v>
      </c>
      <c r="B147" t="s">
        <v>872</v>
      </c>
      <c r="C147" t="s">
        <v>873</v>
      </c>
      <c r="D147" t="s">
        <v>871</v>
      </c>
      <c r="E147">
        <v>43</v>
      </c>
      <c r="F147" t="s">
        <v>11</v>
      </c>
      <c r="G147">
        <v>3</v>
      </c>
      <c r="H147" t="s">
        <v>12</v>
      </c>
    </row>
    <row r="148" spans="1:8">
      <c r="A148" t="s">
        <v>65</v>
      </c>
      <c r="B148" t="s">
        <v>872</v>
      </c>
      <c r="C148" t="s">
        <v>873</v>
      </c>
      <c r="D148" t="s">
        <v>904</v>
      </c>
      <c r="E148">
        <v>50</v>
      </c>
      <c r="F148" t="s">
        <v>11</v>
      </c>
      <c r="G148">
        <v>4</v>
      </c>
      <c r="H148" t="s">
        <v>12</v>
      </c>
    </row>
    <row r="149" spans="1:8">
      <c r="A149" t="s">
        <v>65</v>
      </c>
      <c r="B149" t="s">
        <v>727</v>
      </c>
      <c r="C149" t="s">
        <v>728</v>
      </c>
      <c r="D149" t="s">
        <v>712</v>
      </c>
      <c r="E149">
        <v>46</v>
      </c>
      <c r="F149" t="s">
        <v>11</v>
      </c>
      <c r="G149">
        <v>2</v>
      </c>
      <c r="H149" t="s">
        <v>12</v>
      </c>
    </row>
    <row r="150" spans="1:8">
      <c r="A150" t="s">
        <v>65</v>
      </c>
      <c r="B150" t="s">
        <v>727</v>
      </c>
      <c r="C150" t="s">
        <v>728</v>
      </c>
      <c r="D150" t="s">
        <v>871</v>
      </c>
      <c r="E150">
        <v>40</v>
      </c>
      <c r="F150" t="s">
        <v>11</v>
      </c>
      <c r="G150">
        <v>3</v>
      </c>
      <c r="H150" t="s">
        <v>12</v>
      </c>
    </row>
    <row r="151" spans="1:8">
      <c r="A151" t="s">
        <v>65</v>
      </c>
      <c r="B151" t="s">
        <v>727</v>
      </c>
      <c r="C151" t="s">
        <v>728</v>
      </c>
      <c r="D151" t="s">
        <v>904</v>
      </c>
      <c r="E151">
        <v>40</v>
      </c>
      <c r="F151" t="s">
        <v>11</v>
      </c>
      <c r="G151">
        <v>4</v>
      </c>
      <c r="H151" t="s">
        <v>12</v>
      </c>
    </row>
    <row r="152" spans="1:8">
      <c r="A152" t="s">
        <v>65</v>
      </c>
      <c r="B152" t="s">
        <v>80</v>
      </c>
      <c r="C152" t="s">
        <v>81</v>
      </c>
      <c r="D152" t="s">
        <v>828</v>
      </c>
      <c r="E152">
        <v>52</v>
      </c>
      <c r="F152" t="s">
        <v>11</v>
      </c>
      <c r="G152">
        <v>1</v>
      </c>
      <c r="H152" t="s">
        <v>12</v>
      </c>
    </row>
    <row r="153" spans="1:8">
      <c r="A153" t="s">
        <v>65</v>
      </c>
      <c r="B153" t="s">
        <v>80</v>
      </c>
      <c r="C153" t="s">
        <v>81</v>
      </c>
      <c r="D153" t="s">
        <v>10</v>
      </c>
      <c r="E153">
        <v>48</v>
      </c>
      <c r="F153" t="s">
        <v>11</v>
      </c>
      <c r="G153">
        <v>3</v>
      </c>
      <c r="H153" t="s">
        <v>12</v>
      </c>
    </row>
    <row r="154" spans="1:8">
      <c r="A154" t="s">
        <v>65</v>
      </c>
      <c r="B154" t="s">
        <v>80</v>
      </c>
      <c r="C154" t="s">
        <v>81</v>
      </c>
      <c r="D154" t="s">
        <v>904</v>
      </c>
      <c r="E154">
        <v>51</v>
      </c>
      <c r="F154" t="s">
        <v>11</v>
      </c>
      <c r="G154">
        <v>4</v>
      </c>
      <c r="H154" t="s">
        <v>12</v>
      </c>
    </row>
    <row r="155" spans="1:8">
      <c r="A155" t="s">
        <v>65</v>
      </c>
      <c r="B155" t="s">
        <v>80</v>
      </c>
      <c r="C155" t="s">
        <v>81</v>
      </c>
      <c r="D155" t="s">
        <v>636</v>
      </c>
      <c r="E155">
        <v>55</v>
      </c>
      <c r="F155" t="s">
        <v>11</v>
      </c>
      <c r="G155">
        <v>4</v>
      </c>
      <c r="H155" t="s">
        <v>12</v>
      </c>
    </row>
    <row r="156" spans="1:8">
      <c r="A156" t="s">
        <v>65</v>
      </c>
      <c r="B156" t="s">
        <v>82</v>
      </c>
      <c r="C156" t="s">
        <v>83</v>
      </c>
      <c r="D156" t="s">
        <v>712</v>
      </c>
      <c r="E156">
        <v>36</v>
      </c>
      <c r="F156" t="s">
        <v>11</v>
      </c>
      <c r="G156">
        <v>2</v>
      </c>
      <c r="H156" t="s">
        <v>12</v>
      </c>
    </row>
    <row r="157" spans="1:8">
      <c r="A157" t="s">
        <v>65</v>
      </c>
      <c r="B157" t="s">
        <v>82</v>
      </c>
      <c r="C157" t="s">
        <v>83</v>
      </c>
      <c r="D157" t="s">
        <v>10</v>
      </c>
      <c r="E157">
        <v>31</v>
      </c>
      <c r="F157" t="s">
        <v>11</v>
      </c>
      <c r="G157">
        <v>3</v>
      </c>
      <c r="H157" t="s">
        <v>12</v>
      </c>
    </row>
    <row r="158" spans="1:8">
      <c r="A158" t="s">
        <v>335</v>
      </c>
      <c r="B158" t="s">
        <v>387</v>
      </c>
      <c r="C158" t="s">
        <v>388</v>
      </c>
      <c r="D158" t="s">
        <v>340</v>
      </c>
      <c r="E158">
        <v>56</v>
      </c>
      <c r="F158" t="s">
        <v>11</v>
      </c>
      <c r="G158">
        <v>2</v>
      </c>
      <c r="H158" t="s">
        <v>12</v>
      </c>
    </row>
    <row r="159" spans="1:8">
      <c r="A159" t="s">
        <v>335</v>
      </c>
      <c r="B159" t="s">
        <v>387</v>
      </c>
      <c r="C159" t="s">
        <v>388</v>
      </c>
      <c r="D159" t="s">
        <v>920</v>
      </c>
      <c r="E159">
        <v>52</v>
      </c>
      <c r="F159" t="s">
        <v>11</v>
      </c>
      <c r="G159">
        <v>3</v>
      </c>
      <c r="H159" t="s">
        <v>12</v>
      </c>
    </row>
    <row r="160" spans="1:8">
      <c r="A160" t="s">
        <v>335</v>
      </c>
      <c r="B160" t="s">
        <v>387</v>
      </c>
      <c r="C160" t="s">
        <v>388</v>
      </c>
      <c r="D160" t="s">
        <v>636</v>
      </c>
      <c r="E160">
        <v>53</v>
      </c>
      <c r="F160" t="s">
        <v>11</v>
      </c>
      <c r="G160">
        <v>3</v>
      </c>
      <c r="H160" t="s">
        <v>12</v>
      </c>
    </row>
    <row r="161" spans="1:8">
      <c r="A161" t="s">
        <v>335</v>
      </c>
      <c r="B161" t="s">
        <v>389</v>
      </c>
      <c r="C161" t="s">
        <v>390</v>
      </c>
      <c r="D161" t="s">
        <v>340</v>
      </c>
      <c r="E161">
        <v>55</v>
      </c>
      <c r="F161" t="s">
        <v>11</v>
      </c>
      <c r="G161">
        <v>2</v>
      </c>
      <c r="H161" t="s">
        <v>12</v>
      </c>
    </row>
    <row r="162" spans="1:8">
      <c r="A162" t="s">
        <v>335</v>
      </c>
      <c r="B162" t="s">
        <v>391</v>
      </c>
      <c r="C162" t="s">
        <v>392</v>
      </c>
      <c r="D162" t="s">
        <v>340</v>
      </c>
      <c r="E162">
        <v>43</v>
      </c>
      <c r="F162" t="s">
        <v>11</v>
      </c>
      <c r="G162">
        <v>2</v>
      </c>
      <c r="H162" t="s">
        <v>12</v>
      </c>
    </row>
    <row r="163" spans="1:8">
      <c r="A163" t="s">
        <v>335</v>
      </c>
      <c r="B163" t="s">
        <v>391</v>
      </c>
      <c r="C163" t="s">
        <v>392</v>
      </c>
      <c r="D163" t="s">
        <v>636</v>
      </c>
      <c r="E163">
        <v>40</v>
      </c>
      <c r="F163" t="s">
        <v>11</v>
      </c>
      <c r="G163">
        <v>3</v>
      </c>
      <c r="H163" t="s">
        <v>12</v>
      </c>
    </row>
    <row r="164" spans="1:8">
      <c r="A164" t="s">
        <v>335</v>
      </c>
      <c r="B164" t="s">
        <v>393</v>
      </c>
      <c r="C164" t="s">
        <v>394</v>
      </c>
      <c r="D164" t="s">
        <v>340</v>
      </c>
      <c r="E164">
        <v>51</v>
      </c>
      <c r="F164" t="s">
        <v>11</v>
      </c>
      <c r="G164">
        <v>2</v>
      </c>
      <c r="H164" t="s">
        <v>12</v>
      </c>
    </row>
    <row r="165" spans="1:8">
      <c r="A165" t="s">
        <v>335</v>
      </c>
      <c r="B165" t="s">
        <v>393</v>
      </c>
      <c r="C165" t="s">
        <v>394</v>
      </c>
      <c r="D165" t="s">
        <v>636</v>
      </c>
      <c r="E165">
        <v>42</v>
      </c>
      <c r="F165" t="s">
        <v>11</v>
      </c>
      <c r="G165">
        <v>3</v>
      </c>
      <c r="H165" t="s">
        <v>12</v>
      </c>
    </row>
    <row r="166" spans="1:8">
      <c r="A166" t="s">
        <v>335</v>
      </c>
      <c r="B166" t="s">
        <v>395</v>
      </c>
      <c r="C166" t="s">
        <v>396</v>
      </c>
      <c r="D166" t="s">
        <v>340</v>
      </c>
      <c r="E166">
        <v>40</v>
      </c>
      <c r="F166" t="s">
        <v>11</v>
      </c>
      <c r="G166">
        <v>2</v>
      </c>
      <c r="H166" t="s">
        <v>12</v>
      </c>
    </row>
    <row r="167" spans="1:8">
      <c r="A167" t="s">
        <v>335</v>
      </c>
      <c r="B167" t="s">
        <v>395</v>
      </c>
      <c r="C167" t="s">
        <v>396</v>
      </c>
      <c r="D167" t="s">
        <v>920</v>
      </c>
      <c r="E167">
        <v>43</v>
      </c>
      <c r="F167" t="s">
        <v>11</v>
      </c>
      <c r="G167">
        <v>3</v>
      </c>
      <c r="H167" t="s">
        <v>12</v>
      </c>
    </row>
    <row r="168" spans="1:8">
      <c r="A168" t="s">
        <v>335</v>
      </c>
      <c r="B168" t="s">
        <v>397</v>
      </c>
      <c r="C168" t="s">
        <v>398</v>
      </c>
      <c r="D168" t="s">
        <v>340</v>
      </c>
      <c r="E168">
        <v>55</v>
      </c>
      <c r="F168" t="s">
        <v>11</v>
      </c>
      <c r="G168">
        <v>2</v>
      </c>
      <c r="H168" t="s">
        <v>12</v>
      </c>
    </row>
    <row r="169" spans="1:8">
      <c r="A169" t="s">
        <v>335</v>
      </c>
      <c r="B169" t="s">
        <v>397</v>
      </c>
      <c r="C169" t="s">
        <v>398</v>
      </c>
      <c r="D169" t="s">
        <v>636</v>
      </c>
      <c r="E169">
        <v>53</v>
      </c>
      <c r="F169" t="s">
        <v>11</v>
      </c>
      <c r="G169">
        <v>3</v>
      </c>
      <c r="H169" t="s">
        <v>12</v>
      </c>
    </row>
    <row r="170" spans="1:8">
      <c r="A170" t="s">
        <v>335</v>
      </c>
      <c r="B170" t="s">
        <v>659</v>
      </c>
      <c r="C170" t="s">
        <v>660</v>
      </c>
      <c r="D170" t="s">
        <v>702</v>
      </c>
      <c r="E170">
        <v>58</v>
      </c>
      <c r="F170" t="s">
        <v>11</v>
      </c>
      <c r="G170">
        <v>2</v>
      </c>
      <c r="H170" t="s">
        <v>12</v>
      </c>
    </row>
    <row r="171" spans="1:8">
      <c r="A171" t="s">
        <v>335</v>
      </c>
      <c r="B171" t="s">
        <v>659</v>
      </c>
      <c r="C171" t="s">
        <v>660</v>
      </c>
      <c r="D171" t="s">
        <v>920</v>
      </c>
      <c r="E171">
        <v>48</v>
      </c>
      <c r="F171" t="s">
        <v>11</v>
      </c>
      <c r="G171">
        <v>3</v>
      </c>
      <c r="H171" t="s">
        <v>12</v>
      </c>
    </row>
    <row r="172" spans="1:8">
      <c r="A172" t="s">
        <v>335</v>
      </c>
      <c r="B172" t="s">
        <v>659</v>
      </c>
      <c r="C172" t="s">
        <v>660</v>
      </c>
      <c r="D172" t="s">
        <v>636</v>
      </c>
      <c r="E172">
        <v>42</v>
      </c>
      <c r="F172" t="s">
        <v>11</v>
      </c>
      <c r="G172">
        <v>3</v>
      </c>
      <c r="H172" t="s">
        <v>12</v>
      </c>
    </row>
    <row r="173" spans="1:8">
      <c r="A173" t="s">
        <v>335</v>
      </c>
      <c r="B173" t="s">
        <v>399</v>
      </c>
      <c r="C173" t="s">
        <v>400</v>
      </c>
      <c r="D173" t="s">
        <v>702</v>
      </c>
      <c r="E173">
        <v>57</v>
      </c>
      <c r="F173" t="s">
        <v>11</v>
      </c>
      <c r="G173">
        <v>2</v>
      </c>
      <c r="H173" t="s">
        <v>12</v>
      </c>
    </row>
    <row r="174" spans="1:8">
      <c r="A174" t="s">
        <v>335</v>
      </c>
      <c r="B174" t="s">
        <v>399</v>
      </c>
      <c r="C174" t="s">
        <v>400</v>
      </c>
      <c r="D174" t="s">
        <v>340</v>
      </c>
      <c r="E174">
        <v>54</v>
      </c>
      <c r="F174" t="s">
        <v>11</v>
      </c>
      <c r="G174">
        <v>2</v>
      </c>
      <c r="H174" t="s">
        <v>12</v>
      </c>
    </row>
    <row r="175" spans="1:8">
      <c r="A175" t="s">
        <v>335</v>
      </c>
      <c r="B175" t="s">
        <v>661</v>
      </c>
      <c r="C175" t="s">
        <v>662</v>
      </c>
      <c r="D175" t="s">
        <v>920</v>
      </c>
      <c r="E175">
        <v>47</v>
      </c>
      <c r="F175" t="s">
        <v>11</v>
      </c>
      <c r="G175">
        <v>3</v>
      </c>
      <c r="H175" t="s">
        <v>12</v>
      </c>
    </row>
    <row r="176" spans="1:8">
      <c r="A176" t="s">
        <v>335</v>
      </c>
      <c r="B176" t="s">
        <v>661</v>
      </c>
      <c r="C176" t="s">
        <v>662</v>
      </c>
      <c r="D176" t="s">
        <v>636</v>
      </c>
      <c r="E176">
        <v>59</v>
      </c>
      <c r="F176" t="s">
        <v>11</v>
      </c>
      <c r="G176">
        <v>3</v>
      </c>
      <c r="H176" t="s">
        <v>12</v>
      </c>
    </row>
    <row r="177" spans="1:8">
      <c r="A177" t="s">
        <v>335</v>
      </c>
      <c r="B177" t="s">
        <v>401</v>
      </c>
      <c r="C177" t="s">
        <v>402</v>
      </c>
      <c r="D177" t="s">
        <v>340</v>
      </c>
      <c r="E177">
        <v>40</v>
      </c>
      <c r="F177" t="s">
        <v>11</v>
      </c>
      <c r="G177">
        <v>2</v>
      </c>
      <c r="H177" t="s">
        <v>12</v>
      </c>
    </row>
    <row r="178" spans="1:8">
      <c r="A178" t="s">
        <v>335</v>
      </c>
      <c r="B178" t="s">
        <v>401</v>
      </c>
      <c r="C178" t="s">
        <v>402</v>
      </c>
      <c r="D178" t="s">
        <v>636</v>
      </c>
      <c r="E178">
        <v>49</v>
      </c>
      <c r="F178" t="s">
        <v>11</v>
      </c>
      <c r="G178">
        <v>3</v>
      </c>
      <c r="H178" t="s">
        <v>12</v>
      </c>
    </row>
    <row r="179" spans="1:8">
      <c r="A179" t="s">
        <v>335</v>
      </c>
      <c r="B179" t="s">
        <v>663</v>
      </c>
      <c r="C179" t="s">
        <v>664</v>
      </c>
      <c r="D179" t="s">
        <v>793</v>
      </c>
      <c r="E179">
        <v>52</v>
      </c>
      <c r="F179" t="s">
        <v>11</v>
      </c>
      <c r="G179">
        <v>1</v>
      </c>
      <c r="H179" t="s">
        <v>12</v>
      </c>
    </row>
    <row r="180" spans="1:8">
      <c r="A180" t="s">
        <v>335</v>
      </c>
      <c r="B180" t="s">
        <v>663</v>
      </c>
      <c r="C180" t="s">
        <v>664</v>
      </c>
      <c r="D180" t="s">
        <v>636</v>
      </c>
      <c r="E180">
        <v>41</v>
      </c>
      <c r="F180" t="s">
        <v>11</v>
      </c>
      <c r="G180">
        <v>3</v>
      </c>
      <c r="H180" t="s">
        <v>12</v>
      </c>
    </row>
    <row r="181" spans="1:8">
      <c r="A181" t="s">
        <v>335</v>
      </c>
      <c r="B181" t="s">
        <v>665</v>
      </c>
      <c r="C181" t="s">
        <v>666</v>
      </c>
      <c r="D181" t="s">
        <v>636</v>
      </c>
      <c r="E181">
        <v>45</v>
      </c>
      <c r="F181" t="s">
        <v>11</v>
      </c>
      <c r="G181">
        <v>3</v>
      </c>
      <c r="H181" t="s">
        <v>12</v>
      </c>
    </row>
    <row r="182" spans="1:8">
      <c r="A182" t="s">
        <v>335</v>
      </c>
      <c r="B182" t="s">
        <v>403</v>
      </c>
      <c r="C182" t="s">
        <v>404</v>
      </c>
      <c r="D182" t="s">
        <v>340</v>
      </c>
      <c r="E182">
        <v>40</v>
      </c>
      <c r="F182" t="s">
        <v>11</v>
      </c>
      <c r="G182">
        <v>2</v>
      </c>
      <c r="H182" t="s">
        <v>12</v>
      </c>
    </row>
    <row r="183" spans="1:8">
      <c r="A183" t="s">
        <v>335</v>
      </c>
      <c r="B183" t="s">
        <v>403</v>
      </c>
      <c r="C183" t="s">
        <v>404</v>
      </c>
      <c r="D183" t="s">
        <v>636</v>
      </c>
      <c r="E183">
        <v>40</v>
      </c>
      <c r="F183" t="s">
        <v>11</v>
      </c>
      <c r="G183">
        <v>3</v>
      </c>
      <c r="H183" t="s">
        <v>12</v>
      </c>
    </row>
    <row r="184" spans="1:8">
      <c r="A184" t="s">
        <v>335</v>
      </c>
      <c r="B184" t="s">
        <v>405</v>
      </c>
      <c r="C184" t="s">
        <v>406</v>
      </c>
      <c r="D184" t="s">
        <v>340</v>
      </c>
      <c r="E184">
        <v>40</v>
      </c>
      <c r="F184" t="s">
        <v>11</v>
      </c>
      <c r="G184">
        <v>2</v>
      </c>
      <c r="H184" t="s">
        <v>12</v>
      </c>
    </row>
    <row r="185" spans="1:8">
      <c r="A185" t="s">
        <v>335</v>
      </c>
      <c r="B185" t="s">
        <v>405</v>
      </c>
      <c r="C185" t="s">
        <v>406</v>
      </c>
      <c r="D185" t="s">
        <v>636</v>
      </c>
      <c r="E185">
        <v>40</v>
      </c>
      <c r="F185" t="s">
        <v>11</v>
      </c>
      <c r="G185">
        <v>3</v>
      </c>
      <c r="H185" t="s">
        <v>12</v>
      </c>
    </row>
    <row r="186" spans="1:8">
      <c r="A186" t="s">
        <v>335</v>
      </c>
      <c r="B186" t="s">
        <v>407</v>
      </c>
      <c r="C186" t="s">
        <v>408</v>
      </c>
      <c r="D186" t="s">
        <v>340</v>
      </c>
      <c r="E186">
        <v>55</v>
      </c>
      <c r="F186" t="s">
        <v>11</v>
      </c>
      <c r="G186">
        <v>2</v>
      </c>
      <c r="H186" t="s">
        <v>12</v>
      </c>
    </row>
    <row r="187" spans="1:8">
      <c r="A187" t="s">
        <v>335</v>
      </c>
      <c r="B187" t="s">
        <v>409</v>
      </c>
      <c r="C187" t="s">
        <v>410</v>
      </c>
      <c r="D187" t="s">
        <v>340</v>
      </c>
      <c r="E187">
        <v>48</v>
      </c>
      <c r="F187" t="s">
        <v>11</v>
      </c>
      <c r="G187">
        <v>2</v>
      </c>
      <c r="H187" t="s">
        <v>12</v>
      </c>
    </row>
    <row r="188" spans="1:8">
      <c r="A188" t="s">
        <v>335</v>
      </c>
      <c r="B188" t="s">
        <v>336</v>
      </c>
      <c r="C188" t="s">
        <v>337</v>
      </c>
      <c r="D188" t="s">
        <v>340</v>
      </c>
      <c r="E188">
        <v>46</v>
      </c>
      <c r="F188" t="s">
        <v>11</v>
      </c>
      <c r="G188">
        <v>2</v>
      </c>
      <c r="H188" t="s">
        <v>12</v>
      </c>
    </row>
    <row r="189" spans="1:8">
      <c r="A189" t="s">
        <v>335</v>
      </c>
      <c r="B189" t="s">
        <v>336</v>
      </c>
      <c r="C189" t="s">
        <v>337</v>
      </c>
      <c r="D189" t="s">
        <v>10</v>
      </c>
      <c r="E189">
        <v>56</v>
      </c>
      <c r="F189" t="s">
        <v>11</v>
      </c>
      <c r="G189">
        <v>3</v>
      </c>
      <c r="H189" t="s">
        <v>12</v>
      </c>
    </row>
    <row r="190" spans="1:8">
      <c r="A190" t="s">
        <v>335</v>
      </c>
      <c r="B190" t="s">
        <v>336</v>
      </c>
      <c r="C190" t="s">
        <v>337</v>
      </c>
      <c r="D190" t="s">
        <v>920</v>
      </c>
      <c r="E190">
        <v>46</v>
      </c>
      <c r="F190" t="s">
        <v>11</v>
      </c>
      <c r="G190">
        <v>3</v>
      </c>
      <c r="H190" t="s">
        <v>12</v>
      </c>
    </row>
    <row r="191" spans="1:8">
      <c r="A191" t="s">
        <v>234</v>
      </c>
      <c r="B191" t="s">
        <v>918</v>
      </c>
      <c r="C191" t="s">
        <v>919</v>
      </c>
      <c r="D191" t="s">
        <v>920</v>
      </c>
      <c r="E191">
        <v>42</v>
      </c>
      <c r="F191" t="s">
        <v>11</v>
      </c>
      <c r="G191">
        <v>3</v>
      </c>
      <c r="H191" t="s">
        <v>12</v>
      </c>
    </row>
    <row r="192" spans="1:8">
      <c r="A192" t="s">
        <v>234</v>
      </c>
      <c r="B192" t="s">
        <v>614</v>
      </c>
      <c r="C192" t="s">
        <v>615</v>
      </c>
      <c r="D192" t="s">
        <v>920</v>
      </c>
      <c r="E192">
        <v>40</v>
      </c>
      <c r="F192" t="s">
        <v>11</v>
      </c>
      <c r="G192">
        <v>3</v>
      </c>
      <c r="H192" t="s">
        <v>12</v>
      </c>
    </row>
    <row r="193" spans="1:8">
      <c r="A193" t="s">
        <v>234</v>
      </c>
      <c r="B193" t="s">
        <v>616</v>
      </c>
      <c r="C193" t="s">
        <v>617</v>
      </c>
      <c r="D193" t="s">
        <v>793</v>
      </c>
      <c r="E193">
        <v>50</v>
      </c>
      <c r="F193" t="s">
        <v>11</v>
      </c>
      <c r="G193">
        <v>1</v>
      </c>
      <c r="H193" t="s">
        <v>12</v>
      </c>
    </row>
    <row r="194" spans="1:8">
      <c r="A194" t="s">
        <v>234</v>
      </c>
      <c r="B194" t="s">
        <v>643</v>
      </c>
      <c r="C194" t="s">
        <v>644</v>
      </c>
      <c r="D194" t="s">
        <v>636</v>
      </c>
      <c r="E194">
        <v>51</v>
      </c>
      <c r="F194" t="s">
        <v>11</v>
      </c>
      <c r="G194">
        <v>3</v>
      </c>
      <c r="H194" t="s">
        <v>12</v>
      </c>
    </row>
    <row r="195" spans="1:8">
      <c r="A195" t="s">
        <v>234</v>
      </c>
      <c r="B195" t="s">
        <v>921</v>
      </c>
      <c r="C195" t="s">
        <v>922</v>
      </c>
      <c r="D195" t="s">
        <v>920</v>
      </c>
      <c r="E195">
        <v>47</v>
      </c>
      <c r="F195" t="s">
        <v>11</v>
      </c>
      <c r="G195">
        <v>3</v>
      </c>
      <c r="H195" t="s">
        <v>12</v>
      </c>
    </row>
    <row r="196" spans="1:8">
      <c r="A196" t="s">
        <v>234</v>
      </c>
      <c r="B196" t="s">
        <v>645</v>
      </c>
      <c r="C196" t="s">
        <v>646</v>
      </c>
      <c r="D196" t="s">
        <v>636</v>
      </c>
      <c r="E196">
        <v>58</v>
      </c>
      <c r="F196" t="s">
        <v>11</v>
      </c>
      <c r="G196">
        <v>3</v>
      </c>
      <c r="H196" t="s">
        <v>12</v>
      </c>
    </row>
    <row r="197" spans="1:8">
      <c r="A197" t="s">
        <v>234</v>
      </c>
      <c r="B197" t="s">
        <v>647</v>
      </c>
      <c r="C197" t="s">
        <v>648</v>
      </c>
      <c r="D197" t="s">
        <v>636</v>
      </c>
      <c r="E197">
        <v>42</v>
      </c>
      <c r="F197" t="s">
        <v>11</v>
      </c>
      <c r="G197">
        <v>3</v>
      </c>
      <c r="H197" t="s">
        <v>12</v>
      </c>
    </row>
    <row r="198" spans="1:8">
      <c r="A198" t="s">
        <v>234</v>
      </c>
      <c r="B198" t="s">
        <v>649</v>
      </c>
      <c r="C198" t="s">
        <v>650</v>
      </c>
      <c r="D198" t="s">
        <v>636</v>
      </c>
      <c r="E198">
        <v>57</v>
      </c>
      <c r="F198" t="s">
        <v>11</v>
      </c>
      <c r="G198">
        <v>3</v>
      </c>
      <c r="H198" t="s">
        <v>12</v>
      </c>
    </row>
    <row r="199" spans="1:8">
      <c r="A199" t="s">
        <v>234</v>
      </c>
      <c r="B199" t="s">
        <v>651</v>
      </c>
      <c r="C199" t="s">
        <v>652</v>
      </c>
      <c r="D199" t="s">
        <v>636</v>
      </c>
      <c r="E199">
        <v>58</v>
      </c>
      <c r="F199" t="s">
        <v>11</v>
      </c>
      <c r="G199">
        <v>3</v>
      </c>
      <c r="H199" t="s">
        <v>12</v>
      </c>
    </row>
    <row r="200" spans="1:8">
      <c r="A200" t="s">
        <v>234</v>
      </c>
      <c r="B200" t="s">
        <v>235</v>
      </c>
      <c r="C200" t="s">
        <v>236</v>
      </c>
      <c r="D200" t="s">
        <v>340</v>
      </c>
      <c r="E200">
        <v>55</v>
      </c>
      <c r="F200" t="s">
        <v>11</v>
      </c>
      <c r="G200">
        <v>2</v>
      </c>
      <c r="H200" t="s">
        <v>12</v>
      </c>
    </row>
    <row r="201" spans="1:8">
      <c r="A201" t="s">
        <v>234</v>
      </c>
      <c r="B201" t="s">
        <v>235</v>
      </c>
      <c r="C201" t="s">
        <v>236</v>
      </c>
      <c r="D201" t="s">
        <v>10</v>
      </c>
      <c r="E201">
        <v>55</v>
      </c>
      <c r="F201" t="s">
        <v>11</v>
      </c>
      <c r="G201">
        <v>3</v>
      </c>
      <c r="H201" t="s">
        <v>12</v>
      </c>
    </row>
    <row r="202" spans="1:8">
      <c r="A202" t="s">
        <v>234</v>
      </c>
      <c r="B202" t="s">
        <v>235</v>
      </c>
      <c r="C202" t="s">
        <v>236</v>
      </c>
      <c r="D202" t="s">
        <v>636</v>
      </c>
      <c r="E202">
        <v>53</v>
      </c>
      <c r="F202" t="s">
        <v>11</v>
      </c>
      <c r="G202">
        <v>3</v>
      </c>
      <c r="H202" t="s">
        <v>12</v>
      </c>
    </row>
    <row r="203" spans="1:8">
      <c r="A203" t="s">
        <v>234</v>
      </c>
      <c r="B203" t="s">
        <v>653</v>
      </c>
      <c r="C203" t="s">
        <v>654</v>
      </c>
      <c r="D203" t="s">
        <v>636</v>
      </c>
      <c r="E203">
        <v>56</v>
      </c>
      <c r="F203" t="s">
        <v>11</v>
      </c>
      <c r="G203">
        <v>3</v>
      </c>
      <c r="H203" t="s">
        <v>12</v>
      </c>
    </row>
    <row r="204" spans="1:8">
      <c r="A204" t="s">
        <v>234</v>
      </c>
      <c r="B204" t="s">
        <v>237</v>
      </c>
      <c r="C204" t="s">
        <v>238</v>
      </c>
      <c r="D204" t="s">
        <v>340</v>
      </c>
      <c r="E204">
        <v>53</v>
      </c>
      <c r="F204" t="s">
        <v>11</v>
      </c>
      <c r="G204">
        <v>2</v>
      </c>
      <c r="H204" t="s">
        <v>12</v>
      </c>
    </row>
    <row r="205" spans="1:8">
      <c r="A205" t="s">
        <v>234</v>
      </c>
      <c r="B205" t="s">
        <v>237</v>
      </c>
      <c r="C205" t="s">
        <v>238</v>
      </c>
      <c r="D205" t="s">
        <v>10</v>
      </c>
      <c r="E205">
        <v>50</v>
      </c>
      <c r="F205" t="s">
        <v>11</v>
      </c>
      <c r="G205">
        <v>3</v>
      </c>
      <c r="H205" t="s">
        <v>12</v>
      </c>
    </row>
    <row r="206" spans="1:8">
      <c r="A206" t="s">
        <v>234</v>
      </c>
      <c r="B206" t="s">
        <v>655</v>
      </c>
      <c r="C206" t="s">
        <v>656</v>
      </c>
      <c r="D206" t="s">
        <v>920</v>
      </c>
      <c r="E206">
        <v>49</v>
      </c>
      <c r="F206" t="s">
        <v>11</v>
      </c>
      <c r="G206">
        <v>3</v>
      </c>
      <c r="H206" t="s">
        <v>12</v>
      </c>
    </row>
    <row r="207" spans="1:8">
      <c r="A207" t="s">
        <v>234</v>
      </c>
      <c r="B207" t="s">
        <v>655</v>
      </c>
      <c r="C207" t="s">
        <v>656</v>
      </c>
      <c r="D207" t="s">
        <v>636</v>
      </c>
      <c r="E207">
        <v>47</v>
      </c>
      <c r="F207" t="s">
        <v>11</v>
      </c>
      <c r="G207">
        <v>3</v>
      </c>
      <c r="H207" t="s">
        <v>12</v>
      </c>
    </row>
    <row r="208" spans="1:8">
      <c r="A208" t="s">
        <v>234</v>
      </c>
      <c r="B208" t="s">
        <v>479</v>
      </c>
      <c r="C208" t="s">
        <v>480</v>
      </c>
      <c r="D208" t="s">
        <v>340</v>
      </c>
      <c r="E208">
        <v>41</v>
      </c>
      <c r="F208" t="s">
        <v>11</v>
      </c>
      <c r="G208">
        <v>2</v>
      </c>
      <c r="H208" t="s">
        <v>12</v>
      </c>
    </row>
    <row r="209" spans="1:8">
      <c r="A209" t="s">
        <v>234</v>
      </c>
      <c r="B209" t="s">
        <v>657</v>
      </c>
      <c r="C209" t="s">
        <v>658</v>
      </c>
      <c r="D209" t="s">
        <v>636</v>
      </c>
      <c r="E209">
        <v>44</v>
      </c>
      <c r="F209" t="s">
        <v>11</v>
      </c>
      <c r="G209">
        <v>3</v>
      </c>
      <c r="H209" t="s">
        <v>12</v>
      </c>
    </row>
    <row r="210" spans="1:8">
      <c r="A210" t="s">
        <v>158</v>
      </c>
      <c r="B210" t="s">
        <v>876</v>
      </c>
      <c r="C210" t="s">
        <v>877</v>
      </c>
      <c r="D210" t="s">
        <v>871</v>
      </c>
      <c r="E210">
        <v>49</v>
      </c>
      <c r="F210" t="s">
        <v>11</v>
      </c>
      <c r="G210">
        <v>3</v>
      </c>
      <c r="H210" t="s">
        <v>12</v>
      </c>
    </row>
    <row r="211" spans="1:8">
      <c r="A211" t="s">
        <v>158</v>
      </c>
      <c r="B211" t="s">
        <v>878</v>
      </c>
      <c r="C211" t="s">
        <v>879</v>
      </c>
      <c r="D211" t="s">
        <v>871</v>
      </c>
      <c r="E211">
        <v>44</v>
      </c>
      <c r="F211" t="s">
        <v>11</v>
      </c>
      <c r="G211">
        <v>3</v>
      </c>
      <c r="H211" t="s">
        <v>12</v>
      </c>
    </row>
    <row r="212" spans="1:8">
      <c r="A212" t="s">
        <v>158</v>
      </c>
      <c r="B212" t="s">
        <v>507</v>
      </c>
      <c r="C212" t="s">
        <v>508</v>
      </c>
      <c r="D212" t="s">
        <v>340</v>
      </c>
      <c r="E212">
        <v>43</v>
      </c>
      <c r="F212" t="s">
        <v>11</v>
      </c>
      <c r="G212">
        <v>2</v>
      </c>
      <c r="H212" t="s">
        <v>12</v>
      </c>
    </row>
    <row r="213" spans="1:8">
      <c r="A213" t="s">
        <v>158</v>
      </c>
      <c r="B213" t="s">
        <v>507</v>
      </c>
      <c r="C213" t="s">
        <v>508</v>
      </c>
      <c r="D213" t="s">
        <v>907</v>
      </c>
      <c r="E213">
        <v>40</v>
      </c>
      <c r="F213" t="s">
        <v>11</v>
      </c>
      <c r="G213">
        <v>2</v>
      </c>
      <c r="H213" t="s">
        <v>12</v>
      </c>
    </row>
    <row r="214" spans="1:8">
      <c r="A214" t="s">
        <v>158</v>
      </c>
      <c r="B214" t="s">
        <v>509</v>
      </c>
      <c r="C214" t="s">
        <v>510</v>
      </c>
      <c r="D214" t="s">
        <v>340</v>
      </c>
      <c r="E214">
        <v>53</v>
      </c>
      <c r="F214" t="s">
        <v>11</v>
      </c>
      <c r="G214">
        <v>2</v>
      </c>
      <c r="H214" t="s">
        <v>12</v>
      </c>
    </row>
    <row r="215" spans="1:8">
      <c r="A215" t="s">
        <v>158</v>
      </c>
      <c r="B215" t="s">
        <v>880</v>
      </c>
      <c r="C215" t="s">
        <v>881</v>
      </c>
      <c r="D215" t="s">
        <v>871</v>
      </c>
      <c r="E215">
        <v>53</v>
      </c>
      <c r="F215" t="s">
        <v>11</v>
      </c>
      <c r="G215">
        <v>3</v>
      </c>
      <c r="H215" t="s">
        <v>12</v>
      </c>
    </row>
    <row r="216" spans="1:8">
      <c r="A216" t="s">
        <v>158</v>
      </c>
      <c r="B216" t="s">
        <v>637</v>
      </c>
      <c r="C216" t="s">
        <v>638</v>
      </c>
      <c r="D216" t="s">
        <v>871</v>
      </c>
      <c r="E216">
        <v>56</v>
      </c>
      <c r="F216" t="s">
        <v>11</v>
      </c>
      <c r="G216">
        <v>3</v>
      </c>
      <c r="H216" t="s">
        <v>12</v>
      </c>
    </row>
    <row r="217" spans="1:8">
      <c r="A217" t="s">
        <v>158</v>
      </c>
      <c r="B217" t="s">
        <v>637</v>
      </c>
      <c r="C217" t="s">
        <v>638</v>
      </c>
      <c r="D217" t="s">
        <v>636</v>
      </c>
      <c r="E217">
        <v>45</v>
      </c>
      <c r="F217" t="s">
        <v>11</v>
      </c>
      <c r="G217">
        <v>4</v>
      </c>
      <c r="H217" t="s">
        <v>12</v>
      </c>
    </row>
    <row r="218" spans="1:8">
      <c r="A218" t="s">
        <v>158</v>
      </c>
      <c r="B218" t="s">
        <v>639</v>
      </c>
      <c r="C218" t="s">
        <v>640</v>
      </c>
      <c r="D218" t="s">
        <v>907</v>
      </c>
      <c r="E218">
        <v>42</v>
      </c>
      <c r="F218" t="s">
        <v>11</v>
      </c>
      <c r="G218">
        <v>2</v>
      </c>
      <c r="H218" t="s">
        <v>12</v>
      </c>
    </row>
    <row r="219" spans="1:8">
      <c r="A219" t="s">
        <v>158</v>
      </c>
      <c r="B219" t="s">
        <v>639</v>
      </c>
      <c r="C219" t="s">
        <v>640</v>
      </c>
      <c r="D219" t="s">
        <v>636</v>
      </c>
      <c r="E219">
        <v>40</v>
      </c>
      <c r="F219" t="s">
        <v>11</v>
      </c>
      <c r="G219">
        <v>4</v>
      </c>
      <c r="H219" t="s">
        <v>12</v>
      </c>
    </row>
    <row r="220" spans="1:8">
      <c r="A220" t="s">
        <v>158</v>
      </c>
      <c r="B220" t="s">
        <v>626</v>
      </c>
      <c r="C220" t="s">
        <v>627</v>
      </c>
      <c r="D220" t="s">
        <v>871</v>
      </c>
      <c r="E220">
        <v>43</v>
      </c>
      <c r="F220" t="s">
        <v>11</v>
      </c>
      <c r="G220">
        <v>3</v>
      </c>
      <c r="H220" t="s">
        <v>12</v>
      </c>
    </row>
    <row r="221" spans="1:8">
      <c r="A221" t="s">
        <v>158</v>
      </c>
      <c r="B221" t="s">
        <v>159</v>
      </c>
      <c r="C221" t="s">
        <v>160</v>
      </c>
      <c r="D221" t="s">
        <v>340</v>
      </c>
      <c r="E221">
        <v>52</v>
      </c>
      <c r="F221" t="s">
        <v>11</v>
      </c>
      <c r="G221">
        <v>2</v>
      </c>
      <c r="H221" t="s">
        <v>12</v>
      </c>
    </row>
    <row r="222" spans="1:8">
      <c r="A222" t="s">
        <v>158</v>
      </c>
      <c r="B222" t="s">
        <v>159</v>
      </c>
      <c r="C222" t="s">
        <v>160</v>
      </c>
      <c r="D222" t="s">
        <v>10</v>
      </c>
      <c r="E222">
        <v>55</v>
      </c>
      <c r="F222" t="s">
        <v>11</v>
      </c>
      <c r="G222">
        <v>3</v>
      </c>
      <c r="H222" t="s">
        <v>12</v>
      </c>
    </row>
    <row r="223" spans="1:8">
      <c r="A223" t="s">
        <v>158</v>
      </c>
      <c r="B223" t="s">
        <v>159</v>
      </c>
      <c r="C223" t="s">
        <v>160</v>
      </c>
      <c r="D223" t="s">
        <v>871</v>
      </c>
      <c r="E223">
        <v>42</v>
      </c>
      <c r="F223" t="s">
        <v>11</v>
      </c>
      <c r="G223">
        <v>3</v>
      </c>
      <c r="H223" t="s">
        <v>12</v>
      </c>
    </row>
    <row r="224" spans="1:8">
      <c r="A224" t="s">
        <v>158</v>
      </c>
      <c r="B224" t="s">
        <v>641</v>
      </c>
      <c r="C224" t="s">
        <v>642</v>
      </c>
      <c r="D224" t="s">
        <v>871</v>
      </c>
      <c r="E224">
        <v>49</v>
      </c>
      <c r="F224" t="s">
        <v>11</v>
      </c>
      <c r="G224">
        <v>3</v>
      </c>
      <c r="H224" t="s">
        <v>12</v>
      </c>
    </row>
    <row r="225" spans="1:8">
      <c r="A225" t="s">
        <v>158</v>
      </c>
      <c r="B225" t="s">
        <v>641</v>
      </c>
      <c r="C225" t="s">
        <v>642</v>
      </c>
      <c r="D225" t="s">
        <v>636</v>
      </c>
      <c r="E225">
        <v>40</v>
      </c>
      <c r="F225" t="s">
        <v>11</v>
      </c>
      <c r="G225">
        <v>4</v>
      </c>
      <c r="H225" t="s">
        <v>12</v>
      </c>
    </row>
    <row r="226" spans="1:8">
      <c r="A226" t="s">
        <v>158</v>
      </c>
      <c r="B226" t="s">
        <v>511</v>
      </c>
      <c r="C226" t="s">
        <v>512</v>
      </c>
      <c r="D226" t="s">
        <v>340</v>
      </c>
      <c r="E226">
        <v>48</v>
      </c>
      <c r="F226" t="s">
        <v>11</v>
      </c>
      <c r="G226">
        <v>2</v>
      </c>
      <c r="H226" t="s">
        <v>12</v>
      </c>
    </row>
    <row r="227" spans="1:8">
      <c r="A227" t="s">
        <v>158</v>
      </c>
      <c r="B227" t="s">
        <v>882</v>
      </c>
      <c r="C227" t="s">
        <v>883</v>
      </c>
      <c r="D227" t="s">
        <v>871</v>
      </c>
      <c r="E227">
        <v>57</v>
      </c>
      <c r="F227" t="s">
        <v>11</v>
      </c>
      <c r="G227">
        <v>3</v>
      </c>
      <c r="H227" t="s">
        <v>12</v>
      </c>
    </row>
    <row r="228" spans="1:8">
      <c r="A228" t="s">
        <v>158</v>
      </c>
      <c r="B228" t="s">
        <v>161</v>
      </c>
      <c r="C228" t="s">
        <v>162</v>
      </c>
      <c r="D228" t="s">
        <v>10</v>
      </c>
      <c r="E228">
        <v>40</v>
      </c>
      <c r="F228" t="s">
        <v>11</v>
      </c>
      <c r="G228">
        <v>3</v>
      </c>
      <c r="H228" t="s">
        <v>12</v>
      </c>
    </row>
    <row r="229" spans="1:8">
      <c r="A229" t="s">
        <v>158</v>
      </c>
      <c r="B229" t="s">
        <v>161</v>
      </c>
      <c r="C229" t="s">
        <v>162</v>
      </c>
      <c r="D229" t="s">
        <v>871</v>
      </c>
      <c r="E229">
        <v>42</v>
      </c>
      <c r="F229" t="s">
        <v>11</v>
      </c>
      <c r="G229">
        <v>3</v>
      </c>
      <c r="H229" t="s">
        <v>12</v>
      </c>
    </row>
    <row r="230" spans="1:8">
      <c r="A230" t="s">
        <v>158</v>
      </c>
      <c r="B230" t="s">
        <v>161</v>
      </c>
      <c r="C230" t="s">
        <v>162</v>
      </c>
      <c r="D230" t="s">
        <v>907</v>
      </c>
      <c r="E230">
        <v>40</v>
      </c>
      <c r="F230" t="s">
        <v>11</v>
      </c>
      <c r="G230">
        <v>2</v>
      </c>
      <c r="H230" t="s">
        <v>12</v>
      </c>
    </row>
    <row r="231" spans="1:8">
      <c r="A231" t="s">
        <v>158</v>
      </c>
      <c r="B231" t="s">
        <v>163</v>
      </c>
      <c r="C231" t="s">
        <v>164</v>
      </c>
      <c r="D231" t="s">
        <v>10</v>
      </c>
      <c r="E231">
        <v>50</v>
      </c>
      <c r="F231" t="s">
        <v>11</v>
      </c>
      <c r="G231">
        <v>3</v>
      </c>
      <c r="H231" t="s">
        <v>12</v>
      </c>
    </row>
    <row r="232" spans="1:8">
      <c r="A232" t="s">
        <v>158</v>
      </c>
      <c r="B232" t="s">
        <v>884</v>
      </c>
      <c r="C232" t="s">
        <v>885</v>
      </c>
      <c r="D232" t="s">
        <v>871</v>
      </c>
      <c r="E232">
        <v>49</v>
      </c>
      <c r="F232" t="s">
        <v>11</v>
      </c>
      <c r="G232">
        <v>3</v>
      </c>
      <c r="H232" t="s">
        <v>12</v>
      </c>
    </row>
    <row r="233" spans="1:8">
      <c r="A233" t="s">
        <v>158</v>
      </c>
      <c r="B233" t="s">
        <v>884</v>
      </c>
      <c r="C233" t="s">
        <v>885</v>
      </c>
      <c r="D233" t="s">
        <v>907</v>
      </c>
      <c r="E233">
        <v>40</v>
      </c>
      <c r="F233" t="s">
        <v>11</v>
      </c>
      <c r="G233">
        <v>2</v>
      </c>
      <c r="H233" t="s">
        <v>12</v>
      </c>
    </row>
    <row r="234" spans="1:8">
      <c r="A234" t="s">
        <v>158</v>
      </c>
      <c r="B234" t="s">
        <v>165</v>
      </c>
      <c r="C234" t="s">
        <v>166</v>
      </c>
      <c r="D234" t="s">
        <v>340</v>
      </c>
      <c r="E234">
        <v>53</v>
      </c>
      <c r="F234" t="s">
        <v>11</v>
      </c>
      <c r="G234">
        <v>2</v>
      </c>
      <c r="H234" t="s">
        <v>12</v>
      </c>
    </row>
    <row r="235" spans="1:8">
      <c r="A235" t="s">
        <v>158</v>
      </c>
      <c r="B235" t="s">
        <v>165</v>
      </c>
      <c r="C235" t="s">
        <v>166</v>
      </c>
      <c r="D235" t="s">
        <v>10</v>
      </c>
      <c r="E235">
        <v>57</v>
      </c>
      <c r="F235" t="s">
        <v>11</v>
      </c>
      <c r="G235">
        <v>3</v>
      </c>
      <c r="H235" t="s">
        <v>12</v>
      </c>
    </row>
    <row r="236" spans="1:8">
      <c r="A236" t="s">
        <v>158</v>
      </c>
      <c r="B236" t="s">
        <v>165</v>
      </c>
      <c r="C236" t="s">
        <v>166</v>
      </c>
      <c r="D236" t="s">
        <v>871</v>
      </c>
      <c r="E236">
        <v>42</v>
      </c>
      <c r="F236" t="s">
        <v>11</v>
      </c>
      <c r="G236">
        <v>3</v>
      </c>
      <c r="H236" t="s">
        <v>12</v>
      </c>
    </row>
    <row r="237" spans="1:8">
      <c r="A237" t="s">
        <v>158</v>
      </c>
      <c r="B237" t="s">
        <v>513</v>
      </c>
      <c r="C237" t="s">
        <v>514</v>
      </c>
      <c r="D237" t="s">
        <v>340</v>
      </c>
      <c r="E237">
        <v>52</v>
      </c>
      <c r="F237" t="s">
        <v>11</v>
      </c>
      <c r="G237">
        <v>2</v>
      </c>
      <c r="H237" t="s">
        <v>12</v>
      </c>
    </row>
    <row r="238" spans="1:8">
      <c r="A238" t="s">
        <v>158</v>
      </c>
      <c r="B238" t="s">
        <v>513</v>
      </c>
      <c r="C238" t="s">
        <v>514</v>
      </c>
      <c r="D238" t="s">
        <v>636</v>
      </c>
      <c r="E238">
        <v>50</v>
      </c>
      <c r="F238" t="s">
        <v>11</v>
      </c>
      <c r="G238">
        <v>4</v>
      </c>
      <c r="H238" t="s">
        <v>12</v>
      </c>
    </row>
    <row r="239" spans="1:8">
      <c r="A239" t="s">
        <v>158</v>
      </c>
      <c r="B239" t="s">
        <v>886</v>
      </c>
      <c r="C239" t="s">
        <v>887</v>
      </c>
      <c r="D239" t="s">
        <v>871</v>
      </c>
      <c r="E239">
        <v>41</v>
      </c>
      <c r="F239" t="s">
        <v>11</v>
      </c>
      <c r="G239">
        <v>3</v>
      </c>
      <c r="H239" t="s">
        <v>12</v>
      </c>
    </row>
    <row r="240" spans="1:8">
      <c r="A240" t="s">
        <v>158</v>
      </c>
      <c r="B240" t="s">
        <v>167</v>
      </c>
      <c r="C240" t="s">
        <v>168</v>
      </c>
      <c r="D240" t="s">
        <v>10</v>
      </c>
      <c r="E240">
        <v>50</v>
      </c>
      <c r="F240" t="s">
        <v>11</v>
      </c>
      <c r="G240">
        <v>3</v>
      </c>
      <c r="H240" t="s">
        <v>12</v>
      </c>
    </row>
    <row r="241" spans="1:8">
      <c r="A241" t="s">
        <v>158</v>
      </c>
      <c r="B241" t="s">
        <v>167</v>
      </c>
      <c r="C241" t="s">
        <v>168</v>
      </c>
      <c r="D241" t="s">
        <v>871</v>
      </c>
      <c r="E241">
        <v>49</v>
      </c>
      <c r="F241" t="s">
        <v>11</v>
      </c>
      <c r="G241">
        <v>3</v>
      </c>
      <c r="H241" t="s">
        <v>12</v>
      </c>
    </row>
    <row r="242" spans="1:8">
      <c r="A242" t="s">
        <v>158</v>
      </c>
      <c r="B242" t="s">
        <v>888</v>
      </c>
      <c r="C242" t="s">
        <v>889</v>
      </c>
      <c r="D242" t="s">
        <v>871</v>
      </c>
      <c r="E242">
        <v>45</v>
      </c>
      <c r="F242" t="s">
        <v>11</v>
      </c>
      <c r="G242">
        <v>3</v>
      </c>
      <c r="H242" t="s">
        <v>12</v>
      </c>
    </row>
    <row r="243" spans="1:8">
      <c r="A243" t="s">
        <v>158</v>
      </c>
      <c r="B243" t="s">
        <v>515</v>
      </c>
      <c r="C243" t="s">
        <v>516</v>
      </c>
      <c r="D243" t="s">
        <v>340</v>
      </c>
      <c r="E243">
        <v>56</v>
      </c>
      <c r="F243" t="s">
        <v>11</v>
      </c>
      <c r="G243">
        <v>2</v>
      </c>
      <c r="H243" t="s">
        <v>12</v>
      </c>
    </row>
    <row r="244" spans="1:8">
      <c r="A244" t="s">
        <v>158</v>
      </c>
      <c r="B244" t="s">
        <v>515</v>
      </c>
      <c r="C244" t="s">
        <v>516</v>
      </c>
      <c r="D244" t="s">
        <v>871</v>
      </c>
      <c r="E244">
        <v>51</v>
      </c>
      <c r="F244" t="s">
        <v>11</v>
      </c>
      <c r="G244">
        <v>3</v>
      </c>
      <c r="H244" t="s">
        <v>12</v>
      </c>
    </row>
    <row r="245" spans="1:8">
      <c r="A245" t="s">
        <v>158</v>
      </c>
      <c r="B245" t="s">
        <v>517</v>
      </c>
      <c r="C245" t="s">
        <v>518</v>
      </c>
      <c r="D245" t="s">
        <v>340</v>
      </c>
      <c r="E245">
        <v>50</v>
      </c>
      <c r="F245" t="s">
        <v>11</v>
      </c>
      <c r="G245">
        <v>2</v>
      </c>
      <c r="H245" t="s">
        <v>12</v>
      </c>
    </row>
    <row r="246" spans="1:8">
      <c r="A246" t="s">
        <v>158</v>
      </c>
      <c r="B246" t="s">
        <v>169</v>
      </c>
      <c r="C246" t="s">
        <v>170</v>
      </c>
      <c r="D246" t="s">
        <v>10</v>
      </c>
      <c r="E246">
        <v>43</v>
      </c>
      <c r="F246" t="s">
        <v>11</v>
      </c>
      <c r="G246">
        <v>3</v>
      </c>
      <c r="H246" t="s">
        <v>12</v>
      </c>
    </row>
    <row r="247" spans="1:8">
      <c r="A247" t="s">
        <v>158</v>
      </c>
      <c r="B247" t="s">
        <v>169</v>
      </c>
      <c r="C247" t="s">
        <v>170</v>
      </c>
      <c r="D247" t="s">
        <v>871</v>
      </c>
      <c r="E247">
        <v>40</v>
      </c>
      <c r="F247" t="s">
        <v>11</v>
      </c>
      <c r="G247">
        <v>3</v>
      </c>
      <c r="H247" t="s">
        <v>12</v>
      </c>
    </row>
    <row r="248" spans="1:8">
      <c r="A248" t="s">
        <v>158</v>
      </c>
      <c r="B248" t="s">
        <v>169</v>
      </c>
      <c r="C248" t="s">
        <v>170</v>
      </c>
      <c r="D248" t="s">
        <v>907</v>
      </c>
      <c r="E248">
        <v>40</v>
      </c>
      <c r="F248" t="s">
        <v>11</v>
      </c>
      <c r="G248">
        <v>2</v>
      </c>
      <c r="H248" t="s">
        <v>12</v>
      </c>
    </row>
    <row r="249" spans="1:8">
      <c r="A249" t="s">
        <v>97</v>
      </c>
      <c r="B249" t="s">
        <v>98</v>
      </c>
      <c r="C249" t="s">
        <v>99</v>
      </c>
      <c r="D249" t="s">
        <v>340</v>
      </c>
      <c r="E249">
        <v>46</v>
      </c>
      <c r="F249" t="s">
        <v>11</v>
      </c>
      <c r="G249">
        <v>2</v>
      </c>
      <c r="H249" t="s">
        <v>12</v>
      </c>
    </row>
    <row r="250" spans="1:8">
      <c r="A250" t="s">
        <v>97</v>
      </c>
      <c r="B250" t="s">
        <v>98</v>
      </c>
      <c r="C250" t="s">
        <v>99</v>
      </c>
      <c r="D250" t="s">
        <v>10</v>
      </c>
      <c r="E250">
        <v>40</v>
      </c>
      <c r="F250" t="s">
        <v>11</v>
      </c>
      <c r="G250">
        <v>3</v>
      </c>
      <c r="H250" t="s">
        <v>12</v>
      </c>
    </row>
    <row r="251" spans="1:8">
      <c r="A251" t="s">
        <v>97</v>
      </c>
      <c r="B251" t="s">
        <v>905</v>
      </c>
      <c r="C251" t="s">
        <v>906</v>
      </c>
      <c r="D251" t="s">
        <v>907</v>
      </c>
      <c r="E251">
        <v>50</v>
      </c>
      <c r="F251" t="s">
        <v>11</v>
      </c>
      <c r="G251">
        <v>2</v>
      </c>
      <c r="H251" t="s">
        <v>12</v>
      </c>
    </row>
    <row r="252" spans="1:8">
      <c r="A252" t="s">
        <v>97</v>
      </c>
      <c r="B252" t="s">
        <v>892</v>
      </c>
      <c r="C252" t="s">
        <v>893</v>
      </c>
      <c r="D252" t="s">
        <v>871</v>
      </c>
      <c r="E252">
        <v>42</v>
      </c>
      <c r="F252" t="s">
        <v>11</v>
      </c>
      <c r="G252">
        <v>3</v>
      </c>
      <c r="H252" t="s">
        <v>12</v>
      </c>
    </row>
    <row r="253" spans="1:8">
      <c r="A253" t="s">
        <v>97</v>
      </c>
      <c r="B253" t="s">
        <v>100</v>
      </c>
      <c r="C253" t="s">
        <v>101</v>
      </c>
      <c r="D253" t="s">
        <v>10</v>
      </c>
      <c r="E253">
        <v>51</v>
      </c>
      <c r="F253" t="s">
        <v>11</v>
      </c>
      <c r="G253">
        <v>3</v>
      </c>
      <c r="H253" t="s">
        <v>12</v>
      </c>
    </row>
    <row r="254" spans="1:8">
      <c r="A254" t="s">
        <v>97</v>
      </c>
      <c r="B254" t="s">
        <v>100</v>
      </c>
      <c r="C254" t="s">
        <v>101</v>
      </c>
      <c r="D254" t="s">
        <v>871</v>
      </c>
      <c r="E254">
        <v>55</v>
      </c>
      <c r="F254" t="s">
        <v>11</v>
      </c>
      <c r="G254">
        <v>3</v>
      </c>
      <c r="H254" t="s">
        <v>12</v>
      </c>
    </row>
    <row r="255" spans="1:8">
      <c r="A255" t="s">
        <v>97</v>
      </c>
      <c r="B255" t="s">
        <v>100</v>
      </c>
      <c r="C255" t="s">
        <v>101</v>
      </c>
      <c r="D255" t="s">
        <v>907</v>
      </c>
      <c r="E255">
        <v>41</v>
      </c>
      <c r="F255" t="s">
        <v>11</v>
      </c>
      <c r="G255">
        <v>2</v>
      </c>
      <c r="H255" t="s">
        <v>12</v>
      </c>
    </row>
    <row r="256" spans="1:8">
      <c r="A256" t="s">
        <v>97</v>
      </c>
      <c r="B256" t="s">
        <v>102</v>
      </c>
      <c r="C256" t="s">
        <v>103</v>
      </c>
      <c r="D256" t="s">
        <v>10</v>
      </c>
      <c r="E256">
        <v>53</v>
      </c>
      <c r="F256" t="s">
        <v>11</v>
      </c>
      <c r="G256">
        <v>3</v>
      </c>
      <c r="H256" t="s">
        <v>12</v>
      </c>
    </row>
    <row r="257" spans="1:8">
      <c r="A257" t="s">
        <v>97</v>
      </c>
      <c r="B257" t="s">
        <v>102</v>
      </c>
      <c r="C257" t="s">
        <v>103</v>
      </c>
      <c r="D257" t="s">
        <v>871</v>
      </c>
      <c r="E257">
        <v>47</v>
      </c>
      <c r="F257" t="s">
        <v>11</v>
      </c>
      <c r="G257">
        <v>3</v>
      </c>
      <c r="H257" t="s">
        <v>12</v>
      </c>
    </row>
    <row r="258" spans="1:8">
      <c r="A258" t="s">
        <v>97</v>
      </c>
      <c r="B258" t="s">
        <v>102</v>
      </c>
      <c r="C258" t="s">
        <v>103</v>
      </c>
      <c r="D258" t="s">
        <v>907</v>
      </c>
      <c r="E258">
        <v>49</v>
      </c>
      <c r="F258" t="s">
        <v>11</v>
      </c>
      <c r="G258">
        <v>2</v>
      </c>
      <c r="H258" t="s">
        <v>12</v>
      </c>
    </row>
    <row r="259" spans="1:8">
      <c r="A259" t="s">
        <v>97</v>
      </c>
      <c r="B259" t="s">
        <v>104</v>
      </c>
      <c r="C259" t="s">
        <v>105</v>
      </c>
      <c r="D259" t="s">
        <v>10</v>
      </c>
      <c r="E259">
        <v>45</v>
      </c>
      <c r="F259" t="s">
        <v>11</v>
      </c>
      <c r="G259">
        <v>3</v>
      </c>
      <c r="H259" t="s">
        <v>12</v>
      </c>
    </row>
    <row r="260" spans="1:8">
      <c r="A260" t="s">
        <v>97</v>
      </c>
      <c r="B260" t="s">
        <v>106</v>
      </c>
      <c r="C260" t="s">
        <v>107</v>
      </c>
      <c r="D260" t="s">
        <v>10</v>
      </c>
      <c r="E260">
        <v>51</v>
      </c>
      <c r="F260" t="s">
        <v>11</v>
      </c>
      <c r="G260">
        <v>3</v>
      </c>
      <c r="H260" t="s">
        <v>12</v>
      </c>
    </row>
    <row r="261" spans="1:8">
      <c r="A261" t="s">
        <v>97</v>
      </c>
      <c r="B261" t="s">
        <v>108</v>
      </c>
      <c r="C261" t="s">
        <v>109</v>
      </c>
      <c r="D261" t="s">
        <v>10</v>
      </c>
      <c r="E261">
        <v>40</v>
      </c>
      <c r="F261" t="s">
        <v>11</v>
      </c>
      <c r="G261">
        <v>3</v>
      </c>
      <c r="H261" t="s">
        <v>12</v>
      </c>
    </row>
    <row r="262" spans="1:8">
      <c r="A262" t="s">
        <v>97</v>
      </c>
      <c r="B262" t="s">
        <v>894</v>
      </c>
      <c r="C262" t="s">
        <v>895</v>
      </c>
      <c r="D262" t="s">
        <v>871</v>
      </c>
      <c r="E262">
        <v>59</v>
      </c>
      <c r="F262" t="s">
        <v>11</v>
      </c>
      <c r="G262">
        <v>3</v>
      </c>
      <c r="H262" t="s">
        <v>12</v>
      </c>
    </row>
    <row r="263" spans="1:8">
      <c r="A263" t="s">
        <v>97</v>
      </c>
      <c r="B263" t="s">
        <v>110</v>
      </c>
      <c r="C263" t="s">
        <v>111</v>
      </c>
      <c r="D263" t="s">
        <v>340</v>
      </c>
      <c r="E263">
        <v>33</v>
      </c>
      <c r="F263" t="s">
        <v>11</v>
      </c>
      <c r="G263">
        <v>2</v>
      </c>
      <c r="H263" t="s">
        <v>12</v>
      </c>
    </row>
    <row r="264" spans="1:8">
      <c r="A264" t="s">
        <v>97</v>
      </c>
      <c r="B264" t="s">
        <v>110</v>
      </c>
      <c r="C264" t="s">
        <v>111</v>
      </c>
      <c r="D264" t="s">
        <v>10</v>
      </c>
      <c r="E264">
        <v>30</v>
      </c>
      <c r="F264" t="s">
        <v>11</v>
      </c>
      <c r="G264">
        <v>3</v>
      </c>
      <c r="H264" t="s">
        <v>12</v>
      </c>
    </row>
    <row r="265" spans="1:8">
      <c r="A265" t="s">
        <v>97</v>
      </c>
      <c r="B265" t="s">
        <v>110</v>
      </c>
      <c r="C265" t="s">
        <v>111</v>
      </c>
      <c r="D265" t="s">
        <v>907</v>
      </c>
      <c r="E265">
        <v>35</v>
      </c>
      <c r="F265" t="s">
        <v>11</v>
      </c>
      <c r="G265">
        <v>2</v>
      </c>
      <c r="H265" t="s">
        <v>12</v>
      </c>
    </row>
    <row r="266" spans="1:8">
      <c r="A266" t="s">
        <v>97</v>
      </c>
      <c r="B266" t="s">
        <v>110</v>
      </c>
      <c r="C266" t="s">
        <v>111</v>
      </c>
      <c r="D266" t="s">
        <v>636</v>
      </c>
      <c r="E266">
        <v>38</v>
      </c>
      <c r="F266" t="s">
        <v>11</v>
      </c>
      <c r="G266">
        <v>4</v>
      </c>
      <c r="H266" t="s">
        <v>12</v>
      </c>
    </row>
    <row r="267" spans="1:8">
      <c r="A267" t="s">
        <v>97</v>
      </c>
      <c r="B267" t="s">
        <v>112</v>
      </c>
      <c r="C267" t="s">
        <v>113</v>
      </c>
      <c r="D267" t="s">
        <v>340</v>
      </c>
      <c r="E267">
        <v>46</v>
      </c>
      <c r="F267" t="s">
        <v>11</v>
      </c>
      <c r="G267">
        <v>2</v>
      </c>
      <c r="H267" t="s">
        <v>12</v>
      </c>
    </row>
    <row r="268" spans="1:8">
      <c r="A268" t="s">
        <v>97</v>
      </c>
      <c r="B268" t="s">
        <v>112</v>
      </c>
      <c r="C268" t="s">
        <v>113</v>
      </c>
      <c r="D268" t="s">
        <v>10</v>
      </c>
      <c r="E268">
        <v>40</v>
      </c>
      <c r="F268" t="s">
        <v>11</v>
      </c>
      <c r="G268">
        <v>3</v>
      </c>
      <c r="H268" t="s">
        <v>12</v>
      </c>
    </row>
    <row r="269" spans="1:8">
      <c r="A269" t="s">
        <v>97</v>
      </c>
      <c r="B269" t="s">
        <v>114</v>
      </c>
      <c r="C269" t="s">
        <v>115</v>
      </c>
      <c r="D269" t="s">
        <v>10</v>
      </c>
      <c r="E269">
        <v>50</v>
      </c>
      <c r="F269" t="s">
        <v>11</v>
      </c>
      <c r="G269">
        <v>3</v>
      </c>
      <c r="H269" t="s">
        <v>12</v>
      </c>
    </row>
    <row r="270" spans="1:8">
      <c r="A270" t="s">
        <v>97</v>
      </c>
      <c r="B270" t="s">
        <v>114</v>
      </c>
      <c r="C270" t="s">
        <v>115</v>
      </c>
      <c r="D270" t="s">
        <v>871</v>
      </c>
      <c r="E270">
        <v>40</v>
      </c>
      <c r="F270" t="s">
        <v>11</v>
      </c>
      <c r="G270">
        <v>3</v>
      </c>
      <c r="H270" t="s">
        <v>12</v>
      </c>
    </row>
    <row r="271" spans="1:8">
      <c r="A271" t="s">
        <v>97</v>
      </c>
      <c r="B271" t="s">
        <v>630</v>
      </c>
      <c r="C271" t="s">
        <v>631</v>
      </c>
      <c r="D271" t="s">
        <v>907</v>
      </c>
      <c r="E271">
        <v>45</v>
      </c>
      <c r="F271" t="s">
        <v>11</v>
      </c>
      <c r="G271">
        <v>2</v>
      </c>
      <c r="H271" t="s">
        <v>12</v>
      </c>
    </row>
    <row r="272" spans="1:8">
      <c r="A272" t="s">
        <v>97</v>
      </c>
      <c r="B272" t="s">
        <v>908</v>
      </c>
      <c r="C272" t="s">
        <v>909</v>
      </c>
      <c r="D272" t="s">
        <v>907</v>
      </c>
      <c r="E272">
        <v>54</v>
      </c>
      <c r="F272" t="s">
        <v>11</v>
      </c>
      <c r="G272">
        <v>2</v>
      </c>
      <c r="H272" t="s">
        <v>12</v>
      </c>
    </row>
    <row r="273" spans="1:8">
      <c r="A273" t="s">
        <v>97</v>
      </c>
      <c r="B273" t="s">
        <v>519</v>
      </c>
      <c r="C273" t="s">
        <v>520</v>
      </c>
      <c r="D273" t="s">
        <v>340</v>
      </c>
      <c r="E273">
        <v>45</v>
      </c>
      <c r="F273" t="s">
        <v>11</v>
      </c>
      <c r="G273">
        <v>2</v>
      </c>
      <c r="H273" t="s">
        <v>12</v>
      </c>
    </row>
    <row r="274" spans="1:8">
      <c r="A274" t="s">
        <v>97</v>
      </c>
      <c r="B274" t="s">
        <v>519</v>
      </c>
      <c r="C274" t="s">
        <v>520</v>
      </c>
      <c r="D274" t="s">
        <v>871</v>
      </c>
      <c r="E274">
        <v>40</v>
      </c>
      <c r="F274" t="s">
        <v>11</v>
      </c>
      <c r="G274">
        <v>3</v>
      </c>
      <c r="H274" t="s">
        <v>12</v>
      </c>
    </row>
    <row r="275" spans="1:8">
      <c r="A275" t="s">
        <v>97</v>
      </c>
      <c r="B275" t="s">
        <v>116</v>
      </c>
      <c r="C275" t="s">
        <v>117</v>
      </c>
      <c r="D275" t="s">
        <v>340</v>
      </c>
      <c r="E275">
        <v>44</v>
      </c>
      <c r="F275" t="s">
        <v>11</v>
      </c>
      <c r="G275">
        <v>2</v>
      </c>
      <c r="H275" t="s">
        <v>12</v>
      </c>
    </row>
    <row r="276" spans="1:8">
      <c r="A276" t="s">
        <v>97</v>
      </c>
      <c r="B276" t="s">
        <v>116</v>
      </c>
      <c r="C276" t="s">
        <v>117</v>
      </c>
      <c r="D276" t="s">
        <v>10</v>
      </c>
      <c r="E276">
        <v>52</v>
      </c>
      <c r="F276" t="s">
        <v>11</v>
      </c>
      <c r="G276">
        <v>3</v>
      </c>
      <c r="H276" t="s">
        <v>12</v>
      </c>
    </row>
    <row r="277" spans="1:8">
      <c r="A277" t="s">
        <v>97</v>
      </c>
      <c r="B277" t="s">
        <v>118</v>
      </c>
      <c r="C277" t="s">
        <v>119</v>
      </c>
      <c r="D277" t="s">
        <v>340</v>
      </c>
      <c r="E277">
        <v>48</v>
      </c>
      <c r="F277" t="s">
        <v>11</v>
      </c>
      <c r="G277">
        <v>2</v>
      </c>
      <c r="H277" t="s">
        <v>12</v>
      </c>
    </row>
    <row r="278" spans="1:8">
      <c r="A278" t="s">
        <v>97</v>
      </c>
      <c r="B278" t="s">
        <v>118</v>
      </c>
      <c r="C278" t="s">
        <v>119</v>
      </c>
      <c r="D278" t="s">
        <v>10</v>
      </c>
      <c r="E278">
        <v>41</v>
      </c>
      <c r="F278" t="s">
        <v>11</v>
      </c>
      <c r="G278">
        <v>3</v>
      </c>
      <c r="H278" t="s">
        <v>12</v>
      </c>
    </row>
    <row r="279" spans="1:8">
      <c r="A279" t="s">
        <v>97</v>
      </c>
      <c r="B279" t="s">
        <v>120</v>
      </c>
      <c r="C279" t="s">
        <v>121</v>
      </c>
      <c r="D279" t="s">
        <v>10</v>
      </c>
      <c r="E279">
        <v>56</v>
      </c>
      <c r="F279" t="s">
        <v>11</v>
      </c>
      <c r="G279">
        <v>3</v>
      </c>
      <c r="H279" t="s">
        <v>12</v>
      </c>
    </row>
    <row r="280" spans="1:8">
      <c r="A280" t="s">
        <v>97</v>
      </c>
      <c r="B280" t="s">
        <v>521</v>
      </c>
      <c r="C280" t="s">
        <v>522</v>
      </c>
      <c r="D280" t="s">
        <v>340</v>
      </c>
      <c r="E280">
        <v>53</v>
      </c>
      <c r="F280" t="s">
        <v>11</v>
      </c>
      <c r="G280">
        <v>2</v>
      </c>
      <c r="H280" t="s">
        <v>12</v>
      </c>
    </row>
    <row r="281" spans="1:8">
      <c r="A281" t="s">
        <v>97</v>
      </c>
      <c r="B281" t="s">
        <v>632</v>
      </c>
      <c r="C281" t="s">
        <v>633</v>
      </c>
      <c r="D281" t="s">
        <v>871</v>
      </c>
      <c r="E281">
        <v>47</v>
      </c>
      <c r="F281" t="s">
        <v>11</v>
      </c>
      <c r="G281">
        <v>3</v>
      </c>
      <c r="H281" t="s">
        <v>12</v>
      </c>
    </row>
    <row r="282" spans="1:8">
      <c r="A282" t="s">
        <v>97</v>
      </c>
      <c r="B282" t="s">
        <v>896</v>
      </c>
      <c r="C282" t="s">
        <v>897</v>
      </c>
      <c r="D282" t="s">
        <v>871</v>
      </c>
      <c r="E282">
        <v>34</v>
      </c>
      <c r="F282" t="s">
        <v>11</v>
      </c>
      <c r="G282">
        <v>3</v>
      </c>
      <c r="H282" t="s">
        <v>12</v>
      </c>
    </row>
    <row r="283" spans="1:8">
      <c r="A283" t="s">
        <v>97</v>
      </c>
      <c r="B283" t="s">
        <v>896</v>
      </c>
      <c r="C283" t="s">
        <v>897</v>
      </c>
      <c r="D283" t="s">
        <v>907</v>
      </c>
      <c r="E283">
        <v>38</v>
      </c>
      <c r="F283" t="s">
        <v>11</v>
      </c>
      <c r="G283">
        <v>2</v>
      </c>
      <c r="H283" t="s">
        <v>12</v>
      </c>
    </row>
    <row r="284" spans="1:8">
      <c r="A284" t="s">
        <v>44</v>
      </c>
      <c r="B284" t="s">
        <v>449</v>
      </c>
      <c r="C284" t="s">
        <v>450</v>
      </c>
      <c r="D284" t="s">
        <v>340</v>
      </c>
      <c r="E284">
        <v>46</v>
      </c>
      <c r="F284" t="s">
        <v>11</v>
      </c>
      <c r="G284">
        <v>2</v>
      </c>
      <c r="H284" t="s">
        <v>12</v>
      </c>
    </row>
    <row r="285" spans="1:8">
      <c r="A285" t="s">
        <v>44</v>
      </c>
      <c r="B285" t="s">
        <v>45</v>
      </c>
      <c r="C285" t="s">
        <v>46</v>
      </c>
      <c r="D285" t="s">
        <v>340</v>
      </c>
      <c r="E285">
        <v>52</v>
      </c>
      <c r="F285" t="s">
        <v>11</v>
      </c>
      <c r="G285">
        <v>2</v>
      </c>
      <c r="H285" t="s">
        <v>12</v>
      </c>
    </row>
    <row r="286" spans="1:8">
      <c r="A286" t="s">
        <v>44</v>
      </c>
      <c r="B286" t="s">
        <v>45</v>
      </c>
      <c r="C286" t="s">
        <v>46</v>
      </c>
      <c r="D286" t="s">
        <v>10</v>
      </c>
      <c r="E286">
        <v>49</v>
      </c>
      <c r="F286" t="s">
        <v>11</v>
      </c>
      <c r="G286">
        <v>3</v>
      </c>
      <c r="H286" t="s">
        <v>12</v>
      </c>
    </row>
    <row r="287" spans="1:8">
      <c r="A287" t="s">
        <v>44</v>
      </c>
      <c r="B287" t="s">
        <v>45</v>
      </c>
      <c r="C287" t="s">
        <v>46</v>
      </c>
      <c r="D287" t="s">
        <v>871</v>
      </c>
      <c r="E287">
        <v>49</v>
      </c>
      <c r="F287" t="s">
        <v>11</v>
      </c>
      <c r="G287">
        <v>3</v>
      </c>
      <c r="H287" t="s">
        <v>12</v>
      </c>
    </row>
    <row r="288" spans="1:8">
      <c r="A288" t="s">
        <v>44</v>
      </c>
      <c r="B288" t="s">
        <v>608</v>
      </c>
      <c r="C288" t="s">
        <v>609</v>
      </c>
      <c r="D288" t="s">
        <v>871</v>
      </c>
      <c r="E288">
        <v>40</v>
      </c>
      <c r="F288" t="s">
        <v>11</v>
      </c>
      <c r="G288">
        <v>3</v>
      </c>
      <c r="H288" t="s">
        <v>12</v>
      </c>
    </row>
    <row r="289" spans="1:8">
      <c r="A289" t="s">
        <v>44</v>
      </c>
      <c r="B289" t="s">
        <v>608</v>
      </c>
      <c r="C289" t="s">
        <v>609</v>
      </c>
      <c r="D289" t="s">
        <v>907</v>
      </c>
      <c r="E289">
        <v>40</v>
      </c>
      <c r="F289" t="s">
        <v>11</v>
      </c>
      <c r="G289">
        <v>2</v>
      </c>
      <c r="H289" t="s">
        <v>12</v>
      </c>
    </row>
    <row r="290" spans="1:8">
      <c r="A290" t="s">
        <v>44</v>
      </c>
      <c r="B290" t="s">
        <v>890</v>
      </c>
      <c r="C290" t="s">
        <v>891</v>
      </c>
      <c r="D290" t="s">
        <v>871</v>
      </c>
      <c r="E290">
        <v>39</v>
      </c>
      <c r="F290" t="s">
        <v>11</v>
      </c>
      <c r="G290">
        <v>3</v>
      </c>
      <c r="H290" t="s">
        <v>12</v>
      </c>
    </row>
    <row r="291" spans="1:8">
      <c r="A291" t="s">
        <v>44</v>
      </c>
      <c r="B291" t="s">
        <v>451</v>
      </c>
      <c r="C291" t="s">
        <v>452</v>
      </c>
      <c r="D291" t="s">
        <v>340</v>
      </c>
      <c r="E291">
        <v>49</v>
      </c>
      <c r="F291" t="s">
        <v>11</v>
      </c>
      <c r="G291">
        <v>2</v>
      </c>
      <c r="H291" t="s">
        <v>12</v>
      </c>
    </row>
    <row r="292" spans="1:8">
      <c r="A292" t="s">
        <v>44</v>
      </c>
      <c r="B292" t="s">
        <v>47</v>
      </c>
      <c r="C292" t="s">
        <v>48</v>
      </c>
      <c r="D292" t="s">
        <v>10</v>
      </c>
      <c r="E292">
        <v>54</v>
      </c>
      <c r="F292" t="s">
        <v>11</v>
      </c>
      <c r="G292">
        <v>3</v>
      </c>
      <c r="H292" t="s">
        <v>12</v>
      </c>
    </row>
    <row r="293" spans="1:8">
      <c r="A293" t="s">
        <v>44</v>
      </c>
      <c r="B293" t="s">
        <v>49</v>
      </c>
      <c r="C293" t="s">
        <v>50</v>
      </c>
      <c r="D293" t="s">
        <v>10</v>
      </c>
      <c r="E293">
        <v>52</v>
      </c>
      <c r="F293" t="s">
        <v>11</v>
      </c>
      <c r="G293">
        <v>3</v>
      </c>
      <c r="H293" t="s">
        <v>12</v>
      </c>
    </row>
    <row r="294" spans="1:8">
      <c r="A294" t="s">
        <v>44</v>
      </c>
      <c r="B294" t="s">
        <v>610</v>
      </c>
      <c r="C294" t="s">
        <v>611</v>
      </c>
      <c r="D294" t="s">
        <v>871</v>
      </c>
      <c r="E294">
        <v>54</v>
      </c>
      <c r="F294" t="s">
        <v>11</v>
      </c>
      <c r="G294">
        <v>3</v>
      </c>
      <c r="H294" t="s">
        <v>12</v>
      </c>
    </row>
    <row r="295" spans="1:8">
      <c r="A295" t="s">
        <v>44</v>
      </c>
      <c r="B295" t="s">
        <v>610</v>
      </c>
      <c r="C295" t="s">
        <v>611</v>
      </c>
      <c r="D295" t="s">
        <v>907</v>
      </c>
      <c r="E295">
        <v>40</v>
      </c>
      <c r="F295" t="s">
        <v>11</v>
      </c>
      <c r="G295">
        <v>2</v>
      </c>
      <c r="H295" t="s">
        <v>12</v>
      </c>
    </row>
    <row r="296" spans="1:8">
      <c r="A296" t="s">
        <v>44</v>
      </c>
      <c r="B296" t="s">
        <v>610</v>
      </c>
      <c r="C296" t="s">
        <v>611</v>
      </c>
      <c r="D296" t="s">
        <v>636</v>
      </c>
      <c r="E296">
        <v>40</v>
      </c>
      <c r="F296" t="s">
        <v>11</v>
      </c>
      <c r="G296">
        <v>4</v>
      </c>
      <c r="H296" t="s">
        <v>12</v>
      </c>
    </row>
    <row r="297" spans="1:8">
      <c r="A297" t="s">
        <v>44</v>
      </c>
      <c r="B297" t="s">
        <v>51</v>
      </c>
      <c r="C297" t="s">
        <v>52</v>
      </c>
      <c r="D297" t="s">
        <v>828</v>
      </c>
      <c r="E297">
        <v>47</v>
      </c>
      <c r="F297" t="s">
        <v>11</v>
      </c>
      <c r="G297">
        <v>1</v>
      </c>
      <c r="H297" t="s">
        <v>12</v>
      </c>
    </row>
    <row r="298" spans="1:8">
      <c r="A298" t="s">
        <v>44</v>
      </c>
      <c r="B298" t="s">
        <v>51</v>
      </c>
      <c r="C298" t="s">
        <v>52</v>
      </c>
      <c r="D298" t="s">
        <v>10</v>
      </c>
      <c r="E298">
        <v>46</v>
      </c>
      <c r="F298" t="s">
        <v>11</v>
      </c>
      <c r="G298">
        <v>3</v>
      </c>
      <c r="H298" t="s">
        <v>12</v>
      </c>
    </row>
    <row r="299" spans="1:8">
      <c r="A299" t="s">
        <v>44</v>
      </c>
      <c r="B299" t="s">
        <v>51</v>
      </c>
      <c r="C299" t="s">
        <v>52</v>
      </c>
      <c r="D299" t="s">
        <v>871</v>
      </c>
      <c r="E299">
        <v>43</v>
      </c>
      <c r="F299" t="s">
        <v>11</v>
      </c>
      <c r="G299">
        <v>3</v>
      </c>
      <c r="H299" t="s">
        <v>12</v>
      </c>
    </row>
    <row r="300" spans="1:8">
      <c r="A300" t="s">
        <v>44</v>
      </c>
      <c r="B300" t="s">
        <v>51</v>
      </c>
      <c r="C300" t="s">
        <v>52</v>
      </c>
      <c r="D300" t="s">
        <v>907</v>
      </c>
      <c r="E300">
        <v>41</v>
      </c>
      <c r="F300" t="s">
        <v>11</v>
      </c>
      <c r="G300">
        <v>2</v>
      </c>
      <c r="H300" t="s">
        <v>12</v>
      </c>
    </row>
    <row r="301" spans="1:8">
      <c r="A301" t="s">
        <v>44</v>
      </c>
      <c r="B301" t="s">
        <v>51</v>
      </c>
      <c r="C301" t="s">
        <v>52</v>
      </c>
      <c r="D301" t="s">
        <v>636</v>
      </c>
      <c r="E301">
        <v>40</v>
      </c>
      <c r="F301" t="s">
        <v>11</v>
      </c>
      <c r="G301">
        <v>4</v>
      </c>
      <c r="H301" t="s">
        <v>12</v>
      </c>
    </row>
    <row r="302" spans="1:8">
      <c r="A302" t="s">
        <v>44</v>
      </c>
      <c r="B302" t="s">
        <v>910</v>
      </c>
      <c r="C302" t="s">
        <v>911</v>
      </c>
      <c r="D302" t="s">
        <v>907</v>
      </c>
      <c r="E302">
        <v>40</v>
      </c>
      <c r="F302" t="s">
        <v>11</v>
      </c>
      <c r="G302">
        <v>2</v>
      </c>
      <c r="H302" t="s">
        <v>12</v>
      </c>
    </row>
    <row r="303" spans="1:8">
      <c r="A303" t="s">
        <v>44</v>
      </c>
      <c r="B303" t="s">
        <v>53</v>
      </c>
      <c r="C303" t="s">
        <v>54</v>
      </c>
      <c r="D303" t="s">
        <v>340</v>
      </c>
      <c r="E303">
        <v>44</v>
      </c>
      <c r="F303" t="s">
        <v>11</v>
      </c>
      <c r="G303">
        <v>2</v>
      </c>
      <c r="H303" t="s">
        <v>12</v>
      </c>
    </row>
    <row r="304" spans="1:8">
      <c r="A304" t="s">
        <v>44</v>
      </c>
      <c r="B304" t="s">
        <v>53</v>
      </c>
      <c r="C304" t="s">
        <v>54</v>
      </c>
      <c r="D304" t="s">
        <v>10</v>
      </c>
      <c r="E304">
        <v>51</v>
      </c>
      <c r="F304" t="s">
        <v>11</v>
      </c>
      <c r="G304">
        <v>3</v>
      </c>
      <c r="H304" t="s">
        <v>12</v>
      </c>
    </row>
    <row r="305" spans="1:8">
      <c r="A305" t="s">
        <v>44</v>
      </c>
      <c r="B305" t="s">
        <v>681</v>
      </c>
      <c r="C305" t="s">
        <v>682</v>
      </c>
      <c r="D305" t="s">
        <v>871</v>
      </c>
      <c r="E305">
        <v>41</v>
      </c>
      <c r="F305" t="s">
        <v>11</v>
      </c>
      <c r="G305">
        <v>3</v>
      </c>
      <c r="H305" t="s">
        <v>12</v>
      </c>
    </row>
    <row r="306" spans="1:8">
      <c r="A306" t="s">
        <v>44</v>
      </c>
      <c r="B306" t="s">
        <v>681</v>
      </c>
      <c r="C306" t="s">
        <v>682</v>
      </c>
      <c r="D306" t="s">
        <v>907</v>
      </c>
      <c r="E306">
        <v>40</v>
      </c>
      <c r="F306" t="s">
        <v>11</v>
      </c>
      <c r="G306">
        <v>2</v>
      </c>
      <c r="H306" t="s">
        <v>12</v>
      </c>
    </row>
    <row r="307" spans="1:8">
      <c r="A307" t="s">
        <v>44</v>
      </c>
      <c r="B307" t="s">
        <v>681</v>
      </c>
      <c r="C307" t="s">
        <v>682</v>
      </c>
      <c r="D307" t="s">
        <v>636</v>
      </c>
      <c r="E307">
        <v>48</v>
      </c>
      <c r="F307" t="s">
        <v>11</v>
      </c>
      <c r="G307">
        <v>4</v>
      </c>
      <c r="H307" t="s">
        <v>12</v>
      </c>
    </row>
    <row r="308" spans="1:8">
      <c r="A308" t="s">
        <v>44</v>
      </c>
      <c r="B308" t="s">
        <v>453</v>
      </c>
      <c r="C308" t="s">
        <v>454</v>
      </c>
      <c r="D308" t="s">
        <v>340</v>
      </c>
      <c r="E308">
        <v>53</v>
      </c>
      <c r="F308" t="s">
        <v>11</v>
      </c>
      <c r="G308">
        <v>2</v>
      </c>
      <c r="H308" t="s">
        <v>12</v>
      </c>
    </row>
    <row r="309" spans="1:8">
      <c r="A309" t="s">
        <v>44</v>
      </c>
      <c r="B309" t="s">
        <v>683</v>
      </c>
      <c r="C309" t="s">
        <v>684</v>
      </c>
      <c r="D309" t="s">
        <v>636</v>
      </c>
      <c r="E309">
        <v>52</v>
      </c>
      <c r="F309" t="s">
        <v>11</v>
      </c>
      <c r="G309">
        <v>4</v>
      </c>
      <c r="H309" t="s">
        <v>12</v>
      </c>
    </row>
    <row r="310" spans="1:8">
      <c r="A310" t="s">
        <v>44</v>
      </c>
      <c r="B310" t="s">
        <v>455</v>
      </c>
      <c r="C310" t="s">
        <v>456</v>
      </c>
      <c r="D310" t="s">
        <v>340</v>
      </c>
      <c r="E310">
        <v>52</v>
      </c>
      <c r="F310" t="s">
        <v>11</v>
      </c>
      <c r="G310">
        <v>2</v>
      </c>
      <c r="H310" t="s">
        <v>12</v>
      </c>
    </row>
    <row r="311" spans="1:8">
      <c r="A311" t="s">
        <v>44</v>
      </c>
      <c r="B311" t="s">
        <v>455</v>
      </c>
      <c r="C311" t="s">
        <v>456</v>
      </c>
      <c r="D311" t="s">
        <v>871</v>
      </c>
      <c r="E311">
        <v>55</v>
      </c>
      <c r="F311" t="s">
        <v>11</v>
      </c>
      <c r="G311">
        <v>3</v>
      </c>
      <c r="H311" t="s">
        <v>12</v>
      </c>
    </row>
    <row r="312" spans="1:8">
      <c r="A312" t="s">
        <v>44</v>
      </c>
      <c r="B312" t="s">
        <v>457</v>
      </c>
      <c r="C312" t="s">
        <v>458</v>
      </c>
      <c r="D312" t="s">
        <v>340</v>
      </c>
      <c r="E312">
        <v>56</v>
      </c>
      <c r="F312" t="s">
        <v>11</v>
      </c>
      <c r="G312">
        <v>2</v>
      </c>
      <c r="H312" t="s">
        <v>12</v>
      </c>
    </row>
    <row r="313" spans="1:8">
      <c r="A313" t="s">
        <v>44</v>
      </c>
      <c r="B313" t="s">
        <v>457</v>
      </c>
      <c r="C313" t="s">
        <v>458</v>
      </c>
      <c r="D313" t="s">
        <v>871</v>
      </c>
      <c r="E313">
        <v>44</v>
      </c>
      <c r="F313" t="s">
        <v>11</v>
      </c>
      <c r="G313">
        <v>3</v>
      </c>
      <c r="H313" t="s">
        <v>12</v>
      </c>
    </row>
    <row r="314" spans="1:8">
      <c r="A314" t="s">
        <v>44</v>
      </c>
      <c r="B314" t="s">
        <v>459</v>
      </c>
      <c r="C314" t="s">
        <v>460</v>
      </c>
      <c r="D314" t="s">
        <v>340</v>
      </c>
      <c r="E314">
        <v>55</v>
      </c>
      <c r="F314" t="s">
        <v>11</v>
      </c>
      <c r="G314">
        <v>2</v>
      </c>
      <c r="H314" t="s">
        <v>12</v>
      </c>
    </row>
    <row r="315" spans="1:8">
      <c r="A315" t="s">
        <v>44</v>
      </c>
      <c r="B315" t="s">
        <v>459</v>
      </c>
      <c r="C315" t="s">
        <v>460</v>
      </c>
      <c r="D315" t="s">
        <v>871</v>
      </c>
      <c r="E315">
        <v>52</v>
      </c>
      <c r="F315" t="s">
        <v>11</v>
      </c>
      <c r="G315">
        <v>3</v>
      </c>
      <c r="H315" t="s">
        <v>12</v>
      </c>
    </row>
    <row r="316" spans="1:8">
      <c r="A316" t="s">
        <v>44</v>
      </c>
      <c r="B316" t="s">
        <v>55</v>
      </c>
      <c r="C316" t="s">
        <v>56</v>
      </c>
      <c r="D316" t="s">
        <v>10</v>
      </c>
      <c r="E316">
        <v>47</v>
      </c>
      <c r="F316" t="s">
        <v>11</v>
      </c>
      <c r="G316">
        <v>3</v>
      </c>
      <c r="H316" t="s">
        <v>12</v>
      </c>
    </row>
    <row r="317" spans="1:8">
      <c r="A317" t="s">
        <v>44</v>
      </c>
      <c r="B317" t="s">
        <v>57</v>
      </c>
      <c r="C317" t="s">
        <v>58</v>
      </c>
      <c r="D317" t="s">
        <v>10</v>
      </c>
      <c r="E317">
        <v>56</v>
      </c>
      <c r="F317" t="s">
        <v>11</v>
      </c>
      <c r="G317">
        <v>3</v>
      </c>
      <c r="H317" t="s">
        <v>12</v>
      </c>
    </row>
    <row r="318" spans="1:8">
      <c r="A318" t="s">
        <v>44</v>
      </c>
      <c r="B318" t="s">
        <v>685</v>
      </c>
      <c r="C318" t="s">
        <v>686</v>
      </c>
      <c r="D318" t="s">
        <v>871</v>
      </c>
      <c r="E318">
        <v>48</v>
      </c>
      <c r="F318" t="s">
        <v>11</v>
      </c>
      <c r="G318">
        <v>3</v>
      </c>
      <c r="H318" t="s">
        <v>12</v>
      </c>
    </row>
    <row r="319" spans="1:8">
      <c r="A319" t="s">
        <v>44</v>
      </c>
      <c r="B319" t="s">
        <v>685</v>
      </c>
      <c r="C319" t="s">
        <v>686</v>
      </c>
      <c r="D319" t="s">
        <v>636</v>
      </c>
      <c r="E319">
        <v>52</v>
      </c>
      <c r="F319" t="s">
        <v>11</v>
      </c>
      <c r="G319">
        <v>4</v>
      </c>
      <c r="H319" t="s">
        <v>12</v>
      </c>
    </row>
    <row r="320" spans="1:8">
      <c r="A320" t="s">
        <v>44</v>
      </c>
      <c r="B320" t="s">
        <v>59</v>
      </c>
      <c r="C320" t="s">
        <v>60</v>
      </c>
      <c r="D320" t="s">
        <v>340</v>
      </c>
      <c r="E320">
        <v>54</v>
      </c>
      <c r="F320" t="s">
        <v>11</v>
      </c>
      <c r="G320">
        <v>2</v>
      </c>
      <c r="H320" t="s">
        <v>12</v>
      </c>
    </row>
    <row r="321" spans="1:8">
      <c r="A321" t="s">
        <v>44</v>
      </c>
      <c r="B321" t="s">
        <v>59</v>
      </c>
      <c r="C321" t="s">
        <v>60</v>
      </c>
      <c r="D321" t="s">
        <v>10</v>
      </c>
      <c r="E321">
        <v>53</v>
      </c>
      <c r="F321" t="s">
        <v>11</v>
      </c>
      <c r="G321">
        <v>3</v>
      </c>
      <c r="H321" t="s">
        <v>12</v>
      </c>
    </row>
    <row r="322" spans="1:8">
      <c r="A322" t="s">
        <v>44</v>
      </c>
      <c r="B322" t="s">
        <v>59</v>
      </c>
      <c r="C322" t="s">
        <v>60</v>
      </c>
      <c r="D322" t="s">
        <v>871</v>
      </c>
      <c r="E322">
        <v>56</v>
      </c>
      <c r="F322" t="s">
        <v>11</v>
      </c>
      <c r="G322">
        <v>3</v>
      </c>
      <c r="H322" t="s">
        <v>12</v>
      </c>
    </row>
    <row r="323" spans="1:8">
      <c r="A323" t="s">
        <v>44</v>
      </c>
      <c r="B323" t="s">
        <v>59</v>
      </c>
      <c r="C323" t="s">
        <v>60</v>
      </c>
      <c r="D323" t="s">
        <v>636</v>
      </c>
      <c r="E323">
        <v>47</v>
      </c>
      <c r="F323" t="s">
        <v>11</v>
      </c>
      <c r="G323">
        <v>4</v>
      </c>
      <c r="H323" t="s">
        <v>12</v>
      </c>
    </row>
    <row r="324" spans="1:8">
      <c r="A324" t="s">
        <v>44</v>
      </c>
      <c r="B324" t="s">
        <v>61</v>
      </c>
      <c r="C324" t="s">
        <v>62</v>
      </c>
      <c r="D324" t="s">
        <v>10</v>
      </c>
      <c r="E324">
        <v>53</v>
      </c>
      <c r="F324" t="s">
        <v>11</v>
      </c>
      <c r="G324">
        <v>3</v>
      </c>
      <c r="H324" t="s">
        <v>12</v>
      </c>
    </row>
    <row r="325" spans="1:8">
      <c r="A325" t="s">
        <v>44</v>
      </c>
      <c r="B325" t="s">
        <v>61</v>
      </c>
      <c r="C325" t="s">
        <v>62</v>
      </c>
      <c r="D325" t="s">
        <v>907</v>
      </c>
      <c r="E325">
        <v>40</v>
      </c>
      <c r="F325" t="s">
        <v>11</v>
      </c>
      <c r="G325">
        <v>2</v>
      </c>
      <c r="H325" t="s">
        <v>12</v>
      </c>
    </row>
    <row r="326" spans="1:8">
      <c r="A326" t="s">
        <v>44</v>
      </c>
      <c r="B326" t="s">
        <v>61</v>
      </c>
      <c r="C326" t="s">
        <v>62</v>
      </c>
      <c r="D326" t="s">
        <v>636</v>
      </c>
      <c r="E326">
        <v>54</v>
      </c>
      <c r="F326" t="s">
        <v>11</v>
      </c>
      <c r="G326">
        <v>4</v>
      </c>
      <c r="H326" t="s">
        <v>12</v>
      </c>
    </row>
    <row r="327" spans="1:8">
      <c r="A327" t="s">
        <v>44</v>
      </c>
      <c r="B327" t="s">
        <v>63</v>
      </c>
      <c r="C327" t="s">
        <v>64</v>
      </c>
      <c r="D327" t="s">
        <v>10</v>
      </c>
      <c r="E327">
        <v>56</v>
      </c>
      <c r="F327" t="s">
        <v>11</v>
      </c>
      <c r="G327">
        <v>3</v>
      </c>
      <c r="H327" t="s">
        <v>12</v>
      </c>
    </row>
    <row r="328" spans="1:8">
      <c r="A328" t="s">
        <v>44</v>
      </c>
      <c r="B328" t="s">
        <v>63</v>
      </c>
      <c r="C328" t="s">
        <v>64</v>
      </c>
      <c r="D328" t="s">
        <v>871</v>
      </c>
      <c r="E328">
        <v>43</v>
      </c>
      <c r="F328" t="s">
        <v>11</v>
      </c>
      <c r="G328">
        <v>3</v>
      </c>
      <c r="H328" t="s">
        <v>12</v>
      </c>
    </row>
    <row r="329" spans="1:8">
      <c r="A329" t="s">
        <v>44</v>
      </c>
      <c r="B329" t="s">
        <v>63</v>
      </c>
      <c r="C329" t="s">
        <v>64</v>
      </c>
      <c r="D329" t="s">
        <v>636</v>
      </c>
      <c r="E329">
        <v>53</v>
      </c>
      <c r="F329" t="s">
        <v>11</v>
      </c>
      <c r="G329">
        <v>4</v>
      </c>
      <c r="H329" t="s">
        <v>12</v>
      </c>
    </row>
    <row r="330" spans="1:8">
      <c r="A330" t="s">
        <v>44</v>
      </c>
      <c r="B330" t="s">
        <v>461</v>
      </c>
      <c r="C330" t="s">
        <v>462</v>
      </c>
      <c r="D330" t="s">
        <v>340</v>
      </c>
      <c r="E330">
        <v>52</v>
      </c>
      <c r="F330" t="s">
        <v>11</v>
      </c>
      <c r="G330">
        <v>2</v>
      </c>
      <c r="H330" t="s">
        <v>12</v>
      </c>
    </row>
    <row r="331" spans="1:8">
      <c r="A331" t="s">
        <v>44</v>
      </c>
      <c r="B331" t="s">
        <v>461</v>
      </c>
      <c r="C331" t="s">
        <v>462</v>
      </c>
      <c r="D331" t="s">
        <v>871</v>
      </c>
      <c r="E331">
        <v>51</v>
      </c>
      <c r="F331" t="s">
        <v>11</v>
      </c>
      <c r="G331">
        <v>3</v>
      </c>
      <c r="H331" t="s">
        <v>12</v>
      </c>
    </row>
    <row r="332" spans="1:8">
      <c r="A332" t="s">
        <v>44</v>
      </c>
      <c r="B332" t="s">
        <v>461</v>
      </c>
      <c r="C332" t="s">
        <v>462</v>
      </c>
      <c r="D332" t="s">
        <v>636</v>
      </c>
      <c r="E332">
        <v>50</v>
      </c>
      <c r="F332" t="s">
        <v>11</v>
      </c>
      <c r="G332">
        <v>4</v>
      </c>
      <c r="H332" t="s">
        <v>12</v>
      </c>
    </row>
    <row r="333" spans="1:8">
      <c r="A333" t="s">
        <v>217</v>
      </c>
      <c r="B333" t="s">
        <v>775</v>
      </c>
      <c r="C333" t="s">
        <v>776</v>
      </c>
      <c r="D333" t="s">
        <v>712</v>
      </c>
      <c r="E333">
        <v>53</v>
      </c>
      <c r="F333" t="s">
        <v>11</v>
      </c>
      <c r="G333">
        <v>2</v>
      </c>
      <c r="H333" t="s">
        <v>12</v>
      </c>
    </row>
    <row r="334" spans="1:8">
      <c r="A334" t="s">
        <v>217</v>
      </c>
      <c r="B334" t="s">
        <v>367</v>
      </c>
      <c r="C334" t="s">
        <v>368</v>
      </c>
      <c r="D334" t="s">
        <v>340</v>
      </c>
      <c r="E334">
        <v>48</v>
      </c>
      <c r="F334" t="s">
        <v>11</v>
      </c>
      <c r="G334">
        <v>2</v>
      </c>
      <c r="H334" t="s">
        <v>12</v>
      </c>
    </row>
    <row r="335" spans="1:8">
      <c r="A335" t="s">
        <v>217</v>
      </c>
      <c r="B335" t="s">
        <v>369</v>
      </c>
      <c r="C335" t="s">
        <v>370</v>
      </c>
      <c r="D335" t="s">
        <v>340</v>
      </c>
      <c r="E335">
        <v>56</v>
      </c>
      <c r="F335" t="s">
        <v>11</v>
      </c>
      <c r="G335">
        <v>2</v>
      </c>
      <c r="H335" t="s">
        <v>12</v>
      </c>
    </row>
    <row r="336" spans="1:8">
      <c r="A336" t="s">
        <v>217</v>
      </c>
      <c r="B336" t="s">
        <v>218</v>
      </c>
      <c r="C336" t="s">
        <v>219</v>
      </c>
      <c r="D336" t="s">
        <v>10</v>
      </c>
      <c r="E336">
        <v>55</v>
      </c>
      <c r="F336" t="s">
        <v>11</v>
      </c>
      <c r="G336">
        <v>3</v>
      </c>
      <c r="H336" t="s">
        <v>12</v>
      </c>
    </row>
    <row r="337" spans="1:8">
      <c r="A337" t="s">
        <v>217</v>
      </c>
      <c r="B337" t="s">
        <v>220</v>
      </c>
      <c r="C337" t="s">
        <v>221</v>
      </c>
      <c r="D337" t="s">
        <v>340</v>
      </c>
      <c r="E337">
        <v>40</v>
      </c>
      <c r="F337" t="s">
        <v>11</v>
      </c>
      <c r="G337">
        <v>2</v>
      </c>
      <c r="H337" t="s">
        <v>12</v>
      </c>
    </row>
    <row r="338" spans="1:8">
      <c r="A338" t="s">
        <v>217</v>
      </c>
      <c r="B338" t="s">
        <v>220</v>
      </c>
      <c r="C338" t="s">
        <v>221</v>
      </c>
      <c r="D338" t="s">
        <v>10</v>
      </c>
      <c r="E338">
        <v>54</v>
      </c>
      <c r="F338" t="s">
        <v>11</v>
      </c>
      <c r="G338">
        <v>3</v>
      </c>
      <c r="H338" t="s">
        <v>12</v>
      </c>
    </row>
    <row r="339" spans="1:8">
      <c r="A339" t="s">
        <v>217</v>
      </c>
      <c r="B339" t="s">
        <v>220</v>
      </c>
      <c r="C339" t="s">
        <v>221</v>
      </c>
      <c r="D339" t="s">
        <v>636</v>
      </c>
      <c r="E339">
        <v>40</v>
      </c>
      <c r="F339" t="s">
        <v>11</v>
      </c>
      <c r="G339">
        <v>4</v>
      </c>
      <c r="H339" t="s">
        <v>12</v>
      </c>
    </row>
    <row r="340" spans="1:8">
      <c r="A340" t="s">
        <v>217</v>
      </c>
      <c r="B340" t="s">
        <v>220</v>
      </c>
      <c r="C340" t="s">
        <v>221</v>
      </c>
      <c r="D340" t="s">
        <v>838</v>
      </c>
      <c r="E340">
        <v>40</v>
      </c>
      <c r="F340" t="s">
        <v>11</v>
      </c>
      <c r="G340">
        <v>2</v>
      </c>
      <c r="H340" t="s">
        <v>12</v>
      </c>
    </row>
    <row r="341" spans="1:8">
      <c r="A341" t="s">
        <v>217</v>
      </c>
      <c r="B341" t="s">
        <v>371</v>
      </c>
      <c r="C341" t="s">
        <v>372</v>
      </c>
      <c r="D341" t="s">
        <v>340</v>
      </c>
      <c r="E341">
        <v>46</v>
      </c>
      <c r="F341" t="s">
        <v>11</v>
      </c>
      <c r="G341">
        <v>2</v>
      </c>
      <c r="H341" t="s">
        <v>12</v>
      </c>
    </row>
    <row r="342" spans="1:8">
      <c r="A342" t="s">
        <v>217</v>
      </c>
      <c r="B342" t="s">
        <v>373</v>
      </c>
      <c r="C342" t="s">
        <v>374</v>
      </c>
      <c r="D342" t="s">
        <v>712</v>
      </c>
      <c r="E342">
        <v>57</v>
      </c>
      <c r="F342" t="s">
        <v>11</v>
      </c>
      <c r="G342">
        <v>2</v>
      </c>
      <c r="H342" t="s">
        <v>12</v>
      </c>
    </row>
    <row r="343" spans="1:8">
      <c r="A343" t="s">
        <v>217</v>
      </c>
      <c r="B343" t="s">
        <v>373</v>
      </c>
      <c r="C343" t="s">
        <v>374</v>
      </c>
      <c r="D343" t="s">
        <v>340</v>
      </c>
      <c r="E343">
        <v>40</v>
      </c>
      <c r="F343" t="s">
        <v>11</v>
      </c>
      <c r="G343">
        <v>2</v>
      </c>
      <c r="H343" t="s">
        <v>12</v>
      </c>
    </row>
    <row r="344" spans="1:8">
      <c r="A344" t="s">
        <v>217</v>
      </c>
      <c r="B344" t="s">
        <v>375</v>
      </c>
      <c r="C344" t="s">
        <v>376</v>
      </c>
      <c r="D344" t="s">
        <v>340</v>
      </c>
      <c r="E344">
        <v>52</v>
      </c>
      <c r="F344" t="s">
        <v>11</v>
      </c>
      <c r="G344">
        <v>2</v>
      </c>
      <c r="H344" t="s">
        <v>12</v>
      </c>
    </row>
    <row r="345" spans="1:8">
      <c r="A345" t="s">
        <v>217</v>
      </c>
      <c r="B345" t="s">
        <v>848</v>
      </c>
      <c r="C345" t="s">
        <v>849</v>
      </c>
      <c r="D345" t="s">
        <v>838</v>
      </c>
      <c r="E345">
        <v>43</v>
      </c>
      <c r="F345" t="s">
        <v>11</v>
      </c>
      <c r="G345">
        <v>2</v>
      </c>
      <c r="H345" t="s">
        <v>12</v>
      </c>
    </row>
    <row r="346" spans="1:8">
      <c r="A346" t="s">
        <v>217</v>
      </c>
      <c r="B346" t="s">
        <v>377</v>
      </c>
      <c r="C346" t="s">
        <v>378</v>
      </c>
      <c r="D346" t="s">
        <v>340</v>
      </c>
      <c r="E346">
        <v>49</v>
      </c>
      <c r="F346" t="s">
        <v>11</v>
      </c>
      <c r="G346">
        <v>2</v>
      </c>
      <c r="H346" t="s">
        <v>12</v>
      </c>
    </row>
    <row r="347" spans="1:8">
      <c r="A347" t="s">
        <v>217</v>
      </c>
      <c r="B347" t="s">
        <v>379</v>
      </c>
      <c r="C347" t="s">
        <v>380</v>
      </c>
      <c r="D347" t="s">
        <v>340</v>
      </c>
      <c r="E347">
        <v>42</v>
      </c>
      <c r="F347" t="s">
        <v>11</v>
      </c>
      <c r="G347">
        <v>2</v>
      </c>
      <c r="H347" t="s">
        <v>12</v>
      </c>
    </row>
    <row r="348" spans="1:8">
      <c r="A348" t="s">
        <v>217</v>
      </c>
      <c r="B348" t="s">
        <v>222</v>
      </c>
      <c r="C348" t="s">
        <v>223</v>
      </c>
      <c r="D348" t="s">
        <v>340</v>
      </c>
      <c r="E348">
        <v>56</v>
      </c>
      <c r="F348" t="s">
        <v>11</v>
      </c>
      <c r="G348">
        <v>2</v>
      </c>
      <c r="H348" t="s">
        <v>12</v>
      </c>
    </row>
    <row r="349" spans="1:8">
      <c r="A349" t="s">
        <v>217</v>
      </c>
      <c r="B349" t="s">
        <v>222</v>
      </c>
      <c r="C349" t="s">
        <v>223</v>
      </c>
      <c r="D349" t="s">
        <v>10</v>
      </c>
      <c r="E349">
        <v>55</v>
      </c>
      <c r="F349" t="s">
        <v>11</v>
      </c>
      <c r="G349">
        <v>3</v>
      </c>
      <c r="H349" t="s">
        <v>12</v>
      </c>
    </row>
    <row r="350" spans="1:8">
      <c r="A350" t="s">
        <v>217</v>
      </c>
      <c r="B350" t="s">
        <v>224</v>
      </c>
      <c r="C350" t="s">
        <v>225</v>
      </c>
      <c r="D350" t="s">
        <v>340</v>
      </c>
      <c r="E350">
        <v>48</v>
      </c>
      <c r="F350" t="s">
        <v>11</v>
      </c>
      <c r="G350">
        <v>2</v>
      </c>
      <c r="H350" t="s">
        <v>12</v>
      </c>
    </row>
    <row r="351" spans="1:8">
      <c r="A351" t="s">
        <v>217</v>
      </c>
      <c r="B351" t="s">
        <v>224</v>
      </c>
      <c r="C351" t="s">
        <v>225</v>
      </c>
      <c r="D351" t="s">
        <v>10</v>
      </c>
      <c r="E351">
        <v>52</v>
      </c>
      <c r="F351" t="s">
        <v>11</v>
      </c>
      <c r="G351">
        <v>3</v>
      </c>
      <c r="H351" t="s">
        <v>12</v>
      </c>
    </row>
    <row r="352" spans="1:8">
      <c r="A352" t="s">
        <v>217</v>
      </c>
      <c r="B352" t="s">
        <v>224</v>
      </c>
      <c r="C352" t="s">
        <v>225</v>
      </c>
      <c r="D352" t="s">
        <v>636</v>
      </c>
      <c r="E352">
        <v>51</v>
      </c>
      <c r="F352" t="s">
        <v>11</v>
      </c>
      <c r="G352">
        <v>4</v>
      </c>
      <c r="H352" t="s">
        <v>12</v>
      </c>
    </row>
    <row r="353" spans="1:8">
      <c r="A353" t="s">
        <v>217</v>
      </c>
      <c r="B353" t="s">
        <v>381</v>
      </c>
      <c r="C353" t="s">
        <v>382</v>
      </c>
      <c r="D353" t="s">
        <v>340</v>
      </c>
      <c r="E353">
        <v>55</v>
      </c>
      <c r="F353" t="s">
        <v>11</v>
      </c>
      <c r="G353">
        <v>2</v>
      </c>
      <c r="H353" t="s">
        <v>12</v>
      </c>
    </row>
    <row r="354" spans="1:8">
      <c r="A354" t="s">
        <v>217</v>
      </c>
      <c r="B354" t="s">
        <v>381</v>
      </c>
      <c r="C354" t="s">
        <v>382</v>
      </c>
      <c r="D354" t="s">
        <v>838</v>
      </c>
      <c r="E354">
        <v>40</v>
      </c>
      <c r="F354" t="s">
        <v>11</v>
      </c>
      <c r="G354">
        <v>2</v>
      </c>
      <c r="H354" t="s">
        <v>12</v>
      </c>
    </row>
    <row r="355" spans="1:8">
      <c r="A355" t="s">
        <v>217</v>
      </c>
      <c r="B355" t="s">
        <v>675</v>
      </c>
      <c r="C355" t="s">
        <v>676</v>
      </c>
      <c r="D355" t="s">
        <v>636</v>
      </c>
      <c r="E355">
        <v>31</v>
      </c>
      <c r="F355" t="s">
        <v>11</v>
      </c>
      <c r="G355">
        <v>4</v>
      </c>
      <c r="H355" t="s">
        <v>12</v>
      </c>
    </row>
    <row r="356" spans="1:8">
      <c r="A356" t="s">
        <v>217</v>
      </c>
      <c r="B356" t="s">
        <v>383</v>
      </c>
      <c r="C356" t="s">
        <v>384</v>
      </c>
      <c r="D356" t="s">
        <v>712</v>
      </c>
      <c r="E356">
        <v>58</v>
      </c>
      <c r="F356" t="s">
        <v>11</v>
      </c>
      <c r="G356">
        <v>2</v>
      </c>
      <c r="H356" t="s">
        <v>12</v>
      </c>
    </row>
    <row r="357" spans="1:8">
      <c r="A357" t="s">
        <v>217</v>
      </c>
      <c r="B357" t="s">
        <v>383</v>
      </c>
      <c r="C357" t="s">
        <v>384</v>
      </c>
      <c r="D357" t="s">
        <v>340</v>
      </c>
      <c r="E357">
        <v>48</v>
      </c>
      <c r="F357" t="s">
        <v>11</v>
      </c>
      <c r="G357">
        <v>2</v>
      </c>
      <c r="H357" t="s">
        <v>12</v>
      </c>
    </row>
    <row r="358" spans="1:8">
      <c r="A358" t="s">
        <v>217</v>
      </c>
      <c r="B358" t="s">
        <v>801</v>
      </c>
      <c r="C358" t="s">
        <v>802</v>
      </c>
      <c r="D358" t="s">
        <v>838</v>
      </c>
      <c r="E358">
        <v>48</v>
      </c>
      <c r="F358" t="s">
        <v>11</v>
      </c>
      <c r="G358">
        <v>2</v>
      </c>
      <c r="H358" t="s">
        <v>12</v>
      </c>
    </row>
    <row r="359" spans="1:8">
      <c r="A359" t="s">
        <v>217</v>
      </c>
      <c r="B359" t="s">
        <v>385</v>
      </c>
      <c r="C359" t="s">
        <v>386</v>
      </c>
      <c r="D359" t="s">
        <v>712</v>
      </c>
      <c r="E359">
        <v>58</v>
      </c>
      <c r="F359" t="s">
        <v>11</v>
      </c>
      <c r="G359">
        <v>2</v>
      </c>
      <c r="H359" t="s">
        <v>12</v>
      </c>
    </row>
    <row r="360" spans="1:8">
      <c r="A360" t="s">
        <v>217</v>
      </c>
      <c r="B360" t="s">
        <v>385</v>
      </c>
      <c r="C360" t="s">
        <v>386</v>
      </c>
      <c r="D360" t="s">
        <v>340</v>
      </c>
      <c r="E360">
        <v>50</v>
      </c>
      <c r="F360" t="s">
        <v>11</v>
      </c>
      <c r="G360">
        <v>2</v>
      </c>
      <c r="H360" t="s">
        <v>12</v>
      </c>
    </row>
    <row r="361" spans="1:8">
      <c r="A361" t="s">
        <v>217</v>
      </c>
      <c r="B361" t="s">
        <v>226</v>
      </c>
      <c r="C361" t="s">
        <v>227</v>
      </c>
      <c r="D361" t="s">
        <v>10</v>
      </c>
      <c r="E361">
        <v>40</v>
      </c>
      <c r="F361" t="s">
        <v>11</v>
      </c>
      <c r="G361">
        <v>3</v>
      </c>
      <c r="H361" t="s">
        <v>12</v>
      </c>
    </row>
    <row r="362" spans="1:8">
      <c r="A362" t="s">
        <v>217</v>
      </c>
      <c r="B362" t="s">
        <v>228</v>
      </c>
      <c r="C362" t="s">
        <v>229</v>
      </c>
      <c r="D362" t="s">
        <v>10</v>
      </c>
      <c r="E362">
        <v>58</v>
      </c>
      <c r="F362" t="s">
        <v>11</v>
      </c>
      <c r="G362">
        <v>3</v>
      </c>
      <c r="H362" t="s">
        <v>12</v>
      </c>
    </row>
    <row r="363" spans="1:8">
      <c r="A363" t="s">
        <v>217</v>
      </c>
      <c r="B363" t="s">
        <v>230</v>
      </c>
      <c r="C363" t="s">
        <v>231</v>
      </c>
      <c r="D363" t="s">
        <v>10</v>
      </c>
      <c r="E363">
        <v>45</v>
      </c>
      <c r="F363" t="s">
        <v>11</v>
      </c>
      <c r="G363">
        <v>3</v>
      </c>
      <c r="H363" t="s">
        <v>12</v>
      </c>
    </row>
    <row r="364" spans="1:8">
      <c r="A364" t="s">
        <v>217</v>
      </c>
      <c r="B364" t="s">
        <v>232</v>
      </c>
      <c r="C364" t="s">
        <v>233</v>
      </c>
      <c r="D364" t="s">
        <v>10</v>
      </c>
      <c r="E364">
        <v>41</v>
      </c>
      <c r="F364" t="s">
        <v>11</v>
      </c>
      <c r="G364">
        <v>3</v>
      </c>
      <c r="H364" t="s">
        <v>12</v>
      </c>
    </row>
    <row r="365" spans="1:8">
      <c r="A365" t="s">
        <v>217</v>
      </c>
      <c r="B365" t="s">
        <v>232</v>
      </c>
      <c r="C365" t="s">
        <v>233</v>
      </c>
      <c r="D365" t="s">
        <v>636</v>
      </c>
      <c r="E365">
        <v>40</v>
      </c>
      <c r="F365" t="s">
        <v>11</v>
      </c>
      <c r="G365">
        <v>4</v>
      </c>
      <c r="H365" t="s">
        <v>12</v>
      </c>
    </row>
    <row r="366" spans="1:8">
      <c r="A366" t="s">
        <v>122</v>
      </c>
      <c r="B366" t="s">
        <v>123</v>
      </c>
      <c r="C366" t="s">
        <v>124</v>
      </c>
      <c r="D366" t="s">
        <v>712</v>
      </c>
      <c r="E366">
        <v>54</v>
      </c>
      <c r="F366" t="s">
        <v>11</v>
      </c>
      <c r="G366">
        <v>2</v>
      </c>
      <c r="H366" t="s">
        <v>12</v>
      </c>
    </row>
    <row r="367" spans="1:8">
      <c r="A367" t="s">
        <v>122</v>
      </c>
      <c r="B367" t="s">
        <v>123</v>
      </c>
      <c r="C367" t="s">
        <v>124</v>
      </c>
      <c r="D367" t="s">
        <v>10</v>
      </c>
      <c r="E367">
        <v>55</v>
      </c>
      <c r="F367" t="s">
        <v>11</v>
      </c>
      <c r="G367">
        <v>3</v>
      </c>
      <c r="H367" t="s">
        <v>12</v>
      </c>
    </row>
    <row r="368" spans="1:8">
      <c r="A368" t="s">
        <v>122</v>
      </c>
      <c r="B368" t="s">
        <v>123</v>
      </c>
      <c r="C368" t="s">
        <v>124</v>
      </c>
      <c r="D368" t="s">
        <v>838</v>
      </c>
      <c r="E368">
        <v>50</v>
      </c>
      <c r="F368" t="s">
        <v>11</v>
      </c>
      <c r="G368">
        <v>2</v>
      </c>
      <c r="H368" t="s">
        <v>12</v>
      </c>
    </row>
    <row r="369" spans="1:8">
      <c r="A369" t="s">
        <v>122</v>
      </c>
      <c r="B369" t="s">
        <v>431</v>
      </c>
      <c r="C369" t="s">
        <v>432</v>
      </c>
      <c r="D369" t="s">
        <v>712</v>
      </c>
      <c r="E369">
        <v>54</v>
      </c>
      <c r="F369" t="s">
        <v>11</v>
      </c>
      <c r="G369">
        <v>2</v>
      </c>
      <c r="H369" t="s">
        <v>12</v>
      </c>
    </row>
    <row r="370" spans="1:8">
      <c r="A370" t="s">
        <v>122</v>
      </c>
      <c r="B370" t="s">
        <v>431</v>
      </c>
      <c r="C370" t="s">
        <v>432</v>
      </c>
      <c r="D370" t="s">
        <v>340</v>
      </c>
      <c r="E370">
        <v>56</v>
      </c>
      <c r="F370" t="s">
        <v>11</v>
      </c>
      <c r="G370">
        <v>2</v>
      </c>
      <c r="H370" t="s">
        <v>12</v>
      </c>
    </row>
    <row r="371" spans="1:8">
      <c r="A371" t="s">
        <v>122</v>
      </c>
      <c r="B371" t="s">
        <v>777</v>
      </c>
      <c r="C371" t="s">
        <v>778</v>
      </c>
      <c r="D371" t="s">
        <v>712</v>
      </c>
      <c r="E371">
        <v>56</v>
      </c>
      <c r="F371" t="s">
        <v>11</v>
      </c>
      <c r="G371">
        <v>2</v>
      </c>
      <c r="H371" t="s">
        <v>12</v>
      </c>
    </row>
    <row r="372" spans="1:8">
      <c r="A372" t="s">
        <v>122</v>
      </c>
      <c r="B372" t="s">
        <v>779</v>
      </c>
      <c r="C372" t="s">
        <v>780</v>
      </c>
      <c r="D372" t="s">
        <v>712</v>
      </c>
      <c r="E372">
        <v>57</v>
      </c>
      <c r="F372" t="s">
        <v>11</v>
      </c>
      <c r="G372">
        <v>2</v>
      </c>
      <c r="H372" t="s">
        <v>12</v>
      </c>
    </row>
    <row r="373" spans="1:8">
      <c r="A373" t="s">
        <v>122</v>
      </c>
      <c r="B373" t="s">
        <v>779</v>
      </c>
      <c r="C373" t="s">
        <v>780</v>
      </c>
      <c r="D373" t="s">
        <v>838</v>
      </c>
      <c r="E373">
        <v>50</v>
      </c>
      <c r="F373" t="s">
        <v>11</v>
      </c>
      <c r="G373">
        <v>2</v>
      </c>
      <c r="H373" t="s">
        <v>12</v>
      </c>
    </row>
    <row r="374" spans="1:8">
      <c r="A374" t="s">
        <v>122</v>
      </c>
      <c r="B374" t="s">
        <v>125</v>
      </c>
      <c r="C374" t="s">
        <v>126</v>
      </c>
      <c r="D374" t="s">
        <v>712</v>
      </c>
      <c r="E374">
        <v>55</v>
      </c>
      <c r="F374" t="s">
        <v>11</v>
      </c>
      <c r="G374">
        <v>2</v>
      </c>
      <c r="H374" t="s">
        <v>12</v>
      </c>
    </row>
    <row r="375" spans="1:8">
      <c r="A375" t="s">
        <v>122</v>
      </c>
      <c r="B375" t="s">
        <v>125</v>
      </c>
      <c r="C375" t="s">
        <v>126</v>
      </c>
      <c r="D375" t="s">
        <v>340</v>
      </c>
      <c r="E375">
        <v>56</v>
      </c>
      <c r="F375" t="s">
        <v>11</v>
      </c>
      <c r="G375">
        <v>2</v>
      </c>
      <c r="H375" t="s">
        <v>12</v>
      </c>
    </row>
    <row r="376" spans="1:8">
      <c r="A376" t="s">
        <v>122</v>
      </c>
      <c r="B376" t="s">
        <v>125</v>
      </c>
      <c r="C376" t="s">
        <v>126</v>
      </c>
      <c r="D376" t="s">
        <v>10</v>
      </c>
      <c r="E376">
        <v>55</v>
      </c>
      <c r="F376" t="s">
        <v>11</v>
      </c>
      <c r="G376">
        <v>3</v>
      </c>
      <c r="H376" t="s">
        <v>12</v>
      </c>
    </row>
    <row r="377" spans="1:8">
      <c r="A377" t="s">
        <v>122</v>
      </c>
      <c r="B377" t="s">
        <v>125</v>
      </c>
      <c r="C377" t="s">
        <v>126</v>
      </c>
      <c r="D377" t="s">
        <v>838</v>
      </c>
      <c r="E377">
        <v>50</v>
      </c>
      <c r="F377" t="s">
        <v>11</v>
      </c>
      <c r="G377">
        <v>2</v>
      </c>
      <c r="H377" t="s">
        <v>12</v>
      </c>
    </row>
    <row r="378" spans="1:8">
      <c r="A378" t="s">
        <v>122</v>
      </c>
      <c r="B378" t="s">
        <v>781</v>
      </c>
      <c r="C378" t="s">
        <v>782</v>
      </c>
      <c r="D378" t="s">
        <v>712</v>
      </c>
      <c r="E378">
        <v>57</v>
      </c>
      <c r="F378" t="s">
        <v>11</v>
      </c>
      <c r="G378">
        <v>2</v>
      </c>
      <c r="H378" t="s">
        <v>12</v>
      </c>
    </row>
    <row r="379" spans="1:8">
      <c r="A379" t="s">
        <v>122</v>
      </c>
      <c r="B379" t="s">
        <v>783</v>
      </c>
      <c r="C379" t="s">
        <v>784</v>
      </c>
      <c r="D379" t="s">
        <v>712</v>
      </c>
      <c r="E379">
        <v>58</v>
      </c>
      <c r="F379" t="s">
        <v>11</v>
      </c>
      <c r="G379">
        <v>2</v>
      </c>
      <c r="H379" t="s">
        <v>12</v>
      </c>
    </row>
    <row r="380" spans="1:8">
      <c r="A380" t="s">
        <v>122</v>
      </c>
      <c r="B380" t="s">
        <v>785</v>
      </c>
      <c r="C380" t="s">
        <v>786</v>
      </c>
      <c r="D380" t="s">
        <v>712</v>
      </c>
      <c r="E380">
        <v>58</v>
      </c>
      <c r="F380" t="s">
        <v>11</v>
      </c>
      <c r="G380">
        <v>2</v>
      </c>
      <c r="H380" t="s">
        <v>12</v>
      </c>
    </row>
    <row r="381" spans="1:8">
      <c r="A381" t="s">
        <v>122</v>
      </c>
      <c r="B381" t="s">
        <v>822</v>
      </c>
      <c r="C381" t="s">
        <v>823</v>
      </c>
      <c r="D381" t="s">
        <v>838</v>
      </c>
      <c r="E381">
        <v>55</v>
      </c>
      <c r="F381" t="s">
        <v>11</v>
      </c>
      <c r="G381">
        <v>2</v>
      </c>
      <c r="H381" t="s">
        <v>12</v>
      </c>
    </row>
    <row r="382" spans="1:8">
      <c r="A382" t="s">
        <v>122</v>
      </c>
      <c r="B382" t="s">
        <v>433</v>
      </c>
      <c r="C382" t="s">
        <v>434</v>
      </c>
      <c r="D382" t="s">
        <v>712</v>
      </c>
      <c r="E382">
        <v>57</v>
      </c>
      <c r="F382" t="s">
        <v>11</v>
      </c>
      <c r="G382">
        <v>2</v>
      </c>
      <c r="H382" t="s">
        <v>12</v>
      </c>
    </row>
    <row r="383" spans="1:8">
      <c r="A383" t="s">
        <v>122</v>
      </c>
      <c r="B383" t="s">
        <v>433</v>
      </c>
      <c r="C383" t="s">
        <v>434</v>
      </c>
      <c r="D383" t="s">
        <v>340</v>
      </c>
      <c r="E383">
        <v>47</v>
      </c>
      <c r="F383" t="s">
        <v>11</v>
      </c>
      <c r="G383">
        <v>2</v>
      </c>
      <c r="H383" t="s">
        <v>12</v>
      </c>
    </row>
    <row r="384" spans="1:8">
      <c r="A384" t="s">
        <v>122</v>
      </c>
      <c r="B384" t="s">
        <v>433</v>
      </c>
      <c r="C384" t="s">
        <v>434</v>
      </c>
      <c r="D384" t="s">
        <v>838</v>
      </c>
      <c r="E384">
        <v>50</v>
      </c>
      <c r="F384" t="s">
        <v>11</v>
      </c>
      <c r="G384">
        <v>2</v>
      </c>
      <c r="H384" t="s">
        <v>12</v>
      </c>
    </row>
    <row r="385" spans="1:8">
      <c r="A385" t="s">
        <v>122</v>
      </c>
      <c r="B385" t="s">
        <v>787</v>
      </c>
      <c r="C385" t="s">
        <v>788</v>
      </c>
      <c r="D385" t="s">
        <v>712</v>
      </c>
      <c r="E385">
        <v>58</v>
      </c>
      <c r="F385" t="s">
        <v>11</v>
      </c>
      <c r="G385">
        <v>2</v>
      </c>
      <c r="H385" t="s">
        <v>12</v>
      </c>
    </row>
    <row r="386" spans="1:8">
      <c r="A386" t="s">
        <v>122</v>
      </c>
      <c r="B386" t="s">
        <v>127</v>
      </c>
      <c r="C386" t="s">
        <v>128</v>
      </c>
      <c r="D386" t="s">
        <v>712</v>
      </c>
      <c r="E386">
        <v>55</v>
      </c>
      <c r="F386" t="s">
        <v>11</v>
      </c>
      <c r="G386">
        <v>2</v>
      </c>
      <c r="H386" t="s">
        <v>12</v>
      </c>
    </row>
    <row r="387" spans="1:8">
      <c r="A387" t="s">
        <v>122</v>
      </c>
      <c r="B387" t="s">
        <v>127</v>
      </c>
      <c r="C387" t="s">
        <v>128</v>
      </c>
      <c r="D387" t="s">
        <v>340</v>
      </c>
      <c r="E387">
        <v>47</v>
      </c>
      <c r="F387" t="s">
        <v>11</v>
      </c>
      <c r="G387">
        <v>2</v>
      </c>
      <c r="H387" t="s">
        <v>12</v>
      </c>
    </row>
    <row r="388" spans="1:8">
      <c r="A388" t="s">
        <v>122</v>
      </c>
      <c r="B388" t="s">
        <v>127</v>
      </c>
      <c r="C388" t="s">
        <v>128</v>
      </c>
      <c r="D388" t="s">
        <v>10</v>
      </c>
      <c r="E388">
        <v>50</v>
      </c>
      <c r="F388" t="s">
        <v>11</v>
      </c>
      <c r="G388">
        <v>3</v>
      </c>
      <c r="H388" t="s">
        <v>12</v>
      </c>
    </row>
    <row r="389" spans="1:8">
      <c r="A389" t="s">
        <v>122</v>
      </c>
      <c r="B389" t="s">
        <v>127</v>
      </c>
      <c r="C389" t="s">
        <v>128</v>
      </c>
      <c r="D389" t="s">
        <v>838</v>
      </c>
      <c r="E389">
        <v>40</v>
      </c>
      <c r="F389" t="s">
        <v>11</v>
      </c>
      <c r="G389">
        <v>2</v>
      </c>
      <c r="H389" t="s">
        <v>12</v>
      </c>
    </row>
    <row r="390" spans="1:8">
      <c r="A390" t="s">
        <v>122</v>
      </c>
      <c r="B390" t="s">
        <v>435</v>
      </c>
      <c r="C390" t="s">
        <v>436</v>
      </c>
      <c r="D390" t="s">
        <v>340</v>
      </c>
      <c r="E390">
        <v>49</v>
      </c>
      <c r="F390" t="s">
        <v>11</v>
      </c>
      <c r="G390">
        <v>2</v>
      </c>
      <c r="H390" t="s">
        <v>12</v>
      </c>
    </row>
    <row r="391" spans="1:8">
      <c r="A391" t="s">
        <v>122</v>
      </c>
      <c r="B391" t="s">
        <v>435</v>
      </c>
      <c r="C391" t="s">
        <v>436</v>
      </c>
      <c r="D391" t="s">
        <v>838</v>
      </c>
      <c r="E391">
        <v>40</v>
      </c>
      <c r="F391" t="s">
        <v>11</v>
      </c>
      <c r="G391">
        <v>2</v>
      </c>
      <c r="H391" t="s">
        <v>12</v>
      </c>
    </row>
    <row r="392" spans="1:8">
      <c r="A392" t="s">
        <v>122</v>
      </c>
      <c r="B392" t="s">
        <v>437</v>
      </c>
      <c r="C392" t="s">
        <v>438</v>
      </c>
      <c r="D392" t="s">
        <v>340</v>
      </c>
      <c r="E392">
        <v>56</v>
      </c>
      <c r="F392" t="s">
        <v>11</v>
      </c>
      <c r="G392">
        <v>2</v>
      </c>
      <c r="H392" t="s">
        <v>12</v>
      </c>
    </row>
    <row r="393" spans="1:8">
      <c r="A393" t="s">
        <v>122</v>
      </c>
      <c r="B393" t="s">
        <v>439</v>
      </c>
      <c r="C393" t="s">
        <v>440</v>
      </c>
      <c r="D393" t="s">
        <v>340</v>
      </c>
      <c r="E393">
        <v>51</v>
      </c>
      <c r="F393" t="s">
        <v>11</v>
      </c>
      <c r="G393">
        <v>2</v>
      </c>
      <c r="H393" t="s">
        <v>12</v>
      </c>
    </row>
    <row r="394" spans="1:8">
      <c r="A394" t="s">
        <v>122</v>
      </c>
      <c r="B394" t="s">
        <v>129</v>
      </c>
      <c r="C394" t="s">
        <v>130</v>
      </c>
      <c r="D394" t="s">
        <v>712</v>
      </c>
      <c r="E394">
        <v>58</v>
      </c>
      <c r="F394" t="s">
        <v>11</v>
      </c>
      <c r="G394">
        <v>2</v>
      </c>
      <c r="H394" t="s">
        <v>12</v>
      </c>
    </row>
    <row r="395" spans="1:8">
      <c r="A395" t="s">
        <v>122</v>
      </c>
      <c r="B395" t="s">
        <v>129</v>
      </c>
      <c r="C395" t="s">
        <v>130</v>
      </c>
      <c r="D395" t="s">
        <v>10</v>
      </c>
      <c r="E395">
        <v>50</v>
      </c>
      <c r="F395" t="s">
        <v>11</v>
      </c>
      <c r="G395">
        <v>3</v>
      </c>
      <c r="H395" t="s">
        <v>12</v>
      </c>
    </row>
    <row r="396" spans="1:8">
      <c r="A396" t="s">
        <v>122</v>
      </c>
      <c r="B396" t="s">
        <v>789</v>
      </c>
      <c r="C396" t="s">
        <v>790</v>
      </c>
      <c r="D396" t="s">
        <v>712</v>
      </c>
      <c r="E396">
        <v>58</v>
      </c>
      <c r="F396" t="s">
        <v>11</v>
      </c>
      <c r="G396">
        <v>2</v>
      </c>
      <c r="H396" t="s">
        <v>12</v>
      </c>
    </row>
    <row r="397" spans="1:8">
      <c r="A397" t="s">
        <v>122</v>
      </c>
      <c r="B397" t="s">
        <v>789</v>
      </c>
      <c r="C397" t="s">
        <v>790</v>
      </c>
      <c r="D397" t="s">
        <v>838</v>
      </c>
      <c r="E397">
        <v>52</v>
      </c>
      <c r="F397" t="s">
        <v>11</v>
      </c>
      <c r="G397">
        <v>2</v>
      </c>
      <c r="H397" t="s">
        <v>12</v>
      </c>
    </row>
    <row r="398" spans="1:8">
      <c r="A398" t="s">
        <v>122</v>
      </c>
      <c r="B398" t="s">
        <v>131</v>
      </c>
      <c r="C398" t="s">
        <v>132</v>
      </c>
      <c r="D398" t="s">
        <v>712</v>
      </c>
      <c r="E398">
        <v>49</v>
      </c>
      <c r="F398" t="s">
        <v>11</v>
      </c>
      <c r="G398">
        <v>2</v>
      </c>
      <c r="H398" t="s">
        <v>12</v>
      </c>
    </row>
    <row r="399" spans="1:8">
      <c r="A399" t="s">
        <v>122</v>
      </c>
      <c r="B399" t="s">
        <v>131</v>
      </c>
      <c r="C399" t="s">
        <v>132</v>
      </c>
      <c r="D399" t="s">
        <v>828</v>
      </c>
      <c r="E399">
        <v>43</v>
      </c>
      <c r="F399" t="s">
        <v>11</v>
      </c>
      <c r="G399">
        <v>1</v>
      </c>
      <c r="H399" t="s">
        <v>12</v>
      </c>
    </row>
    <row r="400" spans="1:8">
      <c r="A400" t="s">
        <v>122</v>
      </c>
      <c r="B400" t="s">
        <v>131</v>
      </c>
      <c r="C400" t="s">
        <v>132</v>
      </c>
      <c r="D400" t="s">
        <v>10</v>
      </c>
      <c r="E400">
        <v>45</v>
      </c>
      <c r="F400" t="s">
        <v>11</v>
      </c>
      <c r="G400">
        <v>3</v>
      </c>
      <c r="H400" t="s">
        <v>12</v>
      </c>
    </row>
    <row r="401" spans="1:8">
      <c r="A401" t="s">
        <v>122</v>
      </c>
      <c r="B401" t="s">
        <v>133</v>
      </c>
      <c r="C401" t="s">
        <v>134</v>
      </c>
      <c r="D401" t="s">
        <v>10</v>
      </c>
      <c r="E401">
        <v>46</v>
      </c>
      <c r="F401" t="s">
        <v>11</v>
      </c>
      <c r="G401">
        <v>3</v>
      </c>
      <c r="H401" t="s">
        <v>12</v>
      </c>
    </row>
    <row r="402" spans="1:8">
      <c r="A402" t="s">
        <v>122</v>
      </c>
      <c r="B402" t="s">
        <v>133</v>
      </c>
      <c r="C402" t="s">
        <v>134</v>
      </c>
      <c r="D402" t="s">
        <v>838</v>
      </c>
      <c r="E402">
        <v>40</v>
      </c>
      <c r="F402" t="s">
        <v>11</v>
      </c>
      <c r="G402">
        <v>2</v>
      </c>
      <c r="H402" t="s">
        <v>12</v>
      </c>
    </row>
    <row r="403" spans="1:8">
      <c r="A403" t="s">
        <v>122</v>
      </c>
      <c r="B403" t="s">
        <v>791</v>
      </c>
      <c r="C403" t="s">
        <v>792</v>
      </c>
      <c r="D403" t="s">
        <v>712</v>
      </c>
      <c r="E403">
        <v>58</v>
      </c>
      <c r="F403" t="s">
        <v>11</v>
      </c>
      <c r="G403">
        <v>2</v>
      </c>
      <c r="H403" t="s">
        <v>12</v>
      </c>
    </row>
    <row r="404" spans="1:8">
      <c r="A404" t="s">
        <v>122</v>
      </c>
      <c r="B404" t="s">
        <v>135</v>
      </c>
      <c r="C404" t="s">
        <v>136</v>
      </c>
      <c r="D404" t="s">
        <v>10</v>
      </c>
      <c r="E404">
        <v>52</v>
      </c>
      <c r="F404" t="s">
        <v>11</v>
      </c>
      <c r="G404">
        <v>3</v>
      </c>
      <c r="H404" t="s">
        <v>12</v>
      </c>
    </row>
    <row r="405" spans="1:8">
      <c r="A405" t="s">
        <v>122</v>
      </c>
      <c r="B405" t="s">
        <v>135</v>
      </c>
      <c r="C405" t="s">
        <v>136</v>
      </c>
      <c r="D405" t="s">
        <v>838</v>
      </c>
      <c r="E405">
        <v>53</v>
      </c>
      <c r="F405" t="s">
        <v>11</v>
      </c>
      <c r="G405">
        <v>2</v>
      </c>
      <c r="H405" t="s">
        <v>12</v>
      </c>
    </row>
    <row r="406" spans="1:8">
      <c r="A406" t="s">
        <v>122</v>
      </c>
      <c r="B406" t="s">
        <v>137</v>
      </c>
      <c r="C406" t="s">
        <v>138</v>
      </c>
      <c r="D406" t="s">
        <v>340</v>
      </c>
      <c r="E406">
        <v>48</v>
      </c>
      <c r="F406" t="s">
        <v>11</v>
      </c>
      <c r="G406">
        <v>2</v>
      </c>
      <c r="H406" t="s">
        <v>12</v>
      </c>
    </row>
    <row r="407" spans="1:8">
      <c r="A407" t="s">
        <v>122</v>
      </c>
      <c r="B407" t="s">
        <v>137</v>
      </c>
      <c r="C407" t="s">
        <v>138</v>
      </c>
      <c r="D407" t="s">
        <v>10</v>
      </c>
      <c r="E407">
        <v>40</v>
      </c>
      <c r="F407" t="s">
        <v>11</v>
      </c>
      <c r="G407">
        <v>3</v>
      </c>
      <c r="H407" t="s">
        <v>12</v>
      </c>
    </row>
    <row r="408" spans="1:8">
      <c r="A408" t="s">
        <v>122</v>
      </c>
      <c r="B408" t="s">
        <v>137</v>
      </c>
      <c r="C408" t="s">
        <v>138</v>
      </c>
      <c r="D408" t="s">
        <v>838</v>
      </c>
      <c r="E408">
        <v>40</v>
      </c>
      <c r="F408" t="s">
        <v>11</v>
      </c>
      <c r="G408">
        <v>2</v>
      </c>
      <c r="H408" t="s">
        <v>12</v>
      </c>
    </row>
    <row r="409" spans="1:8">
      <c r="A409" t="s">
        <v>122</v>
      </c>
      <c r="B409" t="s">
        <v>139</v>
      </c>
      <c r="C409" t="s">
        <v>140</v>
      </c>
      <c r="D409" t="s">
        <v>712</v>
      </c>
      <c r="E409">
        <v>56</v>
      </c>
      <c r="F409" t="s">
        <v>11</v>
      </c>
      <c r="G409">
        <v>2</v>
      </c>
      <c r="H409" t="s">
        <v>12</v>
      </c>
    </row>
    <row r="410" spans="1:8">
      <c r="A410" t="s">
        <v>122</v>
      </c>
      <c r="B410" t="s">
        <v>139</v>
      </c>
      <c r="C410" t="s">
        <v>140</v>
      </c>
      <c r="D410" t="s">
        <v>340</v>
      </c>
      <c r="E410">
        <v>56</v>
      </c>
      <c r="F410" t="s">
        <v>11</v>
      </c>
      <c r="G410">
        <v>2</v>
      </c>
      <c r="H410" t="s">
        <v>12</v>
      </c>
    </row>
    <row r="411" spans="1:8">
      <c r="A411" t="s">
        <v>122</v>
      </c>
      <c r="B411" t="s">
        <v>139</v>
      </c>
      <c r="C411" t="s">
        <v>140</v>
      </c>
      <c r="D411" t="s">
        <v>10</v>
      </c>
      <c r="E411">
        <v>50</v>
      </c>
      <c r="F411" t="s">
        <v>11</v>
      </c>
      <c r="G411">
        <v>3</v>
      </c>
      <c r="H411" t="s">
        <v>12</v>
      </c>
    </row>
    <row r="412" spans="1:8">
      <c r="A412" t="s">
        <v>122</v>
      </c>
      <c r="B412" t="s">
        <v>139</v>
      </c>
      <c r="C412" t="s">
        <v>140</v>
      </c>
      <c r="D412" t="s">
        <v>838</v>
      </c>
      <c r="E412">
        <v>51</v>
      </c>
      <c r="F412" t="s">
        <v>11</v>
      </c>
      <c r="G412">
        <v>2</v>
      </c>
      <c r="H412" t="s">
        <v>12</v>
      </c>
    </row>
    <row r="413" spans="1:8">
      <c r="A413" t="s">
        <v>322</v>
      </c>
      <c r="B413" t="s">
        <v>763</v>
      </c>
      <c r="C413" t="s">
        <v>764</v>
      </c>
      <c r="D413" t="s">
        <v>712</v>
      </c>
      <c r="E413">
        <v>53</v>
      </c>
      <c r="F413" t="s">
        <v>11</v>
      </c>
      <c r="G413">
        <v>2</v>
      </c>
      <c r="H413" t="s">
        <v>12</v>
      </c>
    </row>
    <row r="414" spans="1:8">
      <c r="A414" t="s">
        <v>322</v>
      </c>
      <c r="B414" t="s">
        <v>765</v>
      </c>
      <c r="C414" t="s">
        <v>766</v>
      </c>
      <c r="D414" t="s">
        <v>712</v>
      </c>
      <c r="E414">
        <v>58</v>
      </c>
      <c r="F414" t="s">
        <v>11</v>
      </c>
      <c r="G414">
        <v>2</v>
      </c>
      <c r="H414" t="s">
        <v>12</v>
      </c>
    </row>
    <row r="415" spans="1:8">
      <c r="A415" t="s">
        <v>322</v>
      </c>
      <c r="B415" t="s">
        <v>767</v>
      </c>
      <c r="C415" t="s">
        <v>768</v>
      </c>
      <c r="D415" t="s">
        <v>712</v>
      </c>
      <c r="E415">
        <v>58</v>
      </c>
      <c r="F415" t="s">
        <v>11</v>
      </c>
      <c r="G415">
        <v>2</v>
      </c>
      <c r="H415" t="s">
        <v>12</v>
      </c>
    </row>
    <row r="416" spans="1:8">
      <c r="A416" t="s">
        <v>322</v>
      </c>
      <c r="B416" t="s">
        <v>769</v>
      </c>
      <c r="C416" t="s">
        <v>770</v>
      </c>
      <c r="D416" t="s">
        <v>712</v>
      </c>
      <c r="E416">
        <v>58</v>
      </c>
      <c r="F416" t="s">
        <v>11</v>
      </c>
      <c r="G416">
        <v>2</v>
      </c>
      <c r="H416" t="s">
        <v>12</v>
      </c>
    </row>
    <row r="417" spans="1:8">
      <c r="A417" t="s">
        <v>322</v>
      </c>
      <c r="B417" t="s">
        <v>771</v>
      </c>
      <c r="C417" t="s">
        <v>772</v>
      </c>
      <c r="D417" t="s">
        <v>712</v>
      </c>
      <c r="E417">
        <v>51</v>
      </c>
      <c r="F417" t="s">
        <v>11</v>
      </c>
      <c r="G417">
        <v>2</v>
      </c>
      <c r="H417" t="s">
        <v>12</v>
      </c>
    </row>
    <row r="418" spans="1:8">
      <c r="A418" t="s">
        <v>322</v>
      </c>
      <c r="B418" t="s">
        <v>773</v>
      </c>
      <c r="C418" t="s">
        <v>774</v>
      </c>
      <c r="D418" t="s">
        <v>712</v>
      </c>
      <c r="E418">
        <v>56</v>
      </c>
      <c r="F418" t="s">
        <v>11</v>
      </c>
      <c r="G418">
        <v>2</v>
      </c>
      <c r="H418" t="s">
        <v>12</v>
      </c>
    </row>
    <row r="419" spans="1:8">
      <c r="A419" t="s">
        <v>322</v>
      </c>
      <c r="B419" t="s">
        <v>773</v>
      </c>
      <c r="C419" t="s">
        <v>774</v>
      </c>
      <c r="D419" t="s">
        <v>838</v>
      </c>
      <c r="E419">
        <v>50</v>
      </c>
      <c r="F419" t="s">
        <v>11</v>
      </c>
      <c r="G419">
        <v>2</v>
      </c>
      <c r="H419" t="s">
        <v>12</v>
      </c>
    </row>
    <row r="420" spans="1:8">
      <c r="A420" t="s">
        <v>322</v>
      </c>
      <c r="B420" t="s">
        <v>323</v>
      </c>
      <c r="C420" t="s">
        <v>324</v>
      </c>
      <c r="D420" t="s">
        <v>702</v>
      </c>
      <c r="E420">
        <v>59</v>
      </c>
      <c r="F420" t="s">
        <v>11</v>
      </c>
      <c r="G420">
        <v>2</v>
      </c>
      <c r="H420" t="s">
        <v>12</v>
      </c>
    </row>
    <row r="421" spans="1:8">
      <c r="A421" t="s">
        <v>322</v>
      </c>
      <c r="B421" t="s">
        <v>323</v>
      </c>
      <c r="C421" t="s">
        <v>324</v>
      </c>
      <c r="D421" t="s">
        <v>10</v>
      </c>
      <c r="E421">
        <v>48</v>
      </c>
      <c r="F421" t="s">
        <v>11</v>
      </c>
      <c r="G421">
        <v>3</v>
      </c>
      <c r="H421" t="s">
        <v>12</v>
      </c>
    </row>
    <row r="422" spans="1:8">
      <c r="A422" t="s">
        <v>322</v>
      </c>
      <c r="B422" t="s">
        <v>323</v>
      </c>
      <c r="C422" t="s">
        <v>324</v>
      </c>
      <c r="D422" t="s">
        <v>838</v>
      </c>
      <c r="E422">
        <v>51</v>
      </c>
      <c r="F422" t="s">
        <v>11</v>
      </c>
      <c r="G422">
        <v>2</v>
      </c>
      <c r="H422" t="s">
        <v>12</v>
      </c>
    </row>
    <row r="423" spans="1:8">
      <c r="A423" t="s">
        <v>322</v>
      </c>
      <c r="B423" t="s">
        <v>537</v>
      </c>
      <c r="C423" t="s">
        <v>538</v>
      </c>
      <c r="D423" t="s">
        <v>340</v>
      </c>
      <c r="E423">
        <v>40</v>
      </c>
      <c r="F423" t="s">
        <v>11</v>
      </c>
      <c r="G423">
        <v>2</v>
      </c>
      <c r="H423" t="s">
        <v>12</v>
      </c>
    </row>
    <row r="424" spans="1:8">
      <c r="A424" t="s">
        <v>322</v>
      </c>
      <c r="B424" t="s">
        <v>842</v>
      </c>
      <c r="C424" t="s">
        <v>843</v>
      </c>
      <c r="D424" t="s">
        <v>838</v>
      </c>
      <c r="E424">
        <v>55</v>
      </c>
      <c r="F424" t="s">
        <v>11</v>
      </c>
      <c r="G424">
        <v>2</v>
      </c>
      <c r="H424" t="s">
        <v>12</v>
      </c>
    </row>
    <row r="425" spans="1:8">
      <c r="A425" t="s">
        <v>322</v>
      </c>
      <c r="B425" t="s">
        <v>844</v>
      </c>
      <c r="C425" t="s">
        <v>845</v>
      </c>
      <c r="D425" t="s">
        <v>838</v>
      </c>
      <c r="E425">
        <v>52</v>
      </c>
      <c r="F425" t="s">
        <v>11</v>
      </c>
      <c r="G425">
        <v>2</v>
      </c>
      <c r="H425" t="s">
        <v>12</v>
      </c>
    </row>
    <row r="426" spans="1:8">
      <c r="A426" t="s">
        <v>322</v>
      </c>
      <c r="B426" t="s">
        <v>539</v>
      </c>
      <c r="C426" t="s">
        <v>540</v>
      </c>
      <c r="D426" t="s">
        <v>340</v>
      </c>
      <c r="E426">
        <v>42</v>
      </c>
      <c r="F426" t="s">
        <v>11</v>
      </c>
      <c r="G426">
        <v>2</v>
      </c>
      <c r="H426" t="s">
        <v>12</v>
      </c>
    </row>
    <row r="427" spans="1:8">
      <c r="A427" t="s">
        <v>322</v>
      </c>
      <c r="B427" t="s">
        <v>325</v>
      </c>
      <c r="C427" t="s">
        <v>326</v>
      </c>
      <c r="D427" t="s">
        <v>712</v>
      </c>
      <c r="E427">
        <v>42</v>
      </c>
      <c r="F427" t="s">
        <v>11</v>
      </c>
      <c r="G427">
        <v>2</v>
      </c>
      <c r="H427" t="s">
        <v>12</v>
      </c>
    </row>
    <row r="428" spans="1:8">
      <c r="A428" t="s">
        <v>322</v>
      </c>
      <c r="B428" t="s">
        <v>325</v>
      </c>
      <c r="C428" t="s">
        <v>326</v>
      </c>
      <c r="D428" t="s">
        <v>340</v>
      </c>
      <c r="E428">
        <v>40</v>
      </c>
      <c r="F428" t="s">
        <v>11</v>
      </c>
      <c r="G428">
        <v>2</v>
      </c>
      <c r="H428" t="s">
        <v>12</v>
      </c>
    </row>
    <row r="429" spans="1:8">
      <c r="A429" t="s">
        <v>322</v>
      </c>
      <c r="B429" t="s">
        <v>325</v>
      </c>
      <c r="C429" t="s">
        <v>326</v>
      </c>
      <c r="D429" t="s">
        <v>10</v>
      </c>
      <c r="E429">
        <v>51</v>
      </c>
      <c r="F429" t="s">
        <v>11</v>
      </c>
      <c r="G429">
        <v>3</v>
      </c>
      <c r="H429" t="s">
        <v>12</v>
      </c>
    </row>
    <row r="430" spans="1:8">
      <c r="A430" t="s">
        <v>322</v>
      </c>
      <c r="B430" t="s">
        <v>325</v>
      </c>
      <c r="C430" t="s">
        <v>326</v>
      </c>
      <c r="D430" t="s">
        <v>636</v>
      </c>
      <c r="E430">
        <v>50</v>
      </c>
      <c r="F430" t="s">
        <v>11</v>
      </c>
      <c r="G430">
        <v>4</v>
      </c>
      <c r="H430" t="s">
        <v>12</v>
      </c>
    </row>
    <row r="431" spans="1:8">
      <c r="A431" t="s">
        <v>322</v>
      </c>
      <c r="B431" t="s">
        <v>325</v>
      </c>
      <c r="C431" t="s">
        <v>326</v>
      </c>
      <c r="D431" t="s">
        <v>838</v>
      </c>
      <c r="E431">
        <v>40</v>
      </c>
      <c r="F431" t="s">
        <v>11</v>
      </c>
      <c r="G431">
        <v>2</v>
      </c>
      <c r="H431" t="s">
        <v>12</v>
      </c>
    </row>
    <row r="432" spans="1:8">
      <c r="A432" t="s">
        <v>322</v>
      </c>
      <c r="B432" t="s">
        <v>327</v>
      </c>
      <c r="C432" t="s">
        <v>328</v>
      </c>
      <c r="D432" t="s">
        <v>10</v>
      </c>
      <c r="E432">
        <v>52</v>
      </c>
      <c r="F432" t="s">
        <v>11</v>
      </c>
      <c r="G432">
        <v>3</v>
      </c>
      <c r="H432" t="s">
        <v>12</v>
      </c>
    </row>
    <row r="433" spans="1:8">
      <c r="A433" t="s">
        <v>322</v>
      </c>
      <c r="B433" t="s">
        <v>327</v>
      </c>
      <c r="C433" t="s">
        <v>328</v>
      </c>
      <c r="D433" t="s">
        <v>838</v>
      </c>
      <c r="E433">
        <v>40</v>
      </c>
      <c r="F433" t="s">
        <v>11</v>
      </c>
      <c r="G433">
        <v>2</v>
      </c>
      <c r="H433" t="s">
        <v>12</v>
      </c>
    </row>
    <row r="434" spans="1:8">
      <c r="A434" t="s">
        <v>322</v>
      </c>
      <c r="B434" t="s">
        <v>329</v>
      </c>
      <c r="C434" t="s">
        <v>330</v>
      </c>
      <c r="D434" t="s">
        <v>340</v>
      </c>
      <c r="E434">
        <v>45</v>
      </c>
      <c r="F434" t="s">
        <v>11</v>
      </c>
      <c r="G434">
        <v>2</v>
      </c>
      <c r="H434" t="s">
        <v>12</v>
      </c>
    </row>
    <row r="435" spans="1:8">
      <c r="A435" t="s">
        <v>322</v>
      </c>
      <c r="B435" t="s">
        <v>329</v>
      </c>
      <c r="C435" t="s">
        <v>330</v>
      </c>
      <c r="D435" t="s">
        <v>10</v>
      </c>
      <c r="E435">
        <v>56</v>
      </c>
      <c r="F435" t="s">
        <v>11</v>
      </c>
      <c r="G435">
        <v>3</v>
      </c>
      <c r="H435" t="s">
        <v>12</v>
      </c>
    </row>
    <row r="436" spans="1:8">
      <c r="A436" t="s">
        <v>322</v>
      </c>
      <c r="B436" t="s">
        <v>329</v>
      </c>
      <c r="C436" t="s">
        <v>330</v>
      </c>
      <c r="D436" t="s">
        <v>838</v>
      </c>
      <c r="E436">
        <v>53</v>
      </c>
      <c r="F436" t="s">
        <v>11</v>
      </c>
      <c r="G436">
        <v>2</v>
      </c>
      <c r="H436" t="s">
        <v>12</v>
      </c>
    </row>
    <row r="437" spans="1:8">
      <c r="A437" t="s">
        <v>322</v>
      </c>
      <c r="B437" t="s">
        <v>331</v>
      </c>
      <c r="C437" t="s">
        <v>332</v>
      </c>
      <c r="D437" t="s">
        <v>10</v>
      </c>
      <c r="E437">
        <v>58</v>
      </c>
      <c r="F437" t="s">
        <v>11</v>
      </c>
      <c r="G437">
        <v>3</v>
      </c>
      <c r="H437" t="s">
        <v>12</v>
      </c>
    </row>
    <row r="438" spans="1:8">
      <c r="A438" t="s">
        <v>322</v>
      </c>
      <c r="B438" t="s">
        <v>333</v>
      </c>
      <c r="C438" t="s">
        <v>334</v>
      </c>
      <c r="D438" t="s">
        <v>10</v>
      </c>
      <c r="E438">
        <v>53</v>
      </c>
      <c r="F438" t="s">
        <v>11</v>
      </c>
      <c r="G438">
        <v>3</v>
      </c>
      <c r="H438" t="s">
        <v>12</v>
      </c>
    </row>
    <row r="439" spans="1:8">
      <c r="A439" t="s">
        <v>322</v>
      </c>
      <c r="B439" t="s">
        <v>846</v>
      </c>
      <c r="C439" t="s">
        <v>847</v>
      </c>
      <c r="D439" t="s">
        <v>838</v>
      </c>
      <c r="E439">
        <v>50</v>
      </c>
      <c r="F439" t="s">
        <v>11</v>
      </c>
      <c r="G439">
        <v>2</v>
      </c>
      <c r="H439" t="s">
        <v>12</v>
      </c>
    </row>
    <row r="440" spans="1:8">
      <c r="A440" t="s">
        <v>194</v>
      </c>
      <c r="B440" t="s">
        <v>195</v>
      </c>
      <c r="C440" t="s">
        <v>196</v>
      </c>
      <c r="D440" t="s">
        <v>712</v>
      </c>
      <c r="E440">
        <v>43</v>
      </c>
      <c r="F440" t="s">
        <v>11</v>
      </c>
      <c r="G440">
        <v>2</v>
      </c>
      <c r="H440" t="s">
        <v>12</v>
      </c>
    </row>
    <row r="441" spans="1:8">
      <c r="A441" t="s">
        <v>194</v>
      </c>
      <c r="B441" t="s">
        <v>195</v>
      </c>
      <c r="C441" t="s">
        <v>196</v>
      </c>
      <c r="D441" t="s">
        <v>10</v>
      </c>
      <c r="E441">
        <v>55</v>
      </c>
      <c r="F441" t="s">
        <v>11</v>
      </c>
      <c r="G441">
        <v>3</v>
      </c>
      <c r="H441" t="s">
        <v>12</v>
      </c>
    </row>
    <row r="442" spans="1:8">
      <c r="A442" t="s">
        <v>194</v>
      </c>
      <c r="B442" t="s">
        <v>523</v>
      </c>
      <c r="C442" t="s">
        <v>524</v>
      </c>
      <c r="D442" t="s">
        <v>340</v>
      </c>
      <c r="E442">
        <v>46</v>
      </c>
      <c r="F442" t="s">
        <v>11</v>
      </c>
      <c r="G442">
        <v>2</v>
      </c>
      <c r="H442" t="s">
        <v>12</v>
      </c>
    </row>
    <row r="443" spans="1:8">
      <c r="A443" t="s">
        <v>194</v>
      </c>
      <c r="B443" t="s">
        <v>197</v>
      </c>
      <c r="C443" t="s">
        <v>198</v>
      </c>
      <c r="D443" t="s">
        <v>340</v>
      </c>
      <c r="E443">
        <v>44</v>
      </c>
      <c r="F443" t="s">
        <v>11</v>
      </c>
      <c r="G443">
        <v>2</v>
      </c>
      <c r="H443" t="s">
        <v>12</v>
      </c>
    </row>
    <row r="444" spans="1:8">
      <c r="A444" t="s">
        <v>194</v>
      </c>
      <c r="B444" t="s">
        <v>197</v>
      </c>
      <c r="C444" t="s">
        <v>198</v>
      </c>
      <c r="D444" t="s">
        <v>10</v>
      </c>
      <c r="E444">
        <v>46</v>
      </c>
      <c r="F444" t="s">
        <v>11</v>
      </c>
      <c r="G444">
        <v>3</v>
      </c>
      <c r="H444" t="s">
        <v>12</v>
      </c>
    </row>
    <row r="445" spans="1:8">
      <c r="A445" t="s">
        <v>194</v>
      </c>
      <c r="B445" t="s">
        <v>199</v>
      </c>
      <c r="C445" t="s">
        <v>200</v>
      </c>
      <c r="D445" t="s">
        <v>712</v>
      </c>
      <c r="E445">
        <v>40</v>
      </c>
      <c r="F445" t="s">
        <v>11</v>
      </c>
      <c r="G445">
        <v>2</v>
      </c>
      <c r="H445" t="s">
        <v>12</v>
      </c>
    </row>
    <row r="446" spans="1:8">
      <c r="A446" t="s">
        <v>194</v>
      </c>
      <c r="B446" t="s">
        <v>199</v>
      </c>
      <c r="C446" t="s">
        <v>200</v>
      </c>
      <c r="D446" t="s">
        <v>10</v>
      </c>
      <c r="E446">
        <v>40</v>
      </c>
      <c r="F446" t="s">
        <v>11</v>
      </c>
      <c r="G446">
        <v>3</v>
      </c>
      <c r="H446" t="s">
        <v>12</v>
      </c>
    </row>
    <row r="447" spans="1:8">
      <c r="A447" t="s">
        <v>194</v>
      </c>
      <c r="B447" t="s">
        <v>757</v>
      </c>
      <c r="C447" t="s">
        <v>758</v>
      </c>
      <c r="D447" t="s">
        <v>712</v>
      </c>
      <c r="E447">
        <v>45</v>
      </c>
      <c r="F447" t="s">
        <v>11</v>
      </c>
      <c r="G447">
        <v>2</v>
      </c>
      <c r="H447" t="s">
        <v>12</v>
      </c>
    </row>
    <row r="448" spans="1:8">
      <c r="A448" t="s">
        <v>194</v>
      </c>
      <c r="B448" t="s">
        <v>201</v>
      </c>
      <c r="C448" t="s">
        <v>202</v>
      </c>
      <c r="D448" t="s">
        <v>10</v>
      </c>
      <c r="E448">
        <v>53</v>
      </c>
      <c r="F448" t="s">
        <v>11</v>
      </c>
      <c r="G448">
        <v>3</v>
      </c>
      <c r="H448" t="s">
        <v>12</v>
      </c>
    </row>
    <row r="449" spans="1:8">
      <c r="A449" t="s">
        <v>194</v>
      </c>
      <c r="B449" t="s">
        <v>203</v>
      </c>
      <c r="C449" t="s">
        <v>204</v>
      </c>
      <c r="D449" t="s">
        <v>712</v>
      </c>
      <c r="E449">
        <v>50</v>
      </c>
      <c r="F449" t="s">
        <v>11</v>
      </c>
      <c r="G449">
        <v>2</v>
      </c>
      <c r="H449" t="s">
        <v>12</v>
      </c>
    </row>
    <row r="450" spans="1:8">
      <c r="A450" t="s">
        <v>194</v>
      </c>
      <c r="B450" t="s">
        <v>203</v>
      </c>
      <c r="C450" t="s">
        <v>204</v>
      </c>
      <c r="D450" t="s">
        <v>340</v>
      </c>
      <c r="E450">
        <v>41</v>
      </c>
      <c r="F450" t="s">
        <v>11</v>
      </c>
      <c r="G450">
        <v>2</v>
      </c>
      <c r="H450" t="s">
        <v>12</v>
      </c>
    </row>
    <row r="451" spans="1:8">
      <c r="A451" t="s">
        <v>194</v>
      </c>
      <c r="B451" t="s">
        <v>203</v>
      </c>
      <c r="C451" t="s">
        <v>204</v>
      </c>
      <c r="D451" t="s">
        <v>10</v>
      </c>
      <c r="E451">
        <v>50</v>
      </c>
      <c r="F451" t="s">
        <v>11</v>
      </c>
      <c r="G451">
        <v>3</v>
      </c>
      <c r="H451" t="s">
        <v>12</v>
      </c>
    </row>
    <row r="452" spans="1:8">
      <c r="A452" t="s">
        <v>194</v>
      </c>
      <c r="B452" t="s">
        <v>203</v>
      </c>
      <c r="C452" t="s">
        <v>204</v>
      </c>
      <c r="D452" t="s">
        <v>636</v>
      </c>
      <c r="E452">
        <v>40</v>
      </c>
      <c r="F452" t="s">
        <v>11</v>
      </c>
      <c r="G452">
        <v>4</v>
      </c>
      <c r="H452" t="s">
        <v>12</v>
      </c>
    </row>
    <row r="453" spans="1:8">
      <c r="A453" t="s">
        <v>194</v>
      </c>
      <c r="B453" t="s">
        <v>759</v>
      </c>
      <c r="C453" t="s">
        <v>760</v>
      </c>
      <c r="D453" t="s">
        <v>712</v>
      </c>
      <c r="E453">
        <v>52</v>
      </c>
      <c r="F453" t="s">
        <v>11</v>
      </c>
      <c r="G453">
        <v>2</v>
      </c>
      <c r="H453" t="s">
        <v>12</v>
      </c>
    </row>
    <row r="454" spans="1:8">
      <c r="A454" t="s">
        <v>194</v>
      </c>
      <c r="B454" t="s">
        <v>205</v>
      </c>
      <c r="C454" t="s">
        <v>206</v>
      </c>
      <c r="D454" t="s">
        <v>712</v>
      </c>
      <c r="E454">
        <v>44</v>
      </c>
      <c r="F454" t="s">
        <v>11</v>
      </c>
      <c r="G454">
        <v>2</v>
      </c>
      <c r="H454" t="s">
        <v>12</v>
      </c>
    </row>
    <row r="455" spans="1:8">
      <c r="A455" t="s">
        <v>194</v>
      </c>
      <c r="B455" t="s">
        <v>205</v>
      </c>
      <c r="C455" t="s">
        <v>206</v>
      </c>
      <c r="D455" t="s">
        <v>10</v>
      </c>
      <c r="E455">
        <v>40</v>
      </c>
      <c r="F455" t="s">
        <v>11</v>
      </c>
      <c r="G455">
        <v>3</v>
      </c>
      <c r="H455" t="s">
        <v>12</v>
      </c>
    </row>
    <row r="456" spans="1:8">
      <c r="A456" t="s">
        <v>194</v>
      </c>
      <c r="B456" t="s">
        <v>207</v>
      </c>
      <c r="C456" t="s">
        <v>208</v>
      </c>
      <c r="D456" t="s">
        <v>712</v>
      </c>
      <c r="E456">
        <v>40</v>
      </c>
      <c r="F456" t="s">
        <v>11</v>
      </c>
      <c r="G456">
        <v>2</v>
      </c>
      <c r="H456" t="s">
        <v>12</v>
      </c>
    </row>
    <row r="457" spans="1:8">
      <c r="A457" t="s">
        <v>194</v>
      </c>
      <c r="B457" t="s">
        <v>207</v>
      </c>
      <c r="C457" t="s">
        <v>208</v>
      </c>
      <c r="D457" t="s">
        <v>10</v>
      </c>
      <c r="E457">
        <v>40</v>
      </c>
      <c r="F457" t="s">
        <v>11</v>
      </c>
      <c r="G457">
        <v>3</v>
      </c>
      <c r="H457" t="s">
        <v>12</v>
      </c>
    </row>
    <row r="458" spans="1:8">
      <c r="A458" t="s">
        <v>194</v>
      </c>
      <c r="B458" t="s">
        <v>525</v>
      </c>
      <c r="C458" t="s">
        <v>526</v>
      </c>
      <c r="D458" t="s">
        <v>340</v>
      </c>
      <c r="E458">
        <v>46</v>
      </c>
      <c r="F458" t="s">
        <v>11</v>
      </c>
      <c r="G458">
        <v>2</v>
      </c>
      <c r="H458" t="s">
        <v>12</v>
      </c>
    </row>
    <row r="459" spans="1:8">
      <c r="A459" t="s">
        <v>194</v>
      </c>
      <c r="B459" t="s">
        <v>527</v>
      </c>
      <c r="C459" t="s">
        <v>528</v>
      </c>
      <c r="D459" t="s">
        <v>712</v>
      </c>
      <c r="E459">
        <v>44</v>
      </c>
      <c r="F459" t="s">
        <v>11</v>
      </c>
      <c r="G459">
        <v>2</v>
      </c>
      <c r="H459" t="s">
        <v>12</v>
      </c>
    </row>
    <row r="460" spans="1:8">
      <c r="A460" t="s">
        <v>194</v>
      </c>
      <c r="B460" t="s">
        <v>527</v>
      </c>
      <c r="C460" t="s">
        <v>528</v>
      </c>
      <c r="D460" t="s">
        <v>340</v>
      </c>
      <c r="E460">
        <v>42</v>
      </c>
      <c r="F460" t="s">
        <v>11</v>
      </c>
      <c r="G460">
        <v>2</v>
      </c>
      <c r="H460" t="s">
        <v>12</v>
      </c>
    </row>
    <row r="461" spans="1:8">
      <c r="A461" t="s">
        <v>194</v>
      </c>
      <c r="B461" t="s">
        <v>527</v>
      </c>
      <c r="C461" t="s">
        <v>528</v>
      </c>
      <c r="D461" t="s">
        <v>636</v>
      </c>
      <c r="E461">
        <v>40</v>
      </c>
      <c r="F461" t="s">
        <v>11</v>
      </c>
      <c r="G461">
        <v>4</v>
      </c>
      <c r="H461" t="s">
        <v>12</v>
      </c>
    </row>
    <row r="462" spans="1:8">
      <c r="A462" t="s">
        <v>194</v>
      </c>
      <c r="B462" t="s">
        <v>761</v>
      </c>
      <c r="C462" t="s">
        <v>762</v>
      </c>
      <c r="D462" t="s">
        <v>712</v>
      </c>
      <c r="E462">
        <v>40</v>
      </c>
      <c r="F462" t="s">
        <v>11</v>
      </c>
      <c r="G462">
        <v>2</v>
      </c>
      <c r="H462" t="s">
        <v>12</v>
      </c>
    </row>
    <row r="463" spans="1:8">
      <c r="A463" t="s">
        <v>194</v>
      </c>
      <c r="B463" t="s">
        <v>761</v>
      </c>
      <c r="C463" t="s">
        <v>762</v>
      </c>
      <c r="D463" t="s">
        <v>828</v>
      </c>
      <c r="E463">
        <v>40</v>
      </c>
      <c r="F463" t="s">
        <v>11</v>
      </c>
      <c r="G463">
        <v>1</v>
      </c>
      <c r="H463" t="s">
        <v>12</v>
      </c>
    </row>
    <row r="464" spans="1:8">
      <c r="A464" t="s">
        <v>194</v>
      </c>
      <c r="B464" t="s">
        <v>529</v>
      </c>
      <c r="C464" t="s">
        <v>530</v>
      </c>
      <c r="D464" t="s">
        <v>712</v>
      </c>
      <c r="E464">
        <v>41</v>
      </c>
      <c r="F464" t="s">
        <v>11</v>
      </c>
      <c r="G464">
        <v>2</v>
      </c>
      <c r="H464" t="s">
        <v>12</v>
      </c>
    </row>
    <row r="465" spans="1:8">
      <c r="A465" t="s">
        <v>194</v>
      </c>
      <c r="B465" t="s">
        <v>529</v>
      </c>
      <c r="C465" t="s">
        <v>530</v>
      </c>
      <c r="D465" t="s">
        <v>340</v>
      </c>
      <c r="E465">
        <v>42</v>
      </c>
      <c r="F465" t="s">
        <v>11</v>
      </c>
      <c r="G465">
        <v>2</v>
      </c>
      <c r="H465" t="s">
        <v>12</v>
      </c>
    </row>
    <row r="466" spans="1:8">
      <c r="A466" t="s">
        <v>194</v>
      </c>
      <c r="B466" t="s">
        <v>634</v>
      </c>
      <c r="C466" t="s">
        <v>635</v>
      </c>
      <c r="D466" t="s">
        <v>712</v>
      </c>
      <c r="E466">
        <v>50</v>
      </c>
      <c r="F466" t="s">
        <v>11</v>
      </c>
      <c r="G466">
        <v>2</v>
      </c>
      <c r="H466" t="s">
        <v>12</v>
      </c>
    </row>
    <row r="467" spans="1:8">
      <c r="A467" t="s">
        <v>194</v>
      </c>
      <c r="B467" t="s">
        <v>531</v>
      </c>
      <c r="C467" t="s">
        <v>532</v>
      </c>
      <c r="D467" t="s">
        <v>340</v>
      </c>
      <c r="E467">
        <v>46</v>
      </c>
      <c r="F467" t="s">
        <v>11</v>
      </c>
      <c r="G467">
        <v>2</v>
      </c>
      <c r="H467" t="s">
        <v>12</v>
      </c>
    </row>
    <row r="468" spans="1:8">
      <c r="A468" t="s">
        <v>194</v>
      </c>
      <c r="B468" t="s">
        <v>533</v>
      </c>
      <c r="C468" t="s">
        <v>534</v>
      </c>
      <c r="D468" t="s">
        <v>340</v>
      </c>
      <c r="E468">
        <v>42</v>
      </c>
      <c r="F468" t="s">
        <v>11</v>
      </c>
      <c r="G468">
        <v>2</v>
      </c>
      <c r="H468" t="s">
        <v>12</v>
      </c>
    </row>
    <row r="469" spans="1:8">
      <c r="A469" t="s">
        <v>194</v>
      </c>
      <c r="B469" t="s">
        <v>209</v>
      </c>
      <c r="C469" t="s">
        <v>210</v>
      </c>
      <c r="D469" t="s">
        <v>10</v>
      </c>
      <c r="E469">
        <v>50</v>
      </c>
      <c r="F469" t="s">
        <v>11</v>
      </c>
      <c r="G469">
        <v>3</v>
      </c>
      <c r="H469" t="s">
        <v>12</v>
      </c>
    </row>
    <row r="470" spans="1:8">
      <c r="A470" t="s">
        <v>194</v>
      </c>
      <c r="B470" t="s">
        <v>211</v>
      </c>
      <c r="C470" t="s">
        <v>212</v>
      </c>
      <c r="D470" t="s">
        <v>712</v>
      </c>
      <c r="E470">
        <v>43</v>
      </c>
      <c r="F470" t="s">
        <v>11</v>
      </c>
      <c r="G470">
        <v>2</v>
      </c>
      <c r="H470" t="s">
        <v>12</v>
      </c>
    </row>
    <row r="471" spans="1:8">
      <c r="A471" t="s">
        <v>194</v>
      </c>
      <c r="B471" t="s">
        <v>211</v>
      </c>
      <c r="C471" t="s">
        <v>212</v>
      </c>
      <c r="D471" t="s">
        <v>10</v>
      </c>
      <c r="E471">
        <v>40</v>
      </c>
      <c r="F471" t="s">
        <v>11</v>
      </c>
      <c r="G471">
        <v>3</v>
      </c>
      <c r="H471" t="s">
        <v>12</v>
      </c>
    </row>
    <row r="472" spans="1:8">
      <c r="A472" t="s">
        <v>194</v>
      </c>
      <c r="B472" t="s">
        <v>213</v>
      </c>
      <c r="C472" t="s">
        <v>214</v>
      </c>
      <c r="D472" t="s">
        <v>712</v>
      </c>
      <c r="E472">
        <v>50</v>
      </c>
      <c r="F472" t="s">
        <v>11</v>
      </c>
      <c r="G472">
        <v>2</v>
      </c>
      <c r="H472" t="s">
        <v>12</v>
      </c>
    </row>
    <row r="473" spans="1:8">
      <c r="A473" t="s">
        <v>194</v>
      </c>
      <c r="B473" t="s">
        <v>213</v>
      </c>
      <c r="C473" t="s">
        <v>214</v>
      </c>
      <c r="D473" t="s">
        <v>340</v>
      </c>
      <c r="E473">
        <v>44</v>
      </c>
      <c r="F473" t="s">
        <v>11</v>
      </c>
      <c r="G473">
        <v>2</v>
      </c>
      <c r="H473" t="s">
        <v>12</v>
      </c>
    </row>
    <row r="474" spans="1:8">
      <c r="A474" t="s">
        <v>194</v>
      </c>
      <c r="B474" t="s">
        <v>213</v>
      </c>
      <c r="C474" t="s">
        <v>214</v>
      </c>
      <c r="D474" t="s">
        <v>10</v>
      </c>
      <c r="E474">
        <v>50</v>
      </c>
      <c r="F474" t="s">
        <v>11</v>
      </c>
      <c r="G474">
        <v>3</v>
      </c>
      <c r="H474" t="s">
        <v>12</v>
      </c>
    </row>
    <row r="475" spans="1:8">
      <c r="A475" t="s">
        <v>194</v>
      </c>
      <c r="B475" t="s">
        <v>215</v>
      </c>
      <c r="C475" t="s">
        <v>216</v>
      </c>
      <c r="D475" t="s">
        <v>712</v>
      </c>
      <c r="E475">
        <v>40</v>
      </c>
      <c r="F475" t="s">
        <v>11</v>
      </c>
      <c r="G475">
        <v>2</v>
      </c>
      <c r="H475" t="s">
        <v>12</v>
      </c>
    </row>
    <row r="476" spans="1:8">
      <c r="A476" t="s">
        <v>194</v>
      </c>
      <c r="B476" t="s">
        <v>215</v>
      </c>
      <c r="C476" t="s">
        <v>216</v>
      </c>
      <c r="D476" t="s">
        <v>10</v>
      </c>
      <c r="E476">
        <v>40</v>
      </c>
      <c r="F476" t="s">
        <v>11</v>
      </c>
      <c r="G476">
        <v>3</v>
      </c>
      <c r="H476" t="s">
        <v>12</v>
      </c>
    </row>
    <row r="477" spans="1:8">
      <c r="A477" t="s">
        <v>194</v>
      </c>
      <c r="B477" t="s">
        <v>535</v>
      </c>
      <c r="C477" t="s">
        <v>536</v>
      </c>
      <c r="D477" t="s">
        <v>712</v>
      </c>
      <c r="E477">
        <v>50</v>
      </c>
      <c r="F477" t="s">
        <v>11</v>
      </c>
      <c r="G477">
        <v>2</v>
      </c>
      <c r="H477" t="s">
        <v>12</v>
      </c>
    </row>
    <row r="478" spans="1:8">
      <c r="A478" t="s">
        <v>194</v>
      </c>
      <c r="B478" t="s">
        <v>535</v>
      </c>
      <c r="C478" t="s">
        <v>536</v>
      </c>
      <c r="D478" t="s">
        <v>340</v>
      </c>
      <c r="E478">
        <v>48</v>
      </c>
      <c r="F478" t="s">
        <v>11</v>
      </c>
      <c r="G478">
        <v>2</v>
      </c>
      <c r="H478" t="s">
        <v>12</v>
      </c>
    </row>
    <row r="479" spans="1:8">
      <c r="A479" t="s">
        <v>301</v>
      </c>
      <c r="B479" t="s">
        <v>302</v>
      </c>
      <c r="C479" t="s">
        <v>303</v>
      </c>
      <c r="D479" t="s">
        <v>340</v>
      </c>
      <c r="E479">
        <v>50</v>
      </c>
      <c r="F479" t="s">
        <v>11</v>
      </c>
      <c r="G479">
        <v>2</v>
      </c>
      <c r="H479" t="s">
        <v>12</v>
      </c>
    </row>
    <row r="480" spans="1:8">
      <c r="A480" t="s">
        <v>301</v>
      </c>
      <c r="B480" t="s">
        <v>302</v>
      </c>
      <c r="C480" t="s">
        <v>303</v>
      </c>
      <c r="D480" t="s">
        <v>10</v>
      </c>
      <c r="E480">
        <v>46</v>
      </c>
      <c r="F480" t="s">
        <v>11</v>
      </c>
      <c r="G480">
        <v>3</v>
      </c>
      <c r="H480" t="s">
        <v>12</v>
      </c>
    </row>
    <row r="481" spans="1:8">
      <c r="A481" t="s">
        <v>301</v>
      </c>
      <c r="B481" t="s">
        <v>463</v>
      </c>
      <c r="C481" t="s">
        <v>464</v>
      </c>
      <c r="D481" t="s">
        <v>866</v>
      </c>
      <c r="E481">
        <v>55</v>
      </c>
      <c r="F481" t="s">
        <v>583</v>
      </c>
      <c r="G481">
        <v>1</v>
      </c>
      <c r="H481" t="s">
        <v>12</v>
      </c>
    </row>
    <row r="482" spans="1:8">
      <c r="A482" t="s">
        <v>301</v>
      </c>
      <c r="B482" t="s">
        <v>463</v>
      </c>
      <c r="C482" t="s">
        <v>464</v>
      </c>
      <c r="D482" t="s">
        <v>340</v>
      </c>
      <c r="E482">
        <v>44</v>
      </c>
      <c r="F482" t="s">
        <v>11</v>
      </c>
      <c r="G482">
        <v>2</v>
      </c>
      <c r="H482" t="s">
        <v>12</v>
      </c>
    </row>
    <row r="483" spans="1:8">
      <c r="A483" t="s">
        <v>301</v>
      </c>
      <c r="B483" t="s">
        <v>463</v>
      </c>
      <c r="C483" t="s">
        <v>464</v>
      </c>
      <c r="D483" t="s">
        <v>636</v>
      </c>
      <c r="E483">
        <v>40</v>
      </c>
      <c r="F483" t="s">
        <v>11</v>
      </c>
      <c r="G483">
        <v>4</v>
      </c>
      <c r="H483" t="s">
        <v>12</v>
      </c>
    </row>
    <row r="484" spans="1:8">
      <c r="A484" t="s">
        <v>301</v>
      </c>
      <c r="B484" t="s">
        <v>465</v>
      </c>
      <c r="C484" t="s">
        <v>466</v>
      </c>
      <c r="D484" t="s">
        <v>340</v>
      </c>
      <c r="E484">
        <v>53</v>
      </c>
      <c r="F484" t="s">
        <v>11</v>
      </c>
      <c r="G484">
        <v>2</v>
      </c>
      <c r="H484" t="s">
        <v>12</v>
      </c>
    </row>
    <row r="485" spans="1:8">
      <c r="A485" t="s">
        <v>301</v>
      </c>
      <c r="B485" t="s">
        <v>304</v>
      </c>
      <c r="C485" t="s">
        <v>305</v>
      </c>
      <c r="D485" t="s">
        <v>866</v>
      </c>
      <c r="E485">
        <v>51</v>
      </c>
      <c r="F485" t="s">
        <v>583</v>
      </c>
      <c r="G485">
        <v>1</v>
      </c>
      <c r="H485" t="s">
        <v>12</v>
      </c>
    </row>
    <row r="486" spans="1:8">
      <c r="A486" t="s">
        <v>301</v>
      </c>
      <c r="B486" t="s">
        <v>304</v>
      </c>
      <c r="C486" t="s">
        <v>305</v>
      </c>
      <c r="D486" t="s">
        <v>702</v>
      </c>
      <c r="E486">
        <v>56</v>
      </c>
      <c r="F486" t="s">
        <v>11</v>
      </c>
      <c r="G486">
        <v>2</v>
      </c>
      <c r="H486" t="s">
        <v>12</v>
      </c>
    </row>
    <row r="487" spans="1:8">
      <c r="A487" t="s">
        <v>301</v>
      </c>
      <c r="B487" t="s">
        <v>304</v>
      </c>
      <c r="C487" t="s">
        <v>305</v>
      </c>
      <c r="D487" t="s">
        <v>828</v>
      </c>
      <c r="E487">
        <v>50</v>
      </c>
      <c r="F487" t="s">
        <v>11</v>
      </c>
      <c r="G487">
        <v>1</v>
      </c>
      <c r="H487" t="s">
        <v>12</v>
      </c>
    </row>
    <row r="488" spans="1:8">
      <c r="A488" t="s">
        <v>301</v>
      </c>
      <c r="B488" t="s">
        <v>304</v>
      </c>
      <c r="C488" t="s">
        <v>305</v>
      </c>
      <c r="D488" t="s">
        <v>10</v>
      </c>
      <c r="E488">
        <v>42</v>
      </c>
      <c r="F488" t="s">
        <v>11</v>
      </c>
      <c r="G488">
        <v>3</v>
      </c>
      <c r="H488" t="s">
        <v>12</v>
      </c>
    </row>
    <row r="489" spans="1:8">
      <c r="A489" t="s">
        <v>301</v>
      </c>
      <c r="B489" t="s">
        <v>306</v>
      </c>
      <c r="C489" t="s">
        <v>307</v>
      </c>
      <c r="D489" t="s">
        <v>866</v>
      </c>
      <c r="E489">
        <v>55</v>
      </c>
      <c r="F489" t="s">
        <v>583</v>
      </c>
      <c r="G489">
        <v>1</v>
      </c>
      <c r="H489" t="s">
        <v>12</v>
      </c>
    </row>
    <row r="490" spans="1:8">
      <c r="A490" t="s">
        <v>301</v>
      </c>
      <c r="B490" t="s">
        <v>306</v>
      </c>
      <c r="C490" t="s">
        <v>307</v>
      </c>
      <c r="D490" t="s">
        <v>712</v>
      </c>
      <c r="E490">
        <v>48</v>
      </c>
      <c r="F490" t="s">
        <v>11</v>
      </c>
      <c r="G490">
        <v>2</v>
      </c>
      <c r="H490" t="s">
        <v>12</v>
      </c>
    </row>
    <row r="491" spans="1:8">
      <c r="A491" t="s">
        <v>301</v>
      </c>
      <c r="B491" t="s">
        <v>306</v>
      </c>
      <c r="C491" t="s">
        <v>307</v>
      </c>
      <c r="D491" t="s">
        <v>340</v>
      </c>
      <c r="E491">
        <v>56</v>
      </c>
      <c r="F491" t="s">
        <v>11</v>
      </c>
      <c r="G491">
        <v>2</v>
      </c>
      <c r="H491" t="s">
        <v>12</v>
      </c>
    </row>
    <row r="492" spans="1:8">
      <c r="A492" t="s">
        <v>301</v>
      </c>
      <c r="B492" t="s">
        <v>306</v>
      </c>
      <c r="C492" t="s">
        <v>307</v>
      </c>
      <c r="D492" t="s">
        <v>10</v>
      </c>
      <c r="E492">
        <v>55</v>
      </c>
      <c r="F492" t="s">
        <v>11</v>
      </c>
      <c r="G492">
        <v>3</v>
      </c>
      <c r="H492" t="s">
        <v>12</v>
      </c>
    </row>
    <row r="493" spans="1:8">
      <c r="A493" t="s">
        <v>301</v>
      </c>
      <c r="B493" t="s">
        <v>306</v>
      </c>
      <c r="C493" t="s">
        <v>307</v>
      </c>
      <c r="D493" t="s">
        <v>636</v>
      </c>
      <c r="E493">
        <v>50</v>
      </c>
      <c r="F493" t="s">
        <v>11</v>
      </c>
      <c r="G493">
        <v>4</v>
      </c>
      <c r="H493" t="s">
        <v>12</v>
      </c>
    </row>
    <row r="494" spans="1:8">
      <c r="A494" t="s">
        <v>301</v>
      </c>
      <c r="B494" t="s">
        <v>306</v>
      </c>
      <c r="C494" t="s">
        <v>307</v>
      </c>
      <c r="D494" t="s">
        <v>838</v>
      </c>
      <c r="E494">
        <v>49</v>
      </c>
      <c r="F494" t="s">
        <v>11</v>
      </c>
      <c r="G494">
        <v>2</v>
      </c>
      <c r="H494" t="s">
        <v>12</v>
      </c>
    </row>
    <row r="495" spans="1:8">
      <c r="A495" t="s">
        <v>301</v>
      </c>
      <c r="B495" t="s">
        <v>308</v>
      </c>
      <c r="C495" t="s">
        <v>309</v>
      </c>
      <c r="D495" t="s">
        <v>866</v>
      </c>
      <c r="E495">
        <v>54</v>
      </c>
      <c r="F495" t="s">
        <v>583</v>
      </c>
      <c r="G495">
        <v>1</v>
      </c>
      <c r="H495" t="s">
        <v>12</v>
      </c>
    </row>
    <row r="496" spans="1:8">
      <c r="A496" t="s">
        <v>301</v>
      </c>
      <c r="B496" t="s">
        <v>308</v>
      </c>
      <c r="C496" t="s">
        <v>309</v>
      </c>
      <c r="D496" t="s">
        <v>712</v>
      </c>
      <c r="E496">
        <v>50</v>
      </c>
      <c r="F496" t="s">
        <v>11</v>
      </c>
      <c r="G496">
        <v>2</v>
      </c>
      <c r="H496" t="s">
        <v>12</v>
      </c>
    </row>
    <row r="497" spans="1:8">
      <c r="A497" t="s">
        <v>301</v>
      </c>
      <c r="B497" t="s">
        <v>308</v>
      </c>
      <c r="C497" t="s">
        <v>309</v>
      </c>
      <c r="D497" t="s">
        <v>10</v>
      </c>
      <c r="E497">
        <v>55</v>
      </c>
      <c r="F497" t="s">
        <v>11</v>
      </c>
      <c r="G497">
        <v>3</v>
      </c>
      <c r="H497" t="s">
        <v>12</v>
      </c>
    </row>
    <row r="498" spans="1:8">
      <c r="A498" t="s">
        <v>301</v>
      </c>
      <c r="B498" t="s">
        <v>308</v>
      </c>
      <c r="C498" t="s">
        <v>309</v>
      </c>
      <c r="D498" t="s">
        <v>636</v>
      </c>
      <c r="E498">
        <v>40</v>
      </c>
      <c r="F498" t="s">
        <v>11</v>
      </c>
      <c r="G498">
        <v>4</v>
      </c>
      <c r="H498" t="s">
        <v>12</v>
      </c>
    </row>
    <row r="499" spans="1:8">
      <c r="A499" t="s">
        <v>301</v>
      </c>
      <c r="B499" t="s">
        <v>310</v>
      </c>
      <c r="C499" t="s">
        <v>311</v>
      </c>
      <c r="D499" t="s">
        <v>712</v>
      </c>
      <c r="E499">
        <v>47</v>
      </c>
      <c r="F499" t="s">
        <v>11</v>
      </c>
      <c r="G499">
        <v>2</v>
      </c>
      <c r="H499" t="s">
        <v>12</v>
      </c>
    </row>
    <row r="500" spans="1:8">
      <c r="A500" t="s">
        <v>301</v>
      </c>
      <c r="B500" t="s">
        <v>310</v>
      </c>
      <c r="C500" t="s">
        <v>311</v>
      </c>
      <c r="D500" t="s">
        <v>340</v>
      </c>
      <c r="E500">
        <v>55</v>
      </c>
      <c r="F500" t="s">
        <v>11</v>
      </c>
      <c r="G500">
        <v>2</v>
      </c>
      <c r="H500" t="s">
        <v>12</v>
      </c>
    </row>
    <row r="501" spans="1:8">
      <c r="A501" t="s">
        <v>301</v>
      </c>
      <c r="B501" t="s">
        <v>310</v>
      </c>
      <c r="C501" t="s">
        <v>311</v>
      </c>
      <c r="D501" t="s">
        <v>10</v>
      </c>
      <c r="E501">
        <v>42</v>
      </c>
      <c r="F501" t="s">
        <v>11</v>
      </c>
      <c r="G501">
        <v>3</v>
      </c>
      <c r="H501" t="s">
        <v>12</v>
      </c>
    </row>
    <row r="502" spans="1:8">
      <c r="A502" t="s">
        <v>301</v>
      </c>
      <c r="B502" t="s">
        <v>310</v>
      </c>
      <c r="C502" t="s">
        <v>311</v>
      </c>
      <c r="D502" t="s">
        <v>636</v>
      </c>
      <c r="E502">
        <v>43</v>
      </c>
      <c r="F502" t="s">
        <v>11</v>
      </c>
      <c r="G502">
        <v>4</v>
      </c>
      <c r="H502" t="s">
        <v>12</v>
      </c>
    </row>
    <row r="503" spans="1:8">
      <c r="A503" t="s">
        <v>301</v>
      </c>
      <c r="B503" t="s">
        <v>312</v>
      </c>
      <c r="C503" t="s">
        <v>313</v>
      </c>
      <c r="D503" t="s">
        <v>10</v>
      </c>
      <c r="E503">
        <v>58</v>
      </c>
      <c r="F503" t="s">
        <v>11</v>
      </c>
      <c r="G503">
        <v>3</v>
      </c>
      <c r="H503" t="s">
        <v>12</v>
      </c>
    </row>
    <row r="504" spans="1:8">
      <c r="A504" t="s">
        <v>301</v>
      </c>
      <c r="B504" t="s">
        <v>312</v>
      </c>
      <c r="C504" t="s">
        <v>313</v>
      </c>
      <c r="D504" t="s">
        <v>838</v>
      </c>
      <c r="E504">
        <v>45</v>
      </c>
      <c r="F504" t="s">
        <v>11</v>
      </c>
      <c r="G504">
        <v>2</v>
      </c>
      <c r="H504" t="s">
        <v>12</v>
      </c>
    </row>
    <row r="505" spans="1:8">
      <c r="A505" t="s">
        <v>301</v>
      </c>
      <c r="B505" t="s">
        <v>731</v>
      </c>
      <c r="C505" t="s">
        <v>732</v>
      </c>
      <c r="D505" t="s">
        <v>712</v>
      </c>
      <c r="E505">
        <v>48</v>
      </c>
      <c r="F505" t="s">
        <v>11</v>
      </c>
      <c r="G505">
        <v>2</v>
      </c>
      <c r="H505" t="s">
        <v>12</v>
      </c>
    </row>
    <row r="506" spans="1:8">
      <c r="A506" t="s">
        <v>301</v>
      </c>
      <c r="B506" t="s">
        <v>314</v>
      </c>
      <c r="C506" t="s">
        <v>315</v>
      </c>
      <c r="D506" t="s">
        <v>866</v>
      </c>
      <c r="E506">
        <v>51</v>
      </c>
      <c r="F506" t="s">
        <v>583</v>
      </c>
      <c r="G506">
        <v>1</v>
      </c>
      <c r="H506" t="s">
        <v>12</v>
      </c>
    </row>
    <row r="507" spans="1:8">
      <c r="A507" t="s">
        <v>301</v>
      </c>
      <c r="B507" t="s">
        <v>314</v>
      </c>
      <c r="C507" t="s">
        <v>315</v>
      </c>
      <c r="D507" t="s">
        <v>828</v>
      </c>
      <c r="E507">
        <v>54</v>
      </c>
      <c r="F507" t="s">
        <v>11</v>
      </c>
      <c r="G507">
        <v>1</v>
      </c>
      <c r="H507" t="s">
        <v>12</v>
      </c>
    </row>
    <row r="508" spans="1:8">
      <c r="A508" t="s">
        <v>301</v>
      </c>
      <c r="B508" t="s">
        <v>314</v>
      </c>
      <c r="C508" t="s">
        <v>315</v>
      </c>
      <c r="D508" t="s">
        <v>10</v>
      </c>
      <c r="E508">
        <v>40</v>
      </c>
      <c r="F508" t="s">
        <v>11</v>
      </c>
      <c r="G508">
        <v>3</v>
      </c>
      <c r="H508" t="s">
        <v>12</v>
      </c>
    </row>
    <row r="509" spans="1:8">
      <c r="A509" t="s">
        <v>301</v>
      </c>
      <c r="B509" t="s">
        <v>314</v>
      </c>
      <c r="C509" t="s">
        <v>315</v>
      </c>
      <c r="D509" t="s">
        <v>636</v>
      </c>
      <c r="E509">
        <v>40</v>
      </c>
      <c r="F509" t="s">
        <v>11</v>
      </c>
      <c r="G509">
        <v>4</v>
      </c>
      <c r="H509" t="s">
        <v>12</v>
      </c>
    </row>
    <row r="510" spans="1:8">
      <c r="A510" t="s">
        <v>301</v>
      </c>
      <c r="B510" t="s">
        <v>314</v>
      </c>
      <c r="C510" t="s">
        <v>315</v>
      </c>
      <c r="D510" t="s">
        <v>838</v>
      </c>
      <c r="E510">
        <v>42</v>
      </c>
      <c r="F510" t="s">
        <v>11</v>
      </c>
      <c r="G510">
        <v>2</v>
      </c>
      <c r="H510" t="s">
        <v>12</v>
      </c>
    </row>
    <row r="511" spans="1:8">
      <c r="A511" t="s">
        <v>301</v>
      </c>
      <c r="B511" t="s">
        <v>705</v>
      </c>
      <c r="C511" t="s">
        <v>706</v>
      </c>
      <c r="D511" t="s">
        <v>866</v>
      </c>
      <c r="E511">
        <v>56</v>
      </c>
      <c r="F511" t="s">
        <v>583</v>
      </c>
      <c r="G511">
        <v>1</v>
      </c>
      <c r="H511" t="s">
        <v>12</v>
      </c>
    </row>
    <row r="512" spans="1:8">
      <c r="A512" t="s">
        <v>301</v>
      </c>
      <c r="B512" t="s">
        <v>705</v>
      </c>
      <c r="C512" t="s">
        <v>706</v>
      </c>
      <c r="D512" t="s">
        <v>702</v>
      </c>
      <c r="E512">
        <v>43</v>
      </c>
      <c r="F512" t="s">
        <v>11</v>
      </c>
      <c r="G512">
        <v>2</v>
      </c>
      <c r="H512" t="s">
        <v>12</v>
      </c>
    </row>
    <row r="513" spans="1:8">
      <c r="A513" t="s">
        <v>301</v>
      </c>
      <c r="B513" t="s">
        <v>705</v>
      </c>
      <c r="C513" t="s">
        <v>706</v>
      </c>
      <c r="D513" t="s">
        <v>828</v>
      </c>
      <c r="E513">
        <v>43</v>
      </c>
      <c r="F513" t="s">
        <v>11</v>
      </c>
      <c r="G513">
        <v>1</v>
      </c>
      <c r="H513" t="s">
        <v>12</v>
      </c>
    </row>
    <row r="514" spans="1:8">
      <c r="A514" t="s">
        <v>301</v>
      </c>
      <c r="B514" t="s">
        <v>867</v>
      </c>
      <c r="C514" t="s">
        <v>868</v>
      </c>
      <c r="D514" t="s">
        <v>866</v>
      </c>
      <c r="E514">
        <v>49</v>
      </c>
      <c r="F514" t="s">
        <v>583</v>
      </c>
      <c r="G514">
        <v>1</v>
      </c>
      <c r="H514" t="s">
        <v>12</v>
      </c>
    </row>
    <row r="515" spans="1:8">
      <c r="A515" t="s">
        <v>301</v>
      </c>
      <c r="B515" t="s">
        <v>316</v>
      </c>
      <c r="C515" t="s">
        <v>317</v>
      </c>
      <c r="D515" t="s">
        <v>866</v>
      </c>
      <c r="E515">
        <v>51</v>
      </c>
      <c r="F515" t="s">
        <v>583</v>
      </c>
      <c r="G515">
        <v>1</v>
      </c>
      <c r="H515" t="s">
        <v>12</v>
      </c>
    </row>
    <row r="516" spans="1:8">
      <c r="A516" t="s">
        <v>301</v>
      </c>
      <c r="B516" t="s">
        <v>316</v>
      </c>
      <c r="C516" t="s">
        <v>317</v>
      </c>
      <c r="D516" t="s">
        <v>10</v>
      </c>
      <c r="E516">
        <v>57</v>
      </c>
      <c r="F516" t="s">
        <v>11</v>
      </c>
      <c r="G516">
        <v>3</v>
      </c>
      <c r="H516" t="s">
        <v>12</v>
      </c>
    </row>
    <row r="517" spans="1:8">
      <c r="A517" t="s">
        <v>301</v>
      </c>
      <c r="B517" t="s">
        <v>316</v>
      </c>
      <c r="C517" t="s">
        <v>317</v>
      </c>
      <c r="D517" t="s">
        <v>636</v>
      </c>
      <c r="E517">
        <v>50</v>
      </c>
      <c r="F517" t="s">
        <v>11</v>
      </c>
      <c r="G517">
        <v>4</v>
      </c>
      <c r="H517" t="s">
        <v>12</v>
      </c>
    </row>
    <row r="518" spans="1:8">
      <c r="A518" t="s">
        <v>301</v>
      </c>
      <c r="B518" t="s">
        <v>467</v>
      </c>
      <c r="C518" t="s">
        <v>468</v>
      </c>
      <c r="D518" t="s">
        <v>866</v>
      </c>
      <c r="E518">
        <v>58</v>
      </c>
      <c r="F518" t="s">
        <v>583</v>
      </c>
      <c r="G518">
        <v>1</v>
      </c>
      <c r="H518" t="s">
        <v>12</v>
      </c>
    </row>
    <row r="519" spans="1:8">
      <c r="A519" t="s">
        <v>301</v>
      </c>
      <c r="B519" t="s">
        <v>467</v>
      </c>
      <c r="C519" t="s">
        <v>468</v>
      </c>
      <c r="D519" t="s">
        <v>712</v>
      </c>
      <c r="E519">
        <v>51</v>
      </c>
      <c r="F519" t="s">
        <v>11</v>
      </c>
      <c r="G519">
        <v>2</v>
      </c>
      <c r="H519" t="s">
        <v>12</v>
      </c>
    </row>
    <row r="520" spans="1:8">
      <c r="A520" t="s">
        <v>301</v>
      </c>
      <c r="B520" t="s">
        <v>467</v>
      </c>
      <c r="C520" t="s">
        <v>468</v>
      </c>
      <c r="D520" t="s">
        <v>340</v>
      </c>
      <c r="E520">
        <v>49</v>
      </c>
      <c r="F520" t="s">
        <v>11</v>
      </c>
      <c r="G520">
        <v>2</v>
      </c>
      <c r="H520" t="s">
        <v>12</v>
      </c>
    </row>
    <row r="521" spans="1:8">
      <c r="A521" t="s">
        <v>301</v>
      </c>
      <c r="B521" t="s">
        <v>467</v>
      </c>
      <c r="C521" t="s">
        <v>468</v>
      </c>
      <c r="D521" t="s">
        <v>636</v>
      </c>
      <c r="E521">
        <v>44</v>
      </c>
      <c r="F521" t="s">
        <v>11</v>
      </c>
      <c r="G521">
        <v>4</v>
      </c>
      <c r="H521" t="s">
        <v>12</v>
      </c>
    </row>
    <row r="522" spans="1:8">
      <c r="A522" t="s">
        <v>301</v>
      </c>
      <c r="B522" t="s">
        <v>318</v>
      </c>
      <c r="C522" t="s">
        <v>319</v>
      </c>
      <c r="D522" t="s">
        <v>866</v>
      </c>
      <c r="E522">
        <v>46</v>
      </c>
      <c r="F522" t="s">
        <v>583</v>
      </c>
      <c r="G522">
        <v>1</v>
      </c>
      <c r="H522" t="s">
        <v>12</v>
      </c>
    </row>
    <row r="523" spans="1:8">
      <c r="A523" t="s">
        <v>301</v>
      </c>
      <c r="B523" t="s">
        <v>318</v>
      </c>
      <c r="C523" t="s">
        <v>319</v>
      </c>
      <c r="D523" t="s">
        <v>702</v>
      </c>
      <c r="E523">
        <v>48</v>
      </c>
      <c r="F523" t="s">
        <v>11</v>
      </c>
      <c r="G523">
        <v>2</v>
      </c>
      <c r="H523" t="s">
        <v>12</v>
      </c>
    </row>
    <row r="524" spans="1:8">
      <c r="A524" t="s">
        <v>301</v>
      </c>
      <c r="B524" t="s">
        <v>318</v>
      </c>
      <c r="C524" t="s">
        <v>319</v>
      </c>
      <c r="D524" t="s">
        <v>712</v>
      </c>
      <c r="E524">
        <v>47</v>
      </c>
      <c r="F524" t="s">
        <v>11</v>
      </c>
      <c r="G524">
        <v>2</v>
      </c>
      <c r="H524" t="s">
        <v>12</v>
      </c>
    </row>
    <row r="525" spans="1:8">
      <c r="A525" t="s">
        <v>301</v>
      </c>
      <c r="B525" t="s">
        <v>318</v>
      </c>
      <c r="C525" t="s">
        <v>319</v>
      </c>
      <c r="D525" t="s">
        <v>340</v>
      </c>
      <c r="E525">
        <v>44</v>
      </c>
      <c r="F525" t="s">
        <v>11</v>
      </c>
      <c r="G525">
        <v>2</v>
      </c>
      <c r="H525" t="s">
        <v>12</v>
      </c>
    </row>
    <row r="526" spans="1:8">
      <c r="A526" t="s">
        <v>301</v>
      </c>
      <c r="B526" t="s">
        <v>318</v>
      </c>
      <c r="C526" t="s">
        <v>319</v>
      </c>
      <c r="D526" t="s">
        <v>10</v>
      </c>
      <c r="E526">
        <v>45</v>
      </c>
      <c r="F526" t="s">
        <v>11</v>
      </c>
      <c r="G526">
        <v>3</v>
      </c>
      <c r="H526" t="s">
        <v>12</v>
      </c>
    </row>
    <row r="527" spans="1:8">
      <c r="A527" t="s">
        <v>301</v>
      </c>
      <c r="B527" t="s">
        <v>469</v>
      </c>
      <c r="C527" t="s">
        <v>470</v>
      </c>
      <c r="D527" t="s">
        <v>340</v>
      </c>
      <c r="E527">
        <v>47</v>
      </c>
      <c r="F527" t="s">
        <v>11</v>
      </c>
      <c r="G527">
        <v>2</v>
      </c>
      <c r="H527" t="s">
        <v>12</v>
      </c>
    </row>
    <row r="528" spans="1:8">
      <c r="A528" t="s">
        <v>301</v>
      </c>
      <c r="B528" t="s">
        <v>469</v>
      </c>
      <c r="C528" t="s">
        <v>470</v>
      </c>
      <c r="D528" t="s">
        <v>636</v>
      </c>
      <c r="E528">
        <v>43</v>
      </c>
      <c r="F528" t="s">
        <v>11</v>
      </c>
      <c r="G528">
        <v>4</v>
      </c>
      <c r="H528" t="s">
        <v>12</v>
      </c>
    </row>
    <row r="529" spans="1:8">
      <c r="A529" t="s">
        <v>301</v>
      </c>
      <c r="B529" t="s">
        <v>869</v>
      </c>
      <c r="C529" t="s">
        <v>870</v>
      </c>
      <c r="D529" t="s">
        <v>866</v>
      </c>
      <c r="E529">
        <v>43</v>
      </c>
      <c r="F529" t="s">
        <v>583</v>
      </c>
      <c r="G529">
        <v>1</v>
      </c>
      <c r="H529" t="s">
        <v>12</v>
      </c>
    </row>
    <row r="530" spans="1:8">
      <c r="A530" t="s">
        <v>301</v>
      </c>
      <c r="B530" t="s">
        <v>471</v>
      </c>
      <c r="C530" t="s">
        <v>472</v>
      </c>
      <c r="D530" t="s">
        <v>866</v>
      </c>
      <c r="E530">
        <v>53</v>
      </c>
      <c r="F530" t="s">
        <v>583</v>
      </c>
      <c r="G530">
        <v>1</v>
      </c>
      <c r="H530" t="s">
        <v>12</v>
      </c>
    </row>
    <row r="531" spans="1:8">
      <c r="A531" t="s">
        <v>301</v>
      </c>
      <c r="B531" t="s">
        <v>471</v>
      </c>
      <c r="C531" t="s">
        <v>472</v>
      </c>
      <c r="D531" t="s">
        <v>340</v>
      </c>
      <c r="E531">
        <v>55</v>
      </c>
      <c r="F531" t="s">
        <v>11</v>
      </c>
      <c r="G531">
        <v>2</v>
      </c>
      <c r="H531" t="s">
        <v>12</v>
      </c>
    </row>
    <row r="532" spans="1:8">
      <c r="A532" t="s">
        <v>301</v>
      </c>
      <c r="B532" t="s">
        <v>320</v>
      </c>
      <c r="C532" t="s">
        <v>321</v>
      </c>
      <c r="D532" t="s">
        <v>866</v>
      </c>
      <c r="E532">
        <v>51</v>
      </c>
      <c r="F532" t="s">
        <v>583</v>
      </c>
      <c r="G532">
        <v>1</v>
      </c>
      <c r="H532" t="s">
        <v>12</v>
      </c>
    </row>
    <row r="533" spans="1:8">
      <c r="A533" t="s">
        <v>301</v>
      </c>
      <c r="B533" t="s">
        <v>320</v>
      </c>
      <c r="C533" t="s">
        <v>321</v>
      </c>
      <c r="D533" t="s">
        <v>10</v>
      </c>
      <c r="E533">
        <v>43</v>
      </c>
      <c r="F533" t="s">
        <v>11</v>
      </c>
      <c r="G533">
        <v>3</v>
      </c>
      <c r="H533" t="s">
        <v>12</v>
      </c>
    </row>
    <row r="534" spans="1:8">
      <c r="A534" t="s">
        <v>301</v>
      </c>
      <c r="B534" t="s">
        <v>320</v>
      </c>
      <c r="C534" t="s">
        <v>321</v>
      </c>
      <c r="D534" t="s">
        <v>636</v>
      </c>
      <c r="E534">
        <v>40</v>
      </c>
      <c r="F534" t="s">
        <v>11</v>
      </c>
      <c r="G534">
        <v>4</v>
      </c>
      <c r="H534" t="s">
        <v>12</v>
      </c>
    </row>
    <row r="535" spans="1:8">
      <c r="A535" t="s">
        <v>301</v>
      </c>
      <c r="B535" t="s">
        <v>320</v>
      </c>
      <c r="C535" t="s">
        <v>321</v>
      </c>
      <c r="D535" t="s">
        <v>838</v>
      </c>
      <c r="E535">
        <v>48</v>
      </c>
      <c r="F535" t="s">
        <v>11</v>
      </c>
      <c r="G535">
        <v>2</v>
      </c>
      <c r="H535" t="s">
        <v>12</v>
      </c>
    </row>
    <row r="536" spans="1:8">
      <c r="A536" t="s">
        <v>301</v>
      </c>
      <c r="B536" t="s">
        <v>677</v>
      </c>
      <c r="C536" t="s">
        <v>678</v>
      </c>
      <c r="D536" t="s">
        <v>866</v>
      </c>
      <c r="E536">
        <v>57</v>
      </c>
      <c r="F536" t="s">
        <v>583</v>
      </c>
      <c r="G536">
        <v>1</v>
      </c>
      <c r="H536" t="s">
        <v>12</v>
      </c>
    </row>
    <row r="537" spans="1:8">
      <c r="A537" t="s">
        <v>301</v>
      </c>
      <c r="B537" t="s">
        <v>677</v>
      </c>
      <c r="C537" t="s">
        <v>678</v>
      </c>
      <c r="D537" t="s">
        <v>712</v>
      </c>
      <c r="E537">
        <v>47</v>
      </c>
      <c r="F537" t="s">
        <v>11</v>
      </c>
      <c r="G537">
        <v>2</v>
      </c>
      <c r="H537" t="s">
        <v>12</v>
      </c>
    </row>
    <row r="538" spans="1:8">
      <c r="A538" t="s">
        <v>301</v>
      </c>
      <c r="B538" t="s">
        <v>677</v>
      </c>
      <c r="C538" t="s">
        <v>678</v>
      </c>
      <c r="D538" t="s">
        <v>636</v>
      </c>
      <c r="E538">
        <v>45</v>
      </c>
      <c r="F538" t="s">
        <v>11</v>
      </c>
      <c r="G538">
        <v>4</v>
      </c>
      <c r="H538" t="s">
        <v>12</v>
      </c>
    </row>
    <row r="539" spans="1:8">
      <c r="A539" t="s">
        <v>301</v>
      </c>
      <c r="B539" t="s">
        <v>473</v>
      </c>
      <c r="C539" t="s">
        <v>474</v>
      </c>
      <c r="D539" t="s">
        <v>866</v>
      </c>
      <c r="E539">
        <v>44</v>
      </c>
      <c r="F539" t="s">
        <v>583</v>
      </c>
      <c r="G539">
        <v>1</v>
      </c>
      <c r="H539" t="s">
        <v>12</v>
      </c>
    </row>
    <row r="540" spans="1:8">
      <c r="A540" t="s">
        <v>301</v>
      </c>
      <c r="B540" t="s">
        <v>473</v>
      </c>
      <c r="C540" t="s">
        <v>474</v>
      </c>
      <c r="D540" t="s">
        <v>712</v>
      </c>
      <c r="E540">
        <v>40</v>
      </c>
      <c r="F540" t="s">
        <v>11</v>
      </c>
      <c r="G540">
        <v>2</v>
      </c>
      <c r="H540" t="s">
        <v>12</v>
      </c>
    </row>
    <row r="541" spans="1:8">
      <c r="A541" t="s">
        <v>301</v>
      </c>
      <c r="B541" t="s">
        <v>473</v>
      </c>
      <c r="C541" t="s">
        <v>474</v>
      </c>
      <c r="D541" t="s">
        <v>340</v>
      </c>
      <c r="E541">
        <v>40</v>
      </c>
      <c r="F541" t="s">
        <v>11</v>
      </c>
      <c r="G541">
        <v>2</v>
      </c>
      <c r="H541" t="s">
        <v>12</v>
      </c>
    </row>
    <row r="542" spans="1:8">
      <c r="A542" t="s">
        <v>301</v>
      </c>
      <c r="B542" t="s">
        <v>473</v>
      </c>
      <c r="C542" t="s">
        <v>474</v>
      </c>
      <c r="D542" t="s">
        <v>838</v>
      </c>
      <c r="E542">
        <v>47</v>
      </c>
      <c r="F542" t="s">
        <v>11</v>
      </c>
      <c r="G542">
        <v>2</v>
      </c>
      <c r="H542" t="s">
        <v>12</v>
      </c>
    </row>
    <row r="543" spans="1:8">
      <c r="A543" t="s">
        <v>301</v>
      </c>
      <c r="B543" t="s">
        <v>475</v>
      </c>
      <c r="C543" t="s">
        <v>476</v>
      </c>
      <c r="D543" t="s">
        <v>340</v>
      </c>
      <c r="E543">
        <v>49</v>
      </c>
      <c r="F543" t="s">
        <v>11</v>
      </c>
      <c r="G543">
        <v>2</v>
      </c>
      <c r="H543" t="s">
        <v>12</v>
      </c>
    </row>
    <row r="544" spans="1:8">
      <c r="A544" t="s">
        <v>301</v>
      </c>
      <c r="B544" t="s">
        <v>477</v>
      </c>
      <c r="C544" t="s">
        <v>478</v>
      </c>
      <c r="D544" t="s">
        <v>340</v>
      </c>
      <c r="E544">
        <v>55</v>
      </c>
      <c r="F544" t="s">
        <v>11</v>
      </c>
      <c r="G544">
        <v>2</v>
      </c>
      <c r="H544" t="s">
        <v>12</v>
      </c>
    </row>
    <row r="545" spans="1:8">
      <c r="A545" t="s">
        <v>84</v>
      </c>
      <c r="B545" t="s">
        <v>85</v>
      </c>
      <c r="C545" t="s">
        <v>86</v>
      </c>
      <c r="D545" t="s">
        <v>10</v>
      </c>
      <c r="E545">
        <v>45</v>
      </c>
      <c r="F545" t="s">
        <v>11</v>
      </c>
      <c r="G545">
        <v>3</v>
      </c>
      <c r="H545" t="s">
        <v>12</v>
      </c>
    </row>
    <row r="546" spans="1:8">
      <c r="A546" t="s">
        <v>84</v>
      </c>
      <c r="B546" t="s">
        <v>441</v>
      </c>
      <c r="C546" t="s">
        <v>442</v>
      </c>
      <c r="D546" t="s">
        <v>340</v>
      </c>
      <c r="E546">
        <v>54</v>
      </c>
      <c r="F546" t="s">
        <v>11</v>
      </c>
      <c r="G546">
        <v>2</v>
      </c>
      <c r="H546" t="s">
        <v>12</v>
      </c>
    </row>
    <row r="547" spans="1:8">
      <c r="A547" t="s">
        <v>84</v>
      </c>
      <c r="B547" t="s">
        <v>87</v>
      </c>
      <c r="C547" t="s">
        <v>88</v>
      </c>
      <c r="D547" t="s">
        <v>10</v>
      </c>
      <c r="E547">
        <v>47</v>
      </c>
      <c r="F547" t="s">
        <v>11</v>
      </c>
      <c r="G547">
        <v>3</v>
      </c>
      <c r="H547" t="s">
        <v>12</v>
      </c>
    </row>
    <row r="548" spans="1:8">
      <c r="A548" t="s">
        <v>84</v>
      </c>
      <c r="B548" t="s">
        <v>87</v>
      </c>
      <c r="C548" t="s">
        <v>88</v>
      </c>
      <c r="D548" t="s">
        <v>838</v>
      </c>
      <c r="E548">
        <v>55</v>
      </c>
      <c r="F548" t="s">
        <v>11</v>
      </c>
      <c r="G548">
        <v>2</v>
      </c>
      <c r="H548" t="s">
        <v>12</v>
      </c>
    </row>
    <row r="549" spans="1:8">
      <c r="A549" t="s">
        <v>84</v>
      </c>
      <c r="B549" t="s">
        <v>89</v>
      </c>
      <c r="C549" t="s">
        <v>90</v>
      </c>
      <c r="D549" t="s">
        <v>712</v>
      </c>
      <c r="E549">
        <v>54</v>
      </c>
      <c r="F549" t="s">
        <v>11</v>
      </c>
      <c r="G549">
        <v>2</v>
      </c>
      <c r="H549" t="s">
        <v>12</v>
      </c>
    </row>
    <row r="550" spans="1:8">
      <c r="A550" t="s">
        <v>84</v>
      </c>
      <c r="B550" t="s">
        <v>89</v>
      </c>
      <c r="C550" t="s">
        <v>90</v>
      </c>
      <c r="D550" t="s">
        <v>340</v>
      </c>
      <c r="E550">
        <v>40</v>
      </c>
      <c r="F550" t="s">
        <v>11</v>
      </c>
      <c r="G550">
        <v>2</v>
      </c>
      <c r="H550" t="s">
        <v>12</v>
      </c>
    </row>
    <row r="551" spans="1:8">
      <c r="A551" t="s">
        <v>84</v>
      </c>
      <c r="B551" t="s">
        <v>89</v>
      </c>
      <c r="C551" t="s">
        <v>90</v>
      </c>
      <c r="D551" t="s">
        <v>10</v>
      </c>
      <c r="E551">
        <v>50</v>
      </c>
      <c r="F551" t="s">
        <v>11</v>
      </c>
      <c r="G551">
        <v>3</v>
      </c>
      <c r="H551" t="s">
        <v>12</v>
      </c>
    </row>
    <row r="552" spans="1:8">
      <c r="A552" t="s">
        <v>84</v>
      </c>
      <c r="B552" t="s">
        <v>89</v>
      </c>
      <c r="C552" t="s">
        <v>90</v>
      </c>
      <c r="D552" t="s">
        <v>838</v>
      </c>
      <c r="E552">
        <v>49</v>
      </c>
      <c r="F552" t="s">
        <v>11</v>
      </c>
      <c r="G552">
        <v>2</v>
      </c>
      <c r="H552" t="s">
        <v>12</v>
      </c>
    </row>
    <row r="553" spans="1:8">
      <c r="A553" t="s">
        <v>84</v>
      </c>
      <c r="B553" t="s">
        <v>443</v>
      </c>
      <c r="C553" t="s">
        <v>444</v>
      </c>
      <c r="D553" t="s">
        <v>340</v>
      </c>
      <c r="E553">
        <v>49</v>
      </c>
      <c r="F553" t="s">
        <v>11</v>
      </c>
      <c r="G553">
        <v>2</v>
      </c>
      <c r="H553" t="s">
        <v>12</v>
      </c>
    </row>
    <row r="554" spans="1:8">
      <c r="A554" t="s">
        <v>84</v>
      </c>
      <c r="B554" t="s">
        <v>751</v>
      </c>
      <c r="C554" t="s">
        <v>752</v>
      </c>
      <c r="D554" t="s">
        <v>712</v>
      </c>
      <c r="E554">
        <v>42</v>
      </c>
      <c r="F554" t="s">
        <v>11</v>
      </c>
      <c r="G554">
        <v>2</v>
      </c>
      <c r="H554" t="s">
        <v>12</v>
      </c>
    </row>
    <row r="555" spans="1:8">
      <c r="A555" t="s">
        <v>84</v>
      </c>
      <c r="B555" t="s">
        <v>91</v>
      </c>
      <c r="C555" t="s">
        <v>92</v>
      </c>
      <c r="D555" t="s">
        <v>340</v>
      </c>
      <c r="E555">
        <v>40</v>
      </c>
      <c r="F555" t="s">
        <v>11</v>
      </c>
      <c r="G555">
        <v>2</v>
      </c>
      <c r="H555" t="s">
        <v>12</v>
      </c>
    </row>
    <row r="556" spans="1:8">
      <c r="A556" t="s">
        <v>84</v>
      </c>
      <c r="B556" t="s">
        <v>91</v>
      </c>
      <c r="C556" t="s">
        <v>92</v>
      </c>
      <c r="D556" t="s">
        <v>10</v>
      </c>
      <c r="E556">
        <v>55</v>
      </c>
      <c r="F556" t="s">
        <v>11</v>
      </c>
      <c r="G556">
        <v>3</v>
      </c>
      <c r="H556" t="s">
        <v>12</v>
      </c>
    </row>
    <row r="557" spans="1:8">
      <c r="A557" t="s">
        <v>84</v>
      </c>
      <c r="B557" t="s">
        <v>91</v>
      </c>
      <c r="C557" t="s">
        <v>92</v>
      </c>
      <c r="D557" t="s">
        <v>838</v>
      </c>
      <c r="E557">
        <v>54</v>
      </c>
      <c r="F557" t="s">
        <v>11</v>
      </c>
      <c r="G557">
        <v>2</v>
      </c>
      <c r="H557" t="s">
        <v>12</v>
      </c>
    </row>
    <row r="558" spans="1:8">
      <c r="A558" t="s">
        <v>84</v>
      </c>
      <c r="B558" t="s">
        <v>604</v>
      </c>
      <c r="C558" t="s">
        <v>605</v>
      </c>
      <c r="D558" t="s">
        <v>712</v>
      </c>
      <c r="E558">
        <v>45</v>
      </c>
      <c r="F558" t="s">
        <v>11</v>
      </c>
      <c r="G558">
        <v>2</v>
      </c>
      <c r="H558" t="s">
        <v>12</v>
      </c>
    </row>
    <row r="559" spans="1:8">
      <c r="A559" t="s">
        <v>84</v>
      </c>
      <c r="B559" t="s">
        <v>839</v>
      </c>
      <c r="C559" t="s">
        <v>682</v>
      </c>
      <c r="D559" t="s">
        <v>838</v>
      </c>
      <c r="E559">
        <v>46</v>
      </c>
      <c r="F559" t="s">
        <v>11</v>
      </c>
      <c r="G559">
        <v>2</v>
      </c>
      <c r="H559" t="s">
        <v>12</v>
      </c>
    </row>
    <row r="560" spans="1:8">
      <c r="A560" t="s">
        <v>84</v>
      </c>
      <c r="B560" t="s">
        <v>753</v>
      </c>
      <c r="C560" t="s">
        <v>754</v>
      </c>
      <c r="D560" t="s">
        <v>712</v>
      </c>
      <c r="E560">
        <v>46</v>
      </c>
      <c r="F560" t="s">
        <v>11</v>
      </c>
      <c r="G560">
        <v>2</v>
      </c>
      <c r="H560" t="s">
        <v>12</v>
      </c>
    </row>
    <row r="561" spans="1:8">
      <c r="A561" t="s">
        <v>84</v>
      </c>
      <c r="B561" t="s">
        <v>753</v>
      </c>
      <c r="C561" t="s">
        <v>754</v>
      </c>
      <c r="D561" t="s">
        <v>838</v>
      </c>
      <c r="E561">
        <v>53</v>
      </c>
      <c r="F561" t="s">
        <v>11</v>
      </c>
      <c r="G561">
        <v>2</v>
      </c>
      <c r="H561" t="s">
        <v>12</v>
      </c>
    </row>
    <row r="562" spans="1:8">
      <c r="A562" t="s">
        <v>84</v>
      </c>
      <c r="B562" t="s">
        <v>755</v>
      </c>
      <c r="C562" t="s">
        <v>756</v>
      </c>
      <c r="D562" t="s">
        <v>712</v>
      </c>
      <c r="E562">
        <v>54</v>
      </c>
      <c r="F562" t="s">
        <v>11</v>
      </c>
      <c r="G562">
        <v>2</v>
      </c>
      <c r="H562" t="s">
        <v>12</v>
      </c>
    </row>
    <row r="563" spans="1:8">
      <c r="A563" t="s">
        <v>84</v>
      </c>
      <c r="B563" t="s">
        <v>755</v>
      </c>
      <c r="C563" t="s">
        <v>756</v>
      </c>
      <c r="D563" t="s">
        <v>838</v>
      </c>
      <c r="E563">
        <v>51</v>
      </c>
      <c r="F563" t="s">
        <v>11</v>
      </c>
      <c r="G563">
        <v>2</v>
      </c>
      <c r="H563" t="s">
        <v>12</v>
      </c>
    </row>
    <row r="564" spans="1:8">
      <c r="A564" t="s">
        <v>84</v>
      </c>
      <c r="B564" t="s">
        <v>445</v>
      </c>
      <c r="C564" t="s">
        <v>446</v>
      </c>
      <c r="D564" t="s">
        <v>340</v>
      </c>
      <c r="E564">
        <v>41</v>
      </c>
      <c r="F564" t="s">
        <v>11</v>
      </c>
      <c r="G564">
        <v>2</v>
      </c>
      <c r="H564" t="s">
        <v>12</v>
      </c>
    </row>
    <row r="565" spans="1:8">
      <c r="A565" t="s">
        <v>84</v>
      </c>
      <c r="B565" t="s">
        <v>445</v>
      </c>
      <c r="C565" t="s">
        <v>446</v>
      </c>
      <c r="D565" t="s">
        <v>838</v>
      </c>
      <c r="E565">
        <v>43</v>
      </c>
      <c r="F565" t="s">
        <v>11</v>
      </c>
      <c r="G565">
        <v>2</v>
      </c>
      <c r="H565" t="s">
        <v>12</v>
      </c>
    </row>
    <row r="566" spans="1:8">
      <c r="A566" t="s">
        <v>84</v>
      </c>
      <c r="B566" t="s">
        <v>840</v>
      </c>
      <c r="C566" t="s">
        <v>841</v>
      </c>
      <c r="D566" t="s">
        <v>838</v>
      </c>
      <c r="E566">
        <v>46</v>
      </c>
      <c r="F566" t="s">
        <v>11</v>
      </c>
      <c r="G566">
        <v>2</v>
      </c>
      <c r="H566" t="s">
        <v>12</v>
      </c>
    </row>
    <row r="567" spans="1:8">
      <c r="A567" t="s">
        <v>84</v>
      </c>
      <c r="B567" t="s">
        <v>447</v>
      </c>
      <c r="C567" t="s">
        <v>448</v>
      </c>
      <c r="D567" t="s">
        <v>340</v>
      </c>
      <c r="E567">
        <v>40</v>
      </c>
      <c r="F567" t="s">
        <v>11</v>
      </c>
      <c r="G567">
        <v>2</v>
      </c>
      <c r="H567" t="s">
        <v>12</v>
      </c>
    </row>
    <row r="568" spans="1:8">
      <c r="A568" t="s">
        <v>84</v>
      </c>
      <c r="B568" t="s">
        <v>93</v>
      </c>
      <c r="C568" t="s">
        <v>94</v>
      </c>
      <c r="D568" t="s">
        <v>10</v>
      </c>
      <c r="E568">
        <v>56</v>
      </c>
      <c r="F568" t="s">
        <v>11</v>
      </c>
      <c r="G568">
        <v>3</v>
      </c>
      <c r="H568" t="s">
        <v>12</v>
      </c>
    </row>
    <row r="569" spans="1:8">
      <c r="A569" t="s">
        <v>84</v>
      </c>
      <c r="B569" t="s">
        <v>95</v>
      </c>
      <c r="C569" t="s">
        <v>96</v>
      </c>
      <c r="D569" t="s">
        <v>10</v>
      </c>
      <c r="E569">
        <v>55</v>
      </c>
      <c r="F569" t="s">
        <v>11</v>
      </c>
      <c r="G569">
        <v>3</v>
      </c>
      <c r="H569" t="s">
        <v>12</v>
      </c>
    </row>
    <row r="570" spans="1:8">
      <c r="A570" t="s">
        <v>84</v>
      </c>
      <c r="B570" t="s">
        <v>95</v>
      </c>
      <c r="C570" t="s">
        <v>96</v>
      </c>
      <c r="D570" t="s">
        <v>838</v>
      </c>
      <c r="E570">
        <v>42</v>
      </c>
      <c r="F570" t="s">
        <v>11</v>
      </c>
      <c r="G570">
        <v>2</v>
      </c>
      <c r="H570" t="s">
        <v>12</v>
      </c>
    </row>
    <row r="571" spans="1:8">
      <c r="A571" t="s">
        <v>7</v>
      </c>
      <c r="B571" t="s">
        <v>8</v>
      </c>
      <c r="C571" t="s">
        <v>9</v>
      </c>
      <c r="D571" t="s">
        <v>340</v>
      </c>
      <c r="E571">
        <v>40</v>
      </c>
      <c r="F571" t="s">
        <v>11</v>
      </c>
      <c r="G571">
        <v>2</v>
      </c>
      <c r="H571" t="s">
        <v>12</v>
      </c>
    </row>
    <row r="572" spans="1:8">
      <c r="A572" t="s">
        <v>7</v>
      </c>
      <c r="B572" t="s">
        <v>8</v>
      </c>
      <c r="C572" t="s">
        <v>9</v>
      </c>
      <c r="D572" t="s">
        <v>10</v>
      </c>
      <c r="E572">
        <v>45</v>
      </c>
      <c r="F572" t="s">
        <v>11</v>
      </c>
      <c r="G572">
        <v>3</v>
      </c>
      <c r="H572" t="s">
        <v>12</v>
      </c>
    </row>
    <row r="573" spans="1:8">
      <c r="A573" t="s">
        <v>7</v>
      </c>
      <c r="B573" t="s">
        <v>8</v>
      </c>
      <c r="C573" t="s">
        <v>9</v>
      </c>
      <c r="D573" t="s">
        <v>636</v>
      </c>
      <c r="E573">
        <v>42</v>
      </c>
      <c r="F573" t="s">
        <v>11</v>
      </c>
      <c r="G573">
        <v>4</v>
      </c>
      <c r="H573" t="s">
        <v>12</v>
      </c>
    </row>
    <row r="574" spans="1:8">
      <c r="A574" t="s">
        <v>7</v>
      </c>
      <c r="B574" t="s">
        <v>836</v>
      </c>
      <c r="C574" t="s">
        <v>837</v>
      </c>
      <c r="D574" t="s">
        <v>838</v>
      </c>
      <c r="E574">
        <v>51</v>
      </c>
      <c r="F574" t="s">
        <v>11</v>
      </c>
      <c r="G574">
        <v>2</v>
      </c>
      <c r="H574" t="s">
        <v>12</v>
      </c>
    </row>
    <row r="575" spans="1:8">
      <c r="A575" t="s">
        <v>7</v>
      </c>
      <c r="B575" t="s">
        <v>745</v>
      </c>
      <c r="C575" t="s">
        <v>746</v>
      </c>
      <c r="D575" t="s">
        <v>712</v>
      </c>
      <c r="E575">
        <v>50</v>
      </c>
      <c r="F575" t="s">
        <v>11</v>
      </c>
      <c r="G575">
        <v>2</v>
      </c>
      <c r="H575" t="s">
        <v>12</v>
      </c>
    </row>
    <row r="576" spans="1:8">
      <c r="A576" t="s">
        <v>7</v>
      </c>
      <c r="B576" t="s">
        <v>745</v>
      </c>
      <c r="C576" t="s">
        <v>746</v>
      </c>
      <c r="D576" t="s">
        <v>828</v>
      </c>
      <c r="E576">
        <v>50</v>
      </c>
      <c r="F576" t="s">
        <v>11</v>
      </c>
      <c r="G576">
        <v>1</v>
      </c>
      <c r="H576" t="s">
        <v>12</v>
      </c>
    </row>
    <row r="577" spans="1:8">
      <c r="A577" t="s">
        <v>7</v>
      </c>
      <c r="B577" t="s">
        <v>745</v>
      </c>
      <c r="C577" t="s">
        <v>746</v>
      </c>
      <c r="D577" t="s">
        <v>838</v>
      </c>
      <c r="E577">
        <v>45</v>
      </c>
      <c r="F577" t="s">
        <v>11</v>
      </c>
      <c r="G577">
        <v>2</v>
      </c>
      <c r="H577" t="s">
        <v>12</v>
      </c>
    </row>
    <row r="578" spans="1:8">
      <c r="A578" t="s">
        <v>7</v>
      </c>
      <c r="B578" t="s">
        <v>13</v>
      </c>
      <c r="C578" t="s">
        <v>14</v>
      </c>
      <c r="D578" t="s">
        <v>712</v>
      </c>
      <c r="E578">
        <v>51</v>
      </c>
      <c r="F578" t="s">
        <v>11</v>
      </c>
      <c r="G578">
        <v>2</v>
      </c>
      <c r="H578" t="s">
        <v>12</v>
      </c>
    </row>
    <row r="579" spans="1:8">
      <c r="A579" t="s">
        <v>7</v>
      </c>
      <c r="B579" t="s">
        <v>13</v>
      </c>
      <c r="C579" t="s">
        <v>14</v>
      </c>
      <c r="D579" t="s">
        <v>340</v>
      </c>
      <c r="E579">
        <v>56</v>
      </c>
      <c r="F579" t="s">
        <v>11</v>
      </c>
      <c r="G579">
        <v>2</v>
      </c>
      <c r="H579" t="s">
        <v>12</v>
      </c>
    </row>
    <row r="580" spans="1:8">
      <c r="A580" t="s">
        <v>7</v>
      </c>
      <c r="B580" t="s">
        <v>13</v>
      </c>
      <c r="C580" t="s">
        <v>14</v>
      </c>
      <c r="D580" t="s">
        <v>10</v>
      </c>
      <c r="E580">
        <v>56</v>
      </c>
      <c r="F580" t="s">
        <v>11</v>
      </c>
      <c r="G580">
        <v>3</v>
      </c>
      <c r="H580" t="s">
        <v>12</v>
      </c>
    </row>
    <row r="581" spans="1:8">
      <c r="A581" t="s">
        <v>7</v>
      </c>
      <c r="B581" t="s">
        <v>13</v>
      </c>
      <c r="C581" t="s">
        <v>14</v>
      </c>
      <c r="D581" t="s">
        <v>636</v>
      </c>
      <c r="E581">
        <v>57</v>
      </c>
      <c r="F581" t="s">
        <v>11</v>
      </c>
      <c r="G581">
        <v>4</v>
      </c>
      <c r="H581" t="s">
        <v>12</v>
      </c>
    </row>
    <row r="582" spans="1:8">
      <c r="A582" t="s">
        <v>7</v>
      </c>
      <c r="B582" t="s">
        <v>541</v>
      </c>
      <c r="C582" t="s">
        <v>542</v>
      </c>
      <c r="D582" t="s">
        <v>340</v>
      </c>
      <c r="E582">
        <v>56</v>
      </c>
      <c r="F582" t="s">
        <v>11</v>
      </c>
      <c r="G582">
        <v>2</v>
      </c>
      <c r="H582" t="s">
        <v>12</v>
      </c>
    </row>
    <row r="583" spans="1:8">
      <c r="A583" t="s">
        <v>7</v>
      </c>
      <c r="B583" t="s">
        <v>747</v>
      </c>
      <c r="C583" t="s">
        <v>748</v>
      </c>
      <c r="D583" t="s">
        <v>712</v>
      </c>
      <c r="E583">
        <v>42</v>
      </c>
      <c r="F583" t="s">
        <v>11</v>
      </c>
      <c r="G583">
        <v>2</v>
      </c>
      <c r="H583" t="s">
        <v>12</v>
      </c>
    </row>
    <row r="584" spans="1:8">
      <c r="A584" t="s">
        <v>7</v>
      </c>
      <c r="B584" t="s">
        <v>543</v>
      </c>
      <c r="C584" t="s">
        <v>71</v>
      </c>
      <c r="D584" t="s">
        <v>340</v>
      </c>
      <c r="E584">
        <v>55</v>
      </c>
      <c r="F584" t="s">
        <v>11</v>
      </c>
      <c r="G584">
        <v>2</v>
      </c>
      <c r="H584" t="s">
        <v>12</v>
      </c>
    </row>
    <row r="585" spans="1:8">
      <c r="A585" t="s">
        <v>7</v>
      </c>
      <c r="B585" t="s">
        <v>15</v>
      </c>
      <c r="C585" t="s">
        <v>16</v>
      </c>
      <c r="D585" t="s">
        <v>712</v>
      </c>
      <c r="E585">
        <v>40</v>
      </c>
      <c r="F585" t="s">
        <v>11</v>
      </c>
      <c r="G585">
        <v>2</v>
      </c>
      <c r="H585" t="s">
        <v>12</v>
      </c>
    </row>
    <row r="586" spans="1:8">
      <c r="A586" t="s">
        <v>7</v>
      </c>
      <c r="B586" t="s">
        <v>15</v>
      </c>
      <c r="C586" t="s">
        <v>16</v>
      </c>
      <c r="D586" t="s">
        <v>10</v>
      </c>
      <c r="E586">
        <v>48</v>
      </c>
      <c r="F586" t="s">
        <v>11</v>
      </c>
      <c r="G586">
        <v>3</v>
      </c>
      <c r="H586" t="s">
        <v>12</v>
      </c>
    </row>
    <row r="587" spans="1:8">
      <c r="A587" t="s">
        <v>7</v>
      </c>
      <c r="B587" t="s">
        <v>15</v>
      </c>
      <c r="C587" t="s">
        <v>16</v>
      </c>
      <c r="D587" t="s">
        <v>636</v>
      </c>
      <c r="E587">
        <v>43</v>
      </c>
      <c r="F587" t="s">
        <v>11</v>
      </c>
      <c r="G587">
        <v>4</v>
      </c>
      <c r="H587" t="s">
        <v>12</v>
      </c>
    </row>
    <row r="588" spans="1:8">
      <c r="A588" t="s">
        <v>7</v>
      </c>
      <c r="B588" t="s">
        <v>15</v>
      </c>
      <c r="C588" t="s">
        <v>16</v>
      </c>
      <c r="D588" t="s">
        <v>838</v>
      </c>
      <c r="E588">
        <v>50</v>
      </c>
      <c r="F588" t="s">
        <v>11</v>
      </c>
      <c r="G588">
        <v>2</v>
      </c>
      <c r="H588" t="s">
        <v>12</v>
      </c>
    </row>
    <row r="589" spans="1:8">
      <c r="A589" t="s">
        <v>7</v>
      </c>
      <c r="B589" t="s">
        <v>749</v>
      </c>
      <c r="C589" t="s">
        <v>750</v>
      </c>
      <c r="D589" t="s">
        <v>712</v>
      </c>
      <c r="E589">
        <v>53</v>
      </c>
      <c r="F589" t="s">
        <v>11</v>
      </c>
      <c r="G589">
        <v>2</v>
      </c>
      <c r="H589" t="s">
        <v>12</v>
      </c>
    </row>
    <row r="590" spans="1:8">
      <c r="A590" t="s">
        <v>7</v>
      </c>
      <c r="B590" t="s">
        <v>17</v>
      </c>
      <c r="C590" t="s">
        <v>18</v>
      </c>
      <c r="D590" t="s">
        <v>712</v>
      </c>
      <c r="E590">
        <v>45</v>
      </c>
      <c r="F590" t="s">
        <v>11</v>
      </c>
      <c r="G590">
        <v>2</v>
      </c>
      <c r="H590" t="s">
        <v>12</v>
      </c>
    </row>
    <row r="591" spans="1:8">
      <c r="A591" t="s">
        <v>7</v>
      </c>
      <c r="B591" t="s">
        <v>17</v>
      </c>
      <c r="C591" t="s">
        <v>18</v>
      </c>
      <c r="D591" t="s">
        <v>340</v>
      </c>
      <c r="E591">
        <v>42</v>
      </c>
      <c r="F591" t="s">
        <v>11</v>
      </c>
      <c r="G591">
        <v>2</v>
      </c>
      <c r="H591" t="s">
        <v>12</v>
      </c>
    </row>
    <row r="592" spans="1:8">
      <c r="A592" t="s">
        <v>7</v>
      </c>
      <c r="B592" t="s">
        <v>17</v>
      </c>
      <c r="C592" t="s">
        <v>18</v>
      </c>
      <c r="D592" t="s">
        <v>10</v>
      </c>
      <c r="E592">
        <v>43</v>
      </c>
      <c r="F592" t="s">
        <v>11</v>
      </c>
      <c r="G592">
        <v>3</v>
      </c>
      <c r="H592" t="s">
        <v>12</v>
      </c>
    </row>
    <row r="593" spans="1:8">
      <c r="A593" t="s">
        <v>7</v>
      </c>
      <c r="B593" t="s">
        <v>17</v>
      </c>
      <c r="C593" t="s">
        <v>18</v>
      </c>
      <c r="D593" t="s">
        <v>636</v>
      </c>
      <c r="E593">
        <v>56</v>
      </c>
      <c r="F593" t="s">
        <v>11</v>
      </c>
      <c r="G593">
        <v>4</v>
      </c>
      <c r="H593" t="s">
        <v>12</v>
      </c>
    </row>
    <row r="594" spans="1:8">
      <c r="A594" t="s">
        <v>7</v>
      </c>
      <c r="B594" t="s">
        <v>17</v>
      </c>
      <c r="C594" t="s">
        <v>18</v>
      </c>
      <c r="D594" t="s">
        <v>838</v>
      </c>
      <c r="E594">
        <v>49</v>
      </c>
      <c r="F594" t="s">
        <v>11</v>
      </c>
      <c r="G594">
        <v>2</v>
      </c>
      <c r="H594" t="s">
        <v>12</v>
      </c>
    </row>
    <row r="595" spans="1:8">
      <c r="A595" t="s">
        <v>7</v>
      </c>
      <c r="B595" t="s">
        <v>19</v>
      </c>
      <c r="C595" t="s">
        <v>20</v>
      </c>
      <c r="D595" t="s">
        <v>712</v>
      </c>
      <c r="E595">
        <v>54</v>
      </c>
      <c r="F595" t="s">
        <v>11</v>
      </c>
      <c r="G595">
        <v>2</v>
      </c>
      <c r="H595" t="s">
        <v>12</v>
      </c>
    </row>
    <row r="596" spans="1:8">
      <c r="A596" t="s">
        <v>7</v>
      </c>
      <c r="B596" t="s">
        <v>19</v>
      </c>
      <c r="C596" t="s">
        <v>20</v>
      </c>
      <c r="D596" t="s">
        <v>10</v>
      </c>
      <c r="E596">
        <v>55</v>
      </c>
      <c r="F596" t="s">
        <v>11</v>
      </c>
      <c r="G596">
        <v>3</v>
      </c>
      <c r="H596" t="s">
        <v>12</v>
      </c>
    </row>
    <row r="597" spans="1:8">
      <c r="A597" t="s">
        <v>7</v>
      </c>
      <c r="B597" t="s">
        <v>544</v>
      </c>
      <c r="C597" t="s">
        <v>545</v>
      </c>
      <c r="D597" t="s">
        <v>340</v>
      </c>
      <c r="E597">
        <v>53</v>
      </c>
      <c r="F597" t="s">
        <v>11</v>
      </c>
      <c r="G597">
        <v>2</v>
      </c>
      <c r="H597" t="s">
        <v>12</v>
      </c>
    </row>
    <row r="598" spans="1:8">
      <c r="A598" t="s">
        <v>7</v>
      </c>
      <c r="B598" t="s">
        <v>21</v>
      </c>
      <c r="C598" t="s">
        <v>22</v>
      </c>
      <c r="D598" t="s">
        <v>10</v>
      </c>
      <c r="E598">
        <v>56</v>
      </c>
      <c r="F598" t="s">
        <v>11</v>
      </c>
      <c r="G598">
        <v>3</v>
      </c>
      <c r="H598" t="s">
        <v>12</v>
      </c>
    </row>
    <row r="599" spans="1:8">
      <c r="A599" t="s">
        <v>7</v>
      </c>
      <c r="B599" t="s">
        <v>546</v>
      </c>
      <c r="C599" t="s">
        <v>547</v>
      </c>
      <c r="D599" t="s">
        <v>340</v>
      </c>
      <c r="E599">
        <v>40</v>
      </c>
      <c r="F599" t="s">
        <v>11</v>
      </c>
      <c r="G599">
        <v>2</v>
      </c>
      <c r="H599" t="s">
        <v>12</v>
      </c>
    </row>
    <row r="600" spans="1:8">
      <c r="A600" t="s">
        <v>7</v>
      </c>
      <c r="B600" t="s">
        <v>23</v>
      </c>
      <c r="C600" t="s">
        <v>24</v>
      </c>
      <c r="D600" t="s">
        <v>712</v>
      </c>
      <c r="E600">
        <v>44</v>
      </c>
      <c r="F600" t="s">
        <v>11</v>
      </c>
      <c r="G600">
        <v>2</v>
      </c>
      <c r="H600" t="s">
        <v>12</v>
      </c>
    </row>
    <row r="601" spans="1:8">
      <c r="A601" t="s">
        <v>7</v>
      </c>
      <c r="B601" t="s">
        <v>23</v>
      </c>
      <c r="C601" t="s">
        <v>24</v>
      </c>
      <c r="D601" t="s">
        <v>10</v>
      </c>
      <c r="E601">
        <v>46</v>
      </c>
      <c r="F601" t="s">
        <v>11</v>
      </c>
      <c r="G601">
        <v>3</v>
      </c>
      <c r="H601" t="s">
        <v>12</v>
      </c>
    </row>
    <row r="602" spans="1:8">
      <c r="A602" t="s">
        <v>7</v>
      </c>
      <c r="B602" t="s">
        <v>23</v>
      </c>
      <c r="C602" t="s">
        <v>24</v>
      </c>
      <c r="D602" t="s">
        <v>838</v>
      </c>
      <c r="E602">
        <v>40</v>
      </c>
      <c r="F602" t="s">
        <v>11</v>
      </c>
      <c r="G602">
        <v>2</v>
      </c>
      <c r="H602" t="s">
        <v>12</v>
      </c>
    </row>
    <row r="603" spans="1:8">
      <c r="A603" t="s">
        <v>7</v>
      </c>
      <c r="B603" t="s">
        <v>667</v>
      </c>
      <c r="C603" t="s">
        <v>668</v>
      </c>
      <c r="D603" t="s">
        <v>712</v>
      </c>
      <c r="E603">
        <v>46</v>
      </c>
      <c r="F603" t="s">
        <v>11</v>
      </c>
      <c r="G603">
        <v>2</v>
      </c>
      <c r="H603" t="s">
        <v>12</v>
      </c>
    </row>
    <row r="604" spans="1:8">
      <c r="A604" t="s">
        <v>7</v>
      </c>
      <c r="B604" t="s">
        <v>667</v>
      </c>
      <c r="C604" t="s">
        <v>668</v>
      </c>
      <c r="D604" t="s">
        <v>636</v>
      </c>
      <c r="E604">
        <v>44</v>
      </c>
      <c r="F604" t="s">
        <v>11</v>
      </c>
      <c r="G604">
        <v>4</v>
      </c>
      <c r="H604" t="s">
        <v>12</v>
      </c>
    </row>
    <row r="605" spans="1:8">
      <c r="A605" t="s">
        <v>7</v>
      </c>
      <c r="B605" t="s">
        <v>548</v>
      </c>
      <c r="C605" t="s">
        <v>549</v>
      </c>
      <c r="D605" t="s">
        <v>712</v>
      </c>
      <c r="E605">
        <v>45</v>
      </c>
      <c r="F605" t="s">
        <v>11</v>
      </c>
      <c r="G605">
        <v>2</v>
      </c>
      <c r="H605" t="s">
        <v>12</v>
      </c>
    </row>
    <row r="606" spans="1:8">
      <c r="A606" t="s">
        <v>7</v>
      </c>
      <c r="B606" t="s">
        <v>548</v>
      </c>
      <c r="C606" t="s">
        <v>549</v>
      </c>
      <c r="D606" t="s">
        <v>340</v>
      </c>
      <c r="E606">
        <v>54</v>
      </c>
      <c r="F606" t="s">
        <v>11</v>
      </c>
      <c r="G606">
        <v>2</v>
      </c>
      <c r="H606" t="s">
        <v>12</v>
      </c>
    </row>
    <row r="607" spans="1:8">
      <c r="A607" t="s">
        <v>7</v>
      </c>
      <c r="B607" t="s">
        <v>548</v>
      </c>
      <c r="C607" t="s">
        <v>549</v>
      </c>
      <c r="D607" t="s">
        <v>636</v>
      </c>
      <c r="E607">
        <v>56</v>
      </c>
      <c r="F607" t="s">
        <v>11</v>
      </c>
      <c r="G607">
        <v>4</v>
      </c>
      <c r="H607" t="s">
        <v>12</v>
      </c>
    </row>
    <row r="608" spans="1:8">
      <c r="A608" t="s">
        <v>7</v>
      </c>
      <c r="B608" t="s">
        <v>548</v>
      </c>
      <c r="C608" t="s">
        <v>549</v>
      </c>
      <c r="D608" t="s">
        <v>838</v>
      </c>
      <c r="E608">
        <v>54</v>
      </c>
      <c r="F608" t="s">
        <v>11</v>
      </c>
      <c r="G608">
        <v>2</v>
      </c>
      <c r="H608" t="s">
        <v>12</v>
      </c>
    </row>
    <row r="609" spans="1:8">
      <c r="A609" t="s">
        <v>7</v>
      </c>
      <c r="B609" t="s">
        <v>550</v>
      </c>
      <c r="C609" t="s">
        <v>551</v>
      </c>
      <c r="D609" t="s">
        <v>712</v>
      </c>
      <c r="E609">
        <v>46</v>
      </c>
      <c r="F609" t="s">
        <v>11</v>
      </c>
      <c r="G609">
        <v>2</v>
      </c>
      <c r="H609" t="s">
        <v>12</v>
      </c>
    </row>
    <row r="610" spans="1:8">
      <c r="A610" t="s">
        <v>7</v>
      </c>
      <c r="B610" t="s">
        <v>550</v>
      </c>
      <c r="C610" t="s">
        <v>551</v>
      </c>
      <c r="D610" t="s">
        <v>340</v>
      </c>
      <c r="E610">
        <v>40</v>
      </c>
      <c r="F610" t="s">
        <v>11</v>
      </c>
      <c r="G610">
        <v>2</v>
      </c>
      <c r="H610" t="s">
        <v>12</v>
      </c>
    </row>
    <row r="611" spans="1:8">
      <c r="A611" t="s">
        <v>7</v>
      </c>
      <c r="B611" t="s">
        <v>552</v>
      </c>
      <c r="C611" t="s">
        <v>553</v>
      </c>
      <c r="D611" t="s">
        <v>340</v>
      </c>
      <c r="E611">
        <v>55</v>
      </c>
      <c r="F611" t="s">
        <v>11</v>
      </c>
      <c r="G611">
        <v>2</v>
      </c>
      <c r="H611" t="s">
        <v>12</v>
      </c>
    </row>
    <row r="612" spans="1:8">
      <c r="A612" t="s">
        <v>7</v>
      </c>
      <c r="B612" t="s">
        <v>554</v>
      </c>
      <c r="C612" t="s">
        <v>555</v>
      </c>
      <c r="D612" t="s">
        <v>340</v>
      </c>
      <c r="E612">
        <v>54</v>
      </c>
      <c r="F612" t="s">
        <v>11</v>
      </c>
      <c r="G612">
        <v>2</v>
      </c>
      <c r="H612" t="s">
        <v>12</v>
      </c>
    </row>
    <row r="613" spans="1:8">
      <c r="A613" t="s">
        <v>7</v>
      </c>
      <c r="B613" t="s">
        <v>556</v>
      </c>
      <c r="C613" t="s">
        <v>557</v>
      </c>
      <c r="D613" t="s">
        <v>340</v>
      </c>
      <c r="E613">
        <v>40</v>
      </c>
      <c r="F613" t="s">
        <v>11</v>
      </c>
      <c r="G613">
        <v>2</v>
      </c>
      <c r="H613" t="s">
        <v>12</v>
      </c>
    </row>
    <row r="614" spans="1:8">
      <c r="A614" t="s">
        <v>141</v>
      </c>
      <c r="B614" t="s">
        <v>568</v>
      </c>
      <c r="C614" t="s">
        <v>569</v>
      </c>
      <c r="D614" t="s">
        <v>340</v>
      </c>
      <c r="E614">
        <v>54</v>
      </c>
      <c r="F614" t="s">
        <v>11</v>
      </c>
      <c r="G614">
        <v>2</v>
      </c>
      <c r="H614" t="s">
        <v>12</v>
      </c>
    </row>
    <row r="615" spans="1:8">
      <c r="A615" t="s">
        <v>141</v>
      </c>
      <c r="B615" t="s">
        <v>570</v>
      </c>
      <c r="C615" t="s">
        <v>571</v>
      </c>
      <c r="D615" t="s">
        <v>340</v>
      </c>
      <c r="E615">
        <v>47</v>
      </c>
      <c r="F615" t="s">
        <v>11</v>
      </c>
      <c r="G615">
        <v>2</v>
      </c>
      <c r="H615" t="s">
        <v>12</v>
      </c>
    </row>
    <row r="616" spans="1:8">
      <c r="A616" t="s">
        <v>141</v>
      </c>
      <c r="B616" t="s">
        <v>741</v>
      </c>
      <c r="C616" t="s">
        <v>742</v>
      </c>
      <c r="D616" t="s">
        <v>712</v>
      </c>
      <c r="E616">
        <v>52</v>
      </c>
      <c r="F616" t="s">
        <v>11</v>
      </c>
      <c r="G616">
        <v>1</v>
      </c>
      <c r="H616" t="s">
        <v>12</v>
      </c>
    </row>
    <row r="617" spans="1:8">
      <c r="A617" t="s">
        <v>141</v>
      </c>
      <c r="B617" t="s">
        <v>572</v>
      </c>
      <c r="C617" t="s">
        <v>573</v>
      </c>
      <c r="D617" t="s">
        <v>712</v>
      </c>
      <c r="E617">
        <v>46</v>
      </c>
      <c r="F617" t="s">
        <v>11</v>
      </c>
      <c r="G617">
        <v>1</v>
      </c>
      <c r="H617" t="s">
        <v>12</v>
      </c>
    </row>
    <row r="618" spans="1:8">
      <c r="A618" t="s">
        <v>141</v>
      </c>
      <c r="B618" t="s">
        <v>572</v>
      </c>
      <c r="C618" t="s">
        <v>573</v>
      </c>
      <c r="D618" t="s">
        <v>340</v>
      </c>
      <c r="E618">
        <v>46</v>
      </c>
      <c r="F618" t="s">
        <v>11</v>
      </c>
      <c r="G618">
        <v>2</v>
      </c>
      <c r="H618" t="s">
        <v>12</v>
      </c>
    </row>
    <row r="619" spans="1:8">
      <c r="A619" t="s">
        <v>141</v>
      </c>
      <c r="B619" t="s">
        <v>574</v>
      </c>
      <c r="C619" t="s">
        <v>575</v>
      </c>
      <c r="D619" t="s">
        <v>340</v>
      </c>
      <c r="E619">
        <v>51</v>
      </c>
      <c r="F619" t="s">
        <v>11</v>
      </c>
      <c r="G619">
        <v>2</v>
      </c>
      <c r="H619" t="s">
        <v>12</v>
      </c>
    </row>
    <row r="620" spans="1:8">
      <c r="A620" t="s">
        <v>141</v>
      </c>
      <c r="B620" t="s">
        <v>142</v>
      </c>
      <c r="C620" t="s">
        <v>143</v>
      </c>
      <c r="D620" t="s">
        <v>10</v>
      </c>
      <c r="E620">
        <v>56</v>
      </c>
      <c r="F620" t="s">
        <v>11</v>
      </c>
      <c r="G620">
        <v>3</v>
      </c>
      <c r="H620" t="s">
        <v>12</v>
      </c>
    </row>
    <row r="621" spans="1:8">
      <c r="A621" t="s">
        <v>141</v>
      </c>
      <c r="B621" t="s">
        <v>144</v>
      </c>
      <c r="C621" t="s">
        <v>145</v>
      </c>
      <c r="D621" t="s">
        <v>712</v>
      </c>
      <c r="E621">
        <v>48</v>
      </c>
      <c r="F621" t="s">
        <v>11</v>
      </c>
      <c r="G621">
        <v>1</v>
      </c>
      <c r="H621" t="s">
        <v>12</v>
      </c>
    </row>
    <row r="622" spans="1:8">
      <c r="A622" t="s">
        <v>141</v>
      </c>
      <c r="B622" t="s">
        <v>144</v>
      </c>
      <c r="C622" t="s">
        <v>145</v>
      </c>
      <c r="D622" t="s">
        <v>340</v>
      </c>
      <c r="E622">
        <v>52</v>
      </c>
      <c r="F622" t="s">
        <v>11</v>
      </c>
      <c r="G622">
        <v>2</v>
      </c>
      <c r="H622" t="s">
        <v>12</v>
      </c>
    </row>
    <row r="623" spans="1:8">
      <c r="A623" t="s">
        <v>141</v>
      </c>
      <c r="B623" t="s">
        <v>144</v>
      </c>
      <c r="C623" t="s">
        <v>145</v>
      </c>
      <c r="D623" t="s">
        <v>10</v>
      </c>
      <c r="E623">
        <v>40</v>
      </c>
      <c r="F623" t="s">
        <v>11</v>
      </c>
      <c r="G623">
        <v>3</v>
      </c>
      <c r="H623" t="s">
        <v>12</v>
      </c>
    </row>
    <row r="624" spans="1:8">
      <c r="A624" t="s">
        <v>141</v>
      </c>
      <c r="B624" t="s">
        <v>146</v>
      </c>
      <c r="C624" t="s">
        <v>147</v>
      </c>
      <c r="D624" t="s">
        <v>712</v>
      </c>
      <c r="E624">
        <v>50</v>
      </c>
      <c r="F624" t="s">
        <v>11</v>
      </c>
      <c r="G624">
        <v>1</v>
      </c>
      <c r="H624" t="s">
        <v>12</v>
      </c>
    </row>
    <row r="625" spans="1:8">
      <c r="A625" t="s">
        <v>141</v>
      </c>
      <c r="B625" t="s">
        <v>146</v>
      </c>
      <c r="C625" t="s">
        <v>147</v>
      </c>
      <c r="D625" t="s">
        <v>10</v>
      </c>
      <c r="E625">
        <v>44</v>
      </c>
      <c r="F625" t="s">
        <v>11</v>
      </c>
      <c r="G625">
        <v>3</v>
      </c>
      <c r="H625" t="s">
        <v>12</v>
      </c>
    </row>
    <row r="626" spans="1:8">
      <c r="A626" t="s">
        <v>141</v>
      </c>
      <c r="B626" t="s">
        <v>148</v>
      </c>
      <c r="C626" t="s">
        <v>149</v>
      </c>
      <c r="D626" t="s">
        <v>702</v>
      </c>
      <c r="E626">
        <v>52</v>
      </c>
      <c r="F626" t="s">
        <v>11</v>
      </c>
      <c r="G626">
        <v>2</v>
      </c>
      <c r="H626" t="s">
        <v>12</v>
      </c>
    </row>
    <row r="627" spans="1:8">
      <c r="A627" t="s">
        <v>141</v>
      </c>
      <c r="B627" t="s">
        <v>148</v>
      </c>
      <c r="C627" t="s">
        <v>149</v>
      </c>
      <c r="D627" t="s">
        <v>340</v>
      </c>
      <c r="E627">
        <v>49</v>
      </c>
      <c r="F627" t="s">
        <v>11</v>
      </c>
      <c r="G627">
        <v>2</v>
      </c>
      <c r="H627" t="s">
        <v>12</v>
      </c>
    </row>
    <row r="628" spans="1:8">
      <c r="A628" t="s">
        <v>141</v>
      </c>
      <c r="B628" t="s">
        <v>148</v>
      </c>
      <c r="C628" t="s">
        <v>149</v>
      </c>
      <c r="D628" t="s">
        <v>10</v>
      </c>
      <c r="E628">
        <v>40</v>
      </c>
      <c r="F628" t="s">
        <v>11</v>
      </c>
      <c r="G628">
        <v>3</v>
      </c>
      <c r="H628" t="s">
        <v>12</v>
      </c>
    </row>
    <row r="629" spans="1:8">
      <c r="A629" t="s">
        <v>141</v>
      </c>
      <c r="B629" t="s">
        <v>576</v>
      </c>
      <c r="C629" t="s">
        <v>577</v>
      </c>
      <c r="D629" t="s">
        <v>712</v>
      </c>
      <c r="E629">
        <v>50</v>
      </c>
      <c r="F629" t="s">
        <v>11</v>
      </c>
      <c r="G629">
        <v>1</v>
      </c>
      <c r="H629" t="s">
        <v>12</v>
      </c>
    </row>
    <row r="630" spans="1:8">
      <c r="A630" t="s">
        <v>141</v>
      </c>
      <c r="B630" t="s">
        <v>576</v>
      </c>
      <c r="C630" t="s">
        <v>577</v>
      </c>
      <c r="D630" t="s">
        <v>340</v>
      </c>
      <c r="E630">
        <v>47</v>
      </c>
      <c r="F630" t="s">
        <v>11</v>
      </c>
      <c r="G630">
        <v>2</v>
      </c>
      <c r="H630" t="s">
        <v>12</v>
      </c>
    </row>
    <row r="631" spans="1:8">
      <c r="A631" t="s">
        <v>141</v>
      </c>
      <c r="B631" t="s">
        <v>150</v>
      </c>
      <c r="C631" t="s">
        <v>151</v>
      </c>
      <c r="D631" t="s">
        <v>10</v>
      </c>
      <c r="E631">
        <v>49</v>
      </c>
      <c r="F631" t="s">
        <v>11</v>
      </c>
      <c r="G631">
        <v>3</v>
      </c>
      <c r="H631" t="s">
        <v>12</v>
      </c>
    </row>
    <row r="632" spans="1:8">
      <c r="A632" t="s">
        <v>141</v>
      </c>
      <c r="B632" t="s">
        <v>743</v>
      </c>
      <c r="C632" t="s">
        <v>744</v>
      </c>
      <c r="D632" t="s">
        <v>712</v>
      </c>
      <c r="E632">
        <v>46</v>
      </c>
      <c r="F632" t="s">
        <v>11</v>
      </c>
      <c r="G632">
        <v>1</v>
      </c>
      <c r="H632" t="s">
        <v>12</v>
      </c>
    </row>
    <row r="633" spans="1:8">
      <c r="A633" t="s">
        <v>141</v>
      </c>
      <c r="B633" t="s">
        <v>152</v>
      </c>
      <c r="C633" t="s">
        <v>153</v>
      </c>
      <c r="D633" t="s">
        <v>712</v>
      </c>
      <c r="E633">
        <v>40</v>
      </c>
      <c r="F633" t="s">
        <v>11</v>
      </c>
      <c r="G633">
        <v>1</v>
      </c>
      <c r="H633" t="s">
        <v>12</v>
      </c>
    </row>
    <row r="634" spans="1:8">
      <c r="A634" t="s">
        <v>141</v>
      </c>
      <c r="B634" t="s">
        <v>152</v>
      </c>
      <c r="C634" t="s">
        <v>153</v>
      </c>
      <c r="D634" t="s">
        <v>10</v>
      </c>
      <c r="E634">
        <v>50</v>
      </c>
      <c r="F634" t="s">
        <v>11</v>
      </c>
      <c r="G634">
        <v>3</v>
      </c>
      <c r="H634" t="s">
        <v>12</v>
      </c>
    </row>
    <row r="635" spans="1:8">
      <c r="A635" t="s">
        <v>141</v>
      </c>
      <c r="B635" t="s">
        <v>578</v>
      </c>
      <c r="C635" t="s">
        <v>579</v>
      </c>
      <c r="D635" t="s">
        <v>340</v>
      </c>
      <c r="E635">
        <v>51</v>
      </c>
      <c r="F635" t="s">
        <v>11</v>
      </c>
      <c r="G635">
        <v>2</v>
      </c>
      <c r="H635" t="s">
        <v>12</v>
      </c>
    </row>
    <row r="636" spans="1:8">
      <c r="A636" t="s">
        <v>141</v>
      </c>
      <c r="B636" t="s">
        <v>580</v>
      </c>
      <c r="C636" t="s">
        <v>581</v>
      </c>
      <c r="D636" t="s">
        <v>340</v>
      </c>
      <c r="E636">
        <v>50</v>
      </c>
      <c r="F636" t="s">
        <v>11</v>
      </c>
      <c r="G636">
        <v>2</v>
      </c>
      <c r="H636" t="s">
        <v>12</v>
      </c>
    </row>
    <row r="637" spans="1:8">
      <c r="A637" t="s">
        <v>141</v>
      </c>
      <c r="B637" t="s">
        <v>154</v>
      </c>
      <c r="C637" t="s">
        <v>155</v>
      </c>
      <c r="D637" t="s">
        <v>712</v>
      </c>
      <c r="E637">
        <v>40</v>
      </c>
      <c r="F637" t="s">
        <v>11</v>
      </c>
      <c r="G637">
        <v>1</v>
      </c>
      <c r="H637" t="s">
        <v>12</v>
      </c>
    </row>
    <row r="638" spans="1:8">
      <c r="A638" t="s">
        <v>141</v>
      </c>
      <c r="B638" t="s">
        <v>154</v>
      </c>
      <c r="C638" t="s">
        <v>155</v>
      </c>
      <c r="D638" t="s">
        <v>340</v>
      </c>
      <c r="E638">
        <v>47</v>
      </c>
      <c r="F638" t="s">
        <v>11</v>
      </c>
      <c r="G638">
        <v>2</v>
      </c>
      <c r="H638" t="s">
        <v>12</v>
      </c>
    </row>
    <row r="639" spans="1:8">
      <c r="A639" t="s">
        <v>141</v>
      </c>
      <c r="B639" t="s">
        <v>154</v>
      </c>
      <c r="C639" t="s">
        <v>155</v>
      </c>
      <c r="D639" t="s">
        <v>10</v>
      </c>
      <c r="E639">
        <v>49</v>
      </c>
      <c r="F639" t="s">
        <v>11</v>
      </c>
      <c r="G639">
        <v>3</v>
      </c>
      <c r="H639" t="s">
        <v>12</v>
      </c>
    </row>
    <row r="640" spans="1:8">
      <c r="A640" t="s">
        <v>141</v>
      </c>
      <c r="B640" t="s">
        <v>156</v>
      </c>
      <c r="C640" t="s">
        <v>157</v>
      </c>
      <c r="D640" t="s">
        <v>712</v>
      </c>
      <c r="E640">
        <v>40</v>
      </c>
      <c r="F640" t="s">
        <v>11</v>
      </c>
      <c r="G640">
        <v>1</v>
      </c>
      <c r="H640" t="s">
        <v>12</v>
      </c>
    </row>
    <row r="641" spans="1:8">
      <c r="A641" t="s">
        <v>141</v>
      </c>
      <c r="B641" t="s">
        <v>156</v>
      </c>
      <c r="C641" t="s">
        <v>157</v>
      </c>
      <c r="D641" t="s">
        <v>10</v>
      </c>
      <c r="E641">
        <v>50</v>
      </c>
      <c r="F641" t="s">
        <v>11</v>
      </c>
      <c r="G641">
        <v>3</v>
      </c>
      <c r="H641" t="s">
        <v>12</v>
      </c>
    </row>
    <row r="642" spans="1:8">
      <c r="A642" t="s">
        <v>239</v>
      </c>
      <c r="B642" t="s">
        <v>558</v>
      </c>
      <c r="C642" t="s">
        <v>559</v>
      </c>
      <c r="D642" t="s">
        <v>340</v>
      </c>
      <c r="E642">
        <v>45</v>
      </c>
      <c r="F642" t="s">
        <v>11</v>
      </c>
      <c r="G642">
        <v>2</v>
      </c>
      <c r="H642" t="s">
        <v>12</v>
      </c>
    </row>
    <row r="643" spans="1:8">
      <c r="A643" t="s">
        <v>239</v>
      </c>
      <c r="B643" t="s">
        <v>560</v>
      </c>
      <c r="C643" t="s">
        <v>561</v>
      </c>
      <c r="D643" t="s">
        <v>340</v>
      </c>
      <c r="E643">
        <v>52</v>
      </c>
      <c r="F643" t="s">
        <v>11</v>
      </c>
      <c r="G643">
        <v>2</v>
      </c>
      <c r="H643" t="s">
        <v>12</v>
      </c>
    </row>
    <row r="644" spans="1:8">
      <c r="A644" t="s">
        <v>239</v>
      </c>
      <c r="B644" t="s">
        <v>562</v>
      </c>
      <c r="C644" t="s">
        <v>563</v>
      </c>
      <c r="D644" t="s">
        <v>712</v>
      </c>
      <c r="E644">
        <v>50</v>
      </c>
      <c r="F644" t="s">
        <v>11</v>
      </c>
      <c r="G644">
        <v>1</v>
      </c>
      <c r="H644" t="s">
        <v>12</v>
      </c>
    </row>
    <row r="645" spans="1:8">
      <c r="A645" t="s">
        <v>239</v>
      </c>
      <c r="B645" t="s">
        <v>562</v>
      </c>
      <c r="C645" t="s">
        <v>563</v>
      </c>
      <c r="D645" t="s">
        <v>340</v>
      </c>
      <c r="E645">
        <v>45</v>
      </c>
      <c r="F645" t="s">
        <v>11</v>
      </c>
      <c r="G645">
        <v>2</v>
      </c>
      <c r="H645" t="s">
        <v>12</v>
      </c>
    </row>
    <row r="646" spans="1:8">
      <c r="A646" t="s">
        <v>239</v>
      </c>
      <c r="B646" t="s">
        <v>562</v>
      </c>
      <c r="C646" t="s">
        <v>563</v>
      </c>
      <c r="D646" t="s">
        <v>935</v>
      </c>
      <c r="E646">
        <v>50</v>
      </c>
      <c r="F646" t="s">
        <v>11</v>
      </c>
      <c r="G646">
        <v>2</v>
      </c>
      <c r="H646" t="s">
        <v>12</v>
      </c>
    </row>
    <row r="647" spans="1:8">
      <c r="A647" t="s">
        <v>239</v>
      </c>
      <c r="B647" t="s">
        <v>564</v>
      </c>
      <c r="C647" t="s">
        <v>565</v>
      </c>
      <c r="D647" t="s">
        <v>340</v>
      </c>
      <c r="E647">
        <v>55</v>
      </c>
      <c r="F647" t="s">
        <v>11</v>
      </c>
      <c r="G647">
        <v>2</v>
      </c>
      <c r="H647" t="s">
        <v>12</v>
      </c>
    </row>
    <row r="648" spans="1:8">
      <c r="A648" t="s">
        <v>239</v>
      </c>
      <c r="B648" t="s">
        <v>564</v>
      </c>
      <c r="C648" t="s">
        <v>565</v>
      </c>
      <c r="D648" t="s">
        <v>935</v>
      </c>
      <c r="E648">
        <v>53</v>
      </c>
      <c r="F648" t="s">
        <v>11</v>
      </c>
      <c r="G648">
        <v>2</v>
      </c>
      <c r="H648" t="s">
        <v>12</v>
      </c>
    </row>
    <row r="649" spans="1:8">
      <c r="A649" t="s">
        <v>239</v>
      </c>
      <c r="B649" t="s">
        <v>240</v>
      </c>
      <c r="C649" t="s">
        <v>241</v>
      </c>
      <c r="D649" t="s">
        <v>712</v>
      </c>
      <c r="E649">
        <v>46</v>
      </c>
      <c r="F649" t="s">
        <v>11</v>
      </c>
      <c r="G649">
        <v>1</v>
      </c>
      <c r="H649" t="s">
        <v>12</v>
      </c>
    </row>
    <row r="650" spans="1:8">
      <c r="A650" t="s">
        <v>239</v>
      </c>
      <c r="B650" t="s">
        <v>240</v>
      </c>
      <c r="C650" t="s">
        <v>241</v>
      </c>
      <c r="D650" t="s">
        <v>340</v>
      </c>
      <c r="E650">
        <v>56</v>
      </c>
      <c r="F650" t="s">
        <v>11</v>
      </c>
      <c r="G650">
        <v>2</v>
      </c>
      <c r="H650" t="s">
        <v>12</v>
      </c>
    </row>
    <row r="651" spans="1:8">
      <c r="A651" t="s">
        <v>239</v>
      </c>
      <c r="B651" t="s">
        <v>240</v>
      </c>
      <c r="C651" t="s">
        <v>241</v>
      </c>
      <c r="D651" t="s">
        <v>10</v>
      </c>
      <c r="E651">
        <v>51</v>
      </c>
      <c r="F651" t="s">
        <v>11</v>
      </c>
      <c r="G651">
        <v>3</v>
      </c>
      <c r="H651" t="s">
        <v>12</v>
      </c>
    </row>
    <row r="652" spans="1:8">
      <c r="A652" t="s">
        <v>239</v>
      </c>
      <c r="B652" t="s">
        <v>240</v>
      </c>
      <c r="C652" t="s">
        <v>241</v>
      </c>
      <c r="D652" t="s">
        <v>935</v>
      </c>
      <c r="E652">
        <v>44</v>
      </c>
      <c r="F652" t="s">
        <v>11</v>
      </c>
      <c r="G652">
        <v>2</v>
      </c>
      <c r="H652" t="s">
        <v>12</v>
      </c>
    </row>
    <row r="653" spans="1:8">
      <c r="A653" t="s">
        <v>239</v>
      </c>
      <c r="B653" t="s">
        <v>733</v>
      </c>
      <c r="C653" t="s">
        <v>734</v>
      </c>
      <c r="D653" t="s">
        <v>712</v>
      </c>
      <c r="E653">
        <v>48</v>
      </c>
      <c r="F653" t="s">
        <v>11</v>
      </c>
      <c r="G653">
        <v>1</v>
      </c>
      <c r="H653" t="s">
        <v>12</v>
      </c>
    </row>
    <row r="654" spans="1:8">
      <c r="A654" t="s">
        <v>239</v>
      </c>
      <c r="B654" t="s">
        <v>242</v>
      </c>
      <c r="C654" t="s">
        <v>243</v>
      </c>
      <c r="D654" t="s">
        <v>340</v>
      </c>
      <c r="E654">
        <v>57</v>
      </c>
      <c r="F654" t="s">
        <v>11</v>
      </c>
      <c r="G654">
        <v>2</v>
      </c>
      <c r="H654" t="s">
        <v>12</v>
      </c>
    </row>
    <row r="655" spans="1:8">
      <c r="A655" t="s">
        <v>239</v>
      </c>
      <c r="B655" t="s">
        <v>242</v>
      </c>
      <c r="C655" t="s">
        <v>243</v>
      </c>
      <c r="D655" t="s">
        <v>10</v>
      </c>
      <c r="E655">
        <v>51</v>
      </c>
      <c r="F655" t="s">
        <v>11</v>
      </c>
      <c r="G655">
        <v>3</v>
      </c>
      <c r="H655" t="s">
        <v>12</v>
      </c>
    </row>
    <row r="656" spans="1:8">
      <c r="A656" t="s">
        <v>239</v>
      </c>
      <c r="B656" t="s">
        <v>242</v>
      </c>
      <c r="C656" t="s">
        <v>243</v>
      </c>
      <c r="D656" t="s">
        <v>935</v>
      </c>
      <c r="E656">
        <v>51</v>
      </c>
      <c r="F656" t="s">
        <v>11</v>
      </c>
      <c r="G656">
        <v>2</v>
      </c>
      <c r="H656" t="s">
        <v>12</v>
      </c>
    </row>
    <row r="657" spans="1:8">
      <c r="A657" t="s">
        <v>239</v>
      </c>
      <c r="B657" t="s">
        <v>735</v>
      </c>
      <c r="C657" t="s">
        <v>736</v>
      </c>
      <c r="D657" t="s">
        <v>712</v>
      </c>
      <c r="E657">
        <v>44</v>
      </c>
      <c r="F657" t="s">
        <v>11</v>
      </c>
      <c r="G657">
        <v>1</v>
      </c>
      <c r="H657" t="s">
        <v>12</v>
      </c>
    </row>
    <row r="658" spans="1:8">
      <c r="A658" t="s">
        <v>239</v>
      </c>
      <c r="B658" t="s">
        <v>244</v>
      </c>
      <c r="C658" t="s">
        <v>245</v>
      </c>
      <c r="D658" t="s">
        <v>10</v>
      </c>
      <c r="E658">
        <v>52</v>
      </c>
      <c r="F658" t="s">
        <v>11</v>
      </c>
      <c r="G658">
        <v>3</v>
      </c>
      <c r="H658" t="s">
        <v>12</v>
      </c>
    </row>
    <row r="659" spans="1:8">
      <c r="A659" t="s">
        <v>239</v>
      </c>
      <c r="B659" t="s">
        <v>737</v>
      </c>
      <c r="C659" t="s">
        <v>738</v>
      </c>
      <c r="D659" t="s">
        <v>712</v>
      </c>
      <c r="E659">
        <v>54</v>
      </c>
      <c r="F659" t="s">
        <v>11</v>
      </c>
      <c r="G659">
        <v>1</v>
      </c>
      <c r="H659" t="s">
        <v>12</v>
      </c>
    </row>
    <row r="660" spans="1:8">
      <c r="A660" t="s">
        <v>239</v>
      </c>
      <c r="B660" t="s">
        <v>739</v>
      </c>
      <c r="C660" t="s">
        <v>740</v>
      </c>
      <c r="D660" t="s">
        <v>712</v>
      </c>
      <c r="E660">
        <v>50</v>
      </c>
      <c r="F660" t="s">
        <v>11</v>
      </c>
      <c r="G660">
        <v>1</v>
      </c>
      <c r="H660" t="s">
        <v>12</v>
      </c>
    </row>
    <row r="661" spans="1:8">
      <c r="A661" t="s">
        <v>239</v>
      </c>
      <c r="B661" t="s">
        <v>566</v>
      </c>
      <c r="C661" t="s">
        <v>567</v>
      </c>
      <c r="D661" t="s">
        <v>712</v>
      </c>
      <c r="E661">
        <v>48</v>
      </c>
      <c r="F661" t="s">
        <v>11</v>
      </c>
      <c r="G661">
        <v>1</v>
      </c>
      <c r="H661" t="s">
        <v>12</v>
      </c>
    </row>
    <row r="662" spans="1:8">
      <c r="A662" t="s">
        <v>239</v>
      </c>
      <c r="B662" t="s">
        <v>566</v>
      </c>
      <c r="C662" t="s">
        <v>567</v>
      </c>
      <c r="D662" t="s">
        <v>340</v>
      </c>
      <c r="E662">
        <v>48</v>
      </c>
      <c r="F662" t="s">
        <v>11</v>
      </c>
      <c r="G662">
        <v>2</v>
      </c>
      <c r="H662" t="s">
        <v>12</v>
      </c>
    </row>
    <row r="663" spans="1:8">
      <c r="A663" t="s">
        <v>246</v>
      </c>
      <c r="B663" t="s">
        <v>247</v>
      </c>
      <c r="C663" t="s">
        <v>248</v>
      </c>
      <c r="D663" t="s">
        <v>340</v>
      </c>
      <c r="E663">
        <v>47</v>
      </c>
      <c r="F663" t="s">
        <v>11</v>
      </c>
      <c r="G663">
        <v>2</v>
      </c>
      <c r="H663" t="s">
        <v>12</v>
      </c>
    </row>
    <row r="664" spans="1:8">
      <c r="A664" t="s">
        <v>246</v>
      </c>
      <c r="B664" t="s">
        <v>247</v>
      </c>
      <c r="C664" t="s">
        <v>248</v>
      </c>
      <c r="D664" t="s">
        <v>10</v>
      </c>
      <c r="E664">
        <v>41</v>
      </c>
      <c r="F664" t="s">
        <v>11</v>
      </c>
      <c r="G664">
        <v>3</v>
      </c>
      <c r="H664" t="s">
        <v>12</v>
      </c>
    </row>
    <row r="665" spans="1:8">
      <c r="A665" t="s">
        <v>246</v>
      </c>
      <c r="B665" t="s">
        <v>249</v>
      </c>
      <c r="C665" t="s">
        <v>250</v>
      </c>
      <c r="D665" t="s">
        <v>712</v>
      </c>
      <c r="E665">
        <v>40</v>
      </c>
      <c r="F665" t="s">
        <v>11</v>
      </c>
      <c r="G665">
        <v>2</v>
      </c>
      <c r="H665" t="s">
        <v>12</v>
      </c>
    </row>
    <row r="666" spans="1:8">
      <c r="A666" t="s">
        <v>246</v>
      </c>
      <c r="B666" t="s">
        <v>249</v>
      </c>
      <c r="C666" t="s">
        <v>250</v>
      </c>
      <c r="D666" t="s">
        <v>10</v>
      </c>
      <c r="E666">
        <v>51</v>
      </c>
      <c r="F666" t="s">
        <v>11</v>
      </c>
      <c r="G666">
        <v>3</v>
      </c>
      <c r="H666" t="s">
        <v>12</v>
      </c>
    </row>
    <row r="667" spans="1:8">
      <c r="A667" t="s">
        <v>246</v>
      </c>
      <c r="B667" t="s">
        <v>249</v>
      </c>
      <c r="C667" t="s">
        <v>250</v>
      </c>
      <c r="D667" t="s">
        <v>838</v>
      </c>
      <c r="E667">
        <v>42</v>
      </c>
      <c r="F667" t="s">
        <v>11</v>
      </c>
      <c r="G667">
        <v>2</v>
      </c>
      <c r="H667" t="s">
        <v>12</v>
      </c>
    </row>
    <row r="668" spans="1:8">
      <c r="A668" t="s">
        <v>246</v>
      </c>
      <c r="B668" t="s">
        <v>251</v>
      </c>
      <c r="C668" t="s">
        <v>252</v>
      </c>
      <c r="D668" t="s">
        <v>712</v>
      </c>
      <c r="E668">
        <v>40</v>
      </c>
      <c r="F668" t="s">
        <v>11</v>
      </c>
      <c r="G668">
        <v>2</v>
      </c>
      <c r="H668" t="s">
        <v>12</v>
      </c>
    </row>
    <row r="669" spans="1:8">
      <c r="A669" t="s">
        <v>246</v>
      </c>
      <c r="B669" t="s">
        <v>251</v>
      </c>
      <c r="C669" t="s">
        <v>252</v>
      </c>
      <c r="D669" t="s">
        <v>340</v>
      </c>
      <c r="E669">
        <v>52</v>
      </c>
      <c r="F669" t="s">
        <v>11</v>
      </c>
      <c r="G669">
        <v>2</v>
      </c>
      <c r="H669" t="s">
        <v>12</v>
      </c>
    </row>
    <row r="670" spans="1:8">
      <c r="A670" t="s">
        <v>246</v>
      </c>
      <c r="B670" t="s">
        <v>251</v>
      </c>
      <c r="C670" t="s">
        <v>252</v>
      </c>
      <c r="D670" t="s">
        <v>10</v>
      </c>
      <c r="E670">
        <v>52</v>
      </c>
      <c r="F670" t="s">
        <v>11</v>
      </c>
      <c r="G670">
        <v>3</v>
      </c>
      <c r="H670" t="s">
        <v>12</v>
      </c>
    </row>
    <row r="671" spans="1:8">
      <c r="A671" t="s">
        <v>246</v>
      </c>
      <c r="B671" t="s">
        <v>253</v>
      </c>
      <c r="C671" t="s">
        <v>254</v>
      </c>
      <c r="D671" t="s">
        <v>712</v>
      </c>
      <c r="E671">
        <v>40</v>
      </c>
      <c r="F671" t="s">
        <v>11</v>
      </c>
      <c r="G671">
        <v>2</v>
      </c>
      <c r="H671" t="s">
        <v>12</v>
      </c>
    </row>
    <row r="672" spans="1:8">
      <c r="A672" t="s">
        <v>246</v>
      </c>
      <c r="B672" t="s">
        <v>253</v>
      </c>
      <c r="C672" t="s">
        <v>254</v>
      </c>
      <c r="D672" t="s">
        <v>340</v>
      </c>
      <c r="E672">
        <v>47</v>
      </c>
      <c r="F672" t="s">
        <v>11</v>
      </c>
      <c r="G672">
        <v>2</v>
      </c>
      <c r="H672" t="s">
        <v>12</v>
      </c>
    </row>
    <row r="673" spans="1:8">
      <c r="A673" t="s">
        <v>246</v>
      </c>
      <c r="B673" t="s">
        <v>253</v>
      </c>
      <c r="C673" t="s">
        <v>254</v>
      </c>
      <c r="D673" t="s">
        <v>10</v>
      </c>
      <c r="E673">
        <v>53</v>
      </c>
      <c r="F673" t="s">
        <v>11</v>
      </c>
      <c r="G673">
        <v>3</v>
      </c>
      <c r="H673" t="s">
        <v>12</v>
      </c>
    </row>
    <row r="674" spans="1:8">
      <c r="A674" t="s">
        <v>246</v>
      </c>
      <c r="B674" t="s">
        <v>255</v>
      </c>
      <c r="C674" t="s">
        <v>256</v>
      </c>
      <c r="D674" t="s">
        <v>712</v>
      </c>
      <c r="E674">
        <v>48</v>
      </c>
      <c r="F674" t="s">
        <v>11</v>
      </c>
      <c r="G674">
        <v>2</v>
      </c>
      <c r="H674" t="s">
        <v>12</v>
      </c>
    </row>
    <row r="675" spans="1:8">
      <c r="A675" t="s">
        <v>246</v>
      </c>
      <c r="B675" t="s">
        <v>255</v>
      </c>
      <c r="C675" t="s">
        <v>256</v>
      </c>
      <c r="D675" t="s">
        <v>340</v>
      </c>
      <c r="E675">
        <v>50</v>
      </c>
      <c r="F675" t="s">
        <v>11</v>
      </c>
      <c r="G675">
        <v>2</v>
      </c>
      <c r="H675" t="s">
        <v>12</v>
      </c>
    </row>
    <row r="676" spans="1:8">
      <c r="A676" t="s">
        <v>246</v>
      </c>
      <c r="B676" t="s">
        <v>255</v>
      </c>
      <c r="C676" t="s">
        <v>256</v>
      </c>
      <c r="D676" t="s">
        <v>10</v>
      </c>
      <c r="E676">
        <v>54</v>
      </c>
      <c r="F676" t="s">
        <v>11</v>
      </c>
      <c r="G676">
        <v>3</v>
      </c>
      <c r="H676" t="s">
        <v>12</v>
      </c>
    </row>
    <row r="677" spans="1:8">
      <c r="A677" t="s">
        <v>246</v>
      </c>
      <c r="B677" t="s">
        <v>255</v>
      </c>
      <c r="C677" t="s">
        <v>256</v>
      </c>
      <c r="D677" t="s">
        <v>838</v>
      </c>
      <c r="E677">
        <v>52</v>
      </c>
      <c r="F677" t="s">
        <v>11</v>
      </c>
      <c r="G677">
        <v>2</v>
      </c>
      <c r="H677" t="s">
        <v>12</v>
      </c>
    </row>
    <row r="678" spans="1:8">
      <c r="A678" t="s">
        <v>246</v>
      </c>
      <c r="B678" t="s">
        <v>257</v>
      </c>
      <c r="C678" t="s">
        <v>258</v>
      </c>
      <c r="D678" t="s">
        <v>10</v>
      </c>
      <c r="E678">
        <v>53</v>
      </c>
      <c r="F678" t="s">
        <v>11</v>
      </c>
      <c r="G678">
        <v>3</v>
      </c>
      <c r="H678" t="s">
        <v>12</v>
      </c>
    </row>
    <row r="679" spans="1:8">
      <c r="A679" t="s">
        <v>246</v>
      </c>
      <c r="B679" t="s">
        <v>411</v>
      </c>
      <c r="C679" t="s">
        <v>412</v>
      </c>
      <c r="D679" t="s">
        <v>340</v>
      </c>
      <c r="E679">
        <v>49</v>
      </c>
      <c r="F679" t="s">
        <v>11</v>
      </c>
      <c r="G679">
        <v>2</v>
      </c>
      <c r="H679" t="s">
        <v>12</v>
      </c>
    </row>
    <row r="680" spans="1:8">
      <c r="A680" t="s">
        <v>246</v>
      </c>
      <c r="B680" t="s">
        <v>411</v>
      </c>
      <c r="C680" t="s">
        <v>412</v>
      </c>
      <c r="D680" t="s">
        <v>838</v>
      </c>
      <c r="E680">
        <v>45</v>
      </c>
      <c r="F680" t="s">
        <v>11</v>
      </c>
      <c r="G680">
        <v>2</v>
      </c>
      <c r="H680" t="s">
        <v>12</v>
      </c>
    </row>
    <row r="681" spans="1:8">
      <c r="A681" t="s">
        <v>246</v>
      </c>
      <c r="B681" t="s">
        <v>259</v>
      </c>
      <c r="C681" t="s">
        <v>260</v>
      </c>
      <c r="D681" t="s">
        <v>712</v>
      </c>
      <c r="E681">
        <v>40</v>
      </c>
      <c r="F681" t="s">
        <v>11</v>
      </c>
      <c r="G681">
        <v>2</v>
      </c>
      <c r="H681" t="s">
        <v>12</v>
      </c>
    </row>
    <row r="682" spans="1:8">
      <c r="A682" t="s">
        <v>246</v>
      </c>
      <c r="B682" t="s">
        <v>259</v>
      </c>
      <c r="C682" t="s">
        <v>260</v>
      </c>
      <c r="D682" t="s">
        <v>340</v>
      </c>
      <c r="E682">
        <v>47</v>
      </c>
      <c r="F682" t="s">
        <v>11</v>
      </c>
      <c r="G682">
        <v>2</v>
      </c>
      <c r="H682" t="s">
        <v>12</v>
      </c>
    </row>
    <row r="683" spans="1:8">
      <c r="A683" t="s">
        <v>246</v>
      </c>
      <c r="B683" t="s">
        <v>259</v>
      </c>
      <c r="C683" t="s">
        <v>260</v>
      </c>
      <c r="D683" t="s">
        <v>10</v>
      </c>
      <c r="E683">
        <v>49</v>
      </c>
      <c r="F683" t="s">
        <v>11</v>
      </c>
      <c r="G683">
        <v>3</v>
      </c>
      <c r="H683" t="s">
        <v>12</v>
      </c>
    </row>
    <row r="684" spans="1:8">
      <c r="A684" t="s">
        <v>246</v>
      </c>
      <c r="B684" t="s">
        <v>259</v>
      </c>
      <c r="C684" t="s">
        <v>260</v>
      </c>
      <c r="D684" t="s">
        <v>838</v>
      </c>
      <c r="E684">
        <v>56</v>
      </c>
      <c r="F684" t="s">
        <v>11</v>
      </c>
      <c r="G684">
        <v>2</v>
      </c>
      <c r="H684" t="s">
        <v>12</v>
      </c>
    </row>
    <row r="685" spans="1:8">
      <c r="A685" t="s">
        <v>246</v>
      </c>
      <c r="B685" t="s">
        <v>590</v>
      </c>
      <c r="C685" t="s">
        <v>591</v>
      </c>
      <c r="D685" t="s">
        <v>828</v>
      </c>
      <c r="E685">
        <v>40</v>
      </c>
      <c r="F685" t="s">
        <v>11</v>
      </c>
      <c r="G685">
        <v>1</v>
      </c>
      <c r="H685" t="s">
        <v>12</v>
      </c>
    </row>
    <row r="686" spans="1:8">
      <c r="A686" t="s">
        <v>246</v>
      </c>
      <c r="B686" t="s">
        <v>590</v>
      </c>
      <c r="C686" t="s">
        <v>591</v>
      </c>
      <c r="D686" t="s">
        <v>838</v>
      </c>
      <c r="E686">
        <v>40</v>
      </c>
      <c r="F686" t="s">
        <v>11</v>
      </c>
      <c r="G686">
        <v>2</v>
      </c>
      <c r="H686" t="s">
        <v>12</v>
      </c>
    </row>
    <row r="687" spans="1:8">
      <c r="A687" t="s">
        <v>246</v>
      </c>
      <c r="B687" t="s">
        <v>413</v>
      </c>
      <c r="C687" t="s">
        <v>414</v>
      </c>
      <c r="D687" t="s">
        <v>712</v>
      </c>
      <c r="E687">
        <v>44</v>
      </c>
      <c r="F687" t="s">
        <v>11</v>
      </c>
      <c r="G687">
        <v>2</v>
      </c>
      <c r="H687" t="s">
        <v>12</v>
      </c>
    </row>
    <row r="688" spans="1:8">
      <c r="A688" t="s">
        <v>246</v>
      </c>
      <c r="B688" t="s">
        <v>413</v>
      </c>
      <c r="C688" t="s">
        <v>414</v>
      </c>
      <c r="D688" t="s">
        <v>340</v>
      </c>
      <c r="E688">
        <v>54</v>
      </c>
      <c r="F688" t="s">
        <v>11</v>
      </c>
      <c r="G688">
        <v>2</v>
      </c>
      <c r="H688" t="s">
        <v>12</v>
      </c>
    </row>
    <row r="689" spans="1:8">
      <c r="A689" t="s">
        <v>246</v>
      </c>
      <c r="B689" t="s">
        <v>261</v>
      </c>
      <c r="C689" t="s">
        <v>262</v>
      </c>
      <c r="D689" t="s">
        <v>10</v>
      </c>
      <c r="E689">
        <v>45</v>
      </c>
      <c r="F689" t="s">
        <v>11</v>
      </c>
      <c r="G689">
        <v>3</v>
      </c>
      <c r="H689" t="s">
        <v>12</v>
      </c>
    </row>
    <row r="690" spans="1:8">
      <c r="A690" t="s">
        <v>246</v>
      </c>
      <c r="B690" t="s">
        <v>261</v>
      </c>
      <c r="C690" t="s">
        <v>262</v>
      </c>
      <c r="D690" t="s">
        <v>838</v>
      </c>
      <c r="E690">
        <v>45</v>
      </c>
      <c r="F690" t="s">
        <v>11</v>
      </c>
      <c r="G690">
        <v>2</v>
      </c>
      <c r="H690" t="s">
        <v>12</v>
      </c>
    </row>
    <row r="691" spans="1:8">
      <c r="A691" t="s">
        <v>246</v>
      </c>
      <c r="B691" t="s">
        <v>263</v>
      </c>
      <c r="C691" t="s">
        <v>264</v>
      </c>
      <c r="D691" t="s">
        <v>340</v>
      </c>
      <c r="E691">
        <v>52</v>
      </c>
      <c r="F691" t="s">
        <v>11</v>
      </c>
      <c r="G691">
        <v>2</v>
      </c>
      <c r="H691" t="s">
        <v>12</v>
      </c>
    </row>
    <row r="692" spans="1:8">
      <c r="A692" t="s">
        <v>246</v>
      </c>
      <c r="B692" t="s">
        <v>263</v>
      </c>
      <c r="C692" t="s">
        <v>264</v>
      </c>
      <c r="D692" t="s">
        <v>828</v>
      </c>
      <c r="E692">
        <v>56</v>
      </c>
      <c r="F692" t="s">
        <v>11</v>
      </c>
      <c r="G692">
        <v>1</v>
      </c>
      <c r="H692" t="s">
        <v>12</v>
      </c>
    </row>
    <row r="693" spans="1:8">
      <c r="A693" t="s">
        <v>246</v>
      </c>
      <c r="B693" t="s">
        <v>263</v>
      </c>
      <c r="C693" t="s">
        <v>264</v>
      </c>
      <c r="D693" t="s">
        <v>10</v>
      </c>
      <c r="E693">
        <v>54</v>
      </c>
      <c r="F693" t="s">
        <v>11</v>
      </c>
      <c r="G693">
        <v>3</v>
      </c>
      <c r="H693" t="s">
        <v>12</v>
      </c>
    </row>
    <row r="694" spans="1:8">
      <c r="A694" t="s">
        <v>246</v>
      </c>
      <c r="B694" t="s">
        <v>263</v>
      </c>
      <c r="C694" t="s">
        <v>264</v>
      </c>
      <c r="D694" t="s">
        <v>838</v>
      </c>
      <c r="E694">
        <v>43</v>
      </c>
      <c r="F694" t="s">
        <v>11</v>
      </c>
      <c r="G694">
        <v>2</v>
      </c>
      <c r="H694" t="s">
        <v>12</v>
      </c>
    </row>
    <row r="695" spans="1:8">
      <c r="A695" t="s">
        <v>246</v>
      </c>
      <c r="B695" t="s">
        <v>265</v>
      </c>
      <c r="C695" t="s">
        <v>266</v>
      </c>
      <c r="D695" t="s">
        <v>828</v>
      </c>
      <c r="E695">
        <v>40</v>
      </c>
      <c r="F695" t="s">
        <v>11</v>
      </c>
      <c r="G695">
        <v>1</v>
      </c>
      <c r="H695" t="s">
        <v>12</v>
      </c>
    </row>
    <row r="696" spans="1:8">
      <c r="A696" t="s">
        <v>246</v>
      </c>
      <c r="B696" t="s">
        <v>265</v>
      </c>
      <c r="C696" t="s">
        <v>266</v>
      </c>
      <c r="D696" t="s">
        <v>10</v>
      </c>
      <c r="E696">
        <v>50</v>
      </c>
      <c r="F696" t="s">
        <v>11</v>
      </c>
      <c r="G696">
        <v>3</v>
      </c>
      <c r="H696" t="s">
        <v>12</v>
      </c>
    </row>
    <row r="697" spans="1:8">
      <c r="A697" t="s">
        <v>246</v>
      </c>
      <c r="B697" t="s">
        <v>804</v>
      </c>
      <c r="C697" t="s">
        <v>805</v>
      </c>
      <c r="D697" t="s">
        <v>838</v>
      </c>
      <c r="E697">
        <v>47</v>
      </c>
      <c r="F697" t="s">
        <v>11</v>
      </c>
      <c r="G697">
        <v>2</v>
      </c>
      <c r="H697" t="s">
        <v>12</v>
      </c>
    </row>
    <row r="698" spans="1:8">
      <c r="A698" t="s">
        <v>246</v>
      </c>
      <c r="B698" t="s">
        <v>829</v>
      </c>
      <c r="C698" t="s">
        <v>830</v>
      </c>
      <c r="D698" t="s">
        <v>828</v>
      </c>
      <c r="E698">
        <v>40</v>
      </c>
      <c r="F698" t="s">
        <v>11</v>
      </c>
      <c r="G698">
        <v>1</v>
      </c>
      <c r="H698" t="s">
        <v>12</v>
      </c>
    </row>
    <row r="699" spans="1:8">
      <c r="A699" t="s">
        <v>246</v>
      </c>
      <c r="B699" t="s">
        <v>829</v>
      </c>
      <c r="C699" t="s">
        <v>830</v>
      </c>
      <c r="D699" t="s">
        <v>838</v>
      </c>
      <c r="E699">
        <v>40</v>
      </c>
      <c r="F699" t="s">
        <v>11</v>
      </c>
      <c r="G699">
        <v>2</v>
      </c>
      <c r="H699" t="s">
        <v>12</v>
      </c>
    </row>
    <row r="700" spans="1:8">
      <c r="A700" t="s">
        <v>246</v>
      </c>
      <c r="B700" t="s">
        <v>267</v>
      </c>
      <c r="C700" t="s">
        <v>268</v>
      </c>
      <c r="D700" t="s">
        <v>712</v>
      </c>
      <c r="E700">
        <v>40</v>
      </c>
      <c r="F700" t="s">
        <v>11</v>
      </c>
      <c r="G700">
        <v>2</v>
      </c>
      <c r="H700" t="s">
        <v>12</v>
      </c>
    </row>
    <row r="701" spans="1:8">
      <c r="A701" t="s">
        <v>246</v>
      </c>
      <c r="B701" t="s">
        <v>267</v>
      </c>
      <c r="C701" t="s">
        <v>268</v>
      </c>
      <c r="D701" t="s">
        <v>340</v>
      </c>
      <c r="E701">
        <v>47</v>
      </c>
      <c r="F701" t="s">
        <v>11</v>
      </c>
      <c r="G701">
        <v>2</v>
      </c>
      <c r="H701" t="s">
        <v>12</v>
      </c>
    </row>
    <row r="702" spans="1:8">
      <c r="A702" t="s">
        <v>246</v>
      </c>
      <c r="B702" t="s">
        <v>267</v>
      </c>
      <c r="C702" t="s">
        <v>268</v>
      </c>
      <c r="D702" t="s">
        <v>10</v>
      </c>
      <c r="E702">
        <v>52</v>
      </c>
      <c r="F702" t="s">
        <v>11</v>
      </c>
      <c r="G702">
        <v>3</v>
      </c>
      <c r="H702" t="s">
        <v>12</v>
      </c>
    </row>
    <row r="703" spans="1:8">
      <c r="A703" t="s">
        <v>246</v>
      </c>
      <c r="B703" t="s">
        <v>267</v>
      </c>
      <c r="C703" t="s">
        <v>268</v>
      </c>
      <c r="D703" t="s">
        <v>838</v>
      </c>
      <c r="E703">
        <v>47</v>
      </c>
      <c r="F703" t="s">
        <v>11</v>
      </c>
      <c r="G703">
        <v>2</v>
      </c>
      <c r="H703" t="s">
        <v>12</v>
      </c>
    </row>
    <row r="704" spans="1:8">
      <c r="A704" t="s">
        <v>246</v>
      </c>
      <c r="B704" t="s">
        <v>269</v>
      </c>
      <c r="C704" t="s">
        <v>270</v>
      </c>
      <c r="D704" t="s">
        <v>712</v>
      </c>
      <c r="E704">
        <v>50</v>
      </c>
      <c r="F704" t="s">
        <v>11</v>
      </c>
      <c r="G704">
        <v>2</v>
      </c>
      <c r="H704" t="s">
        <v>12</v>
      </c>
    </row>
    <row r="705" spans="1:8">
      <c r="A705" t="s">
        <v>246</v>
      </c>
      <c r="B705" t="s">
        <v>269</v>
      </c>
      <c r="C705" t="s">
        <v>270</v>
      </c>
      <c r="D705" t="s">
        <v>828</v>
      </c>
      <c r="E705">
        <v>53</v>
      </c>
      <c r="F705" t="s">
        <v>11</v>
      </c>
      <c r="G705">
        <v>1</v>
      </c>
      <c r="H705" t="s">
        <v>12</v>
      </c>
    </row>
    <row r="706" spans="1:8">
      <c r="A706" t="s">
        <v>246</v>
      </c>
      <c r="B706" t="s">
        <v>269</v>
      </c>
      <c r="C706" t="s">
        <v>270</v>
      </c>
      <c r="D706" t="s">
        <v>10</v>
      </c>
      <c r="E706">
        <v>47</v>
      </c>
      <c r="F706" t="s">
        <v>11</v>
      </c>
      <c r="G706">
        <v>3</v>
      </c>
      <c r="H706" t="s">
        <v>12</v>
      </c>
    </row>
    <row r="707" spans="1:8">
      <c r="A707" t="s">
        <v>246</v>
      </c>
      <c r="B707" t="s">
        <v>596</v>
      </c>
      <c r="C707" t="s">
        <v>597</v>
      </c>
      <c r="D707" t="s">
        <v>828</v>
      </c>
      <c r="E707">
        <v>42</v>
      </c>
      <c r="F707" t="s">
        <v>11</v>
      </c>
      <c r="G707">
        <v>1</v>
      </c>
      <c r="H707" t="s">
        <v>12</v>
      </c>
    </row>
    <row r="708" spans="1:8">
      <c r="A708" t="s">
        <v>246</v>
      </c>
      <c r="B708" t="s">
        <v>271</v>
      </c>
      <c r="C708" t="s">
        <v>272</v>
      </c>
      <c r="D708" t="s">
        <v>712</v>
      </c>
      <c r="E708">
        <v>44</v>
      </c>
      <c r="F708" t="s">
        <v>11</v>
      </c>
      <c r="G708">
        <v>2</v>
      </c>
      <c r="H708" t="s">
        <v>12</v>
      </c>
    </row>
    <row r="709" spans="1:8">
      <c r="A709" t="s">
        <v>246</v>
      </c>
      <c r="B709" t="s">
        <v>271</v>
      </c>
      <c r="C709" t="s">
        <v>272</v>
      </c>
      <c r="D709" t="s">
        <v>10</v>
      </c>
      <c r="E709">
        <v>53</v>
      </c>
      <c r="F709" t="s">
        <v>11</v>
      </c>
      <c r="G709">
        <v>3</v>
      </c>
      <c r="H709" t="s">
        <v>12</v>
      </c>
    </row>
    <row r="710" spans="1:8">
      <c r="A710" t="s">
        <v>246</v>
      </c>
      <c r="B710" t="s">
        <v>598</v>
      </c>
      <c r="C710" t="s">
        <v>599</v>
      </c>
      <c r="D710" t="s">
        <v>712</v>
      </c>
      <c r="E710">
        <v>50</v>
      </c>
      <c r="F710" t="s">
        <v>11</v>
      </c>
      <c r="G710">
        <v>2</v>
      </c>
      <c r="H710" t="s">
        <v>12</v>
      </c>
    </row>
    <row r="711" spans="1:8">
      <c r="A711" t="s">
        <v>246</v>
      </c>
      <c r="B711" t="s">
        <v>273</v>
      </c>
      <c r="C711" t="s">
        <v>274</v>
      </c>
      <c r="D711" t="s">
        <v>10</v>
      </c>
      <c r="E711">
        <v>48</v>
      </c>
      <c r="F711" t="s">
        <v>11</v>
      </c>
      <c r="G711">
        <v>3</v>
      </c>
      <c r="H711" t="s">
        <v>12</v>
      </c>
    </row>
    <row r="712" spans="1:8">
      <c r="A712" t="s">
        <v>246</v>
      </c>
      <c r="B712" t="s">
        <v>275</v>
      </c>
      <c r="C712" t="s">
        <v>276</v>
      </c>
      <c r="D712" t="s">
        <v>10</v>
      </c>
      <c r="E712">
        <v>38</v>
      </c>
      <c r="F712" t="s">
        <v>11</v>
      </c>
      <c r="G712">
        <v>3</v>
      </c>
      <c r="H712" t="s">
        <v>12</v>
      </c>
    </row>
    <row r="713" spans="1:8">
      <c r="A713" t="s">
        <v>246</v>
      </c>
      <c r="B713" t="s">
        <v>277</v>
      </c>
      <c r="C713" t="s">
        <v>278</v>
      </c>
      <c r="D713" t="s">
        <v>10</v>
      </c>
      <c r="E713">
        <v>46</v>
      </c>
      <c r="F713" t="s">
        <v>11</v>
      </c>
      <c r="G713">
        <v>3</v>
      </c>
      <c r="H713" t="s">
        <v>12</v>
      </c>
    </row>
    <row r="714" spans="1:8">
      <c r="A714" t="s">
        <v>246</v>
      </c>
      <c r="B714" t="s">
        <v>415</v>
      </c>
      <c r="C714" t="s">
        <v>416</v>
      </c>
      <c r="D714" t="s">
        <v>340</v>
      </c>
      <c r="E714">
        <v>50</v>
      </c>
      <c r="F714" t="s">
        <v>11</v>
      </c>
      <c r="G714">
        <v>2</v>
      </c>
      <c r="H714" t="s">
        <v>12</v>
      </c>
    </row>
    <row r="715" spans="1:8">
      <c r="A715" t="s">
        <v>25</v>
      </c>
      <c r="B715" t="s">
        <v>669</v>
      </c>
      <c r="C715" t="s">
        <v>670</v>
      </c>
      <c r="D715" t="s">
        <v>636</v>
      </c>
      <c r="E715">
        <v>45</v>
      </c>
      <c r="F715" t="s">
        <v>11</v>
      </c>
      <c r="G715">
        <v>4</v>
      </c>
      <c r="H715" t="s">
        <v>12</v>
      </c>
    </row>
    <row r="716" spans="1:8">
      <c r="A716" t="s">
        <v>25</v>
      </c>
      <c r="B716" t="s">
        <v>710</v>
      </c>
      <c r="C716" t="s">
        <v>711</v>
      </c>
      <c r="D716" t="s">
        <v>712</v>
      </c>
      <c r="E716">
        <v>31</v>
      </c>
      <c r="F716" t="s">
        <v>11</v>
      </c>
      <c r="G716">
        <v>2</v>
      </c>
      <c r="H716" t="s">
        <v>12</v>
      </c>
    </row>
    <row r="717" spans="1:8">
      <c r="A717" t="s">
        <v>25</v>
      </c>
      <c r="B717" t="s">
        <v>26</v>
      </c>
      <c r="C717" t="s">
        <v>27</v>
      </c>
      <c r="D717" t="s">
        <v>10</v>
      </c>
      <c r="E717">
        <v>40</v>
      </c>
      <c r="F717" t="s">
        <v>11</v>
      </c>
      <c r="G717">
        <v>3</v>
      </c>
      <c r="H717" t="s">
        <v>12</v>
      </c>
    </row>
    <row r="718" spans="1:8">
      <c r="A718" t="s">
        <v>25</v>
      </c>
      <c r="B718" t="s">
        <v>28</v>
      </c>
      <c r="C718" t="s">
        <v>29</v>
      </c>
      <c r="D718" t="s">
        <v>10</v>
      </c>
      <c r="E718">
        <v>41</v>
      </c>
      <c r="F718" t="s">
        <v>11</v>
      </c>
      <c r="G718">
        <v>3</v>
      </c>
      <c r="H718" t="s">
        <v>12</v>
      </c>
    </row>
    <row r="719" spans="1:8">
      <c r="A719" t="s">
        <v>25</v>
      </c>
      <c r="B719" t="s">
        <v>338</v>
      </c>
      <c r="C719" t="s">
        <v>339</v>
      </c>
      <c r="D719" t="s">
        <v>340</v>
      </c>
      <c r="E719">
        <v>40</v>
      </c>
      <c r="F719" t="s">
        <v>11</v>
      </c>
      <c r="G719">
        <v>2</v>
      </c>
      <c r="H719" t="s">
        <v>12</v>
      </c>
    </row>
    <row r="720" spans="1:8">
      <c r="A720" t="s">
        <v>25</v>
      </c>
      <c r="B720" t="s">
        <v>338</v>
      </c>
      <c r="C720" t="s">
        <v>339</v>
      </c>
      <c r="D720" t="s">
        <v>838</v>
      </c>
      <c r="E720">
        <v>46</v>
      </c>
      <c r="F720" t="s">
        <v>11</v>
      </c>
      <c r="G720">
        <v>2</v>
      </c>
      <c r="H720" t="s">
        <v>12</v>
      </c>
    </row>
    <row r="721" spans="1:8">
      <c r="A721" t="s">
        <v>25</v>
      </c>
      <c r="B721" t="s">
        <v>30</v>
      </c>
      <c r="C721" t="s">
        <v>31</v>
      </c>
      <c r="D721" t="s">
        <v>712</v>
      </c>
      <c r="E721">
        <v>51</v>
      </c>
      <c r="F721" t="s">
        <v>11</v>
      </c>
      <c r="G721">
        <v>2</v>
      </c>
      <c r="H721" t="s">
        <v>12</v>
      </c>
    </row>
    <row r="722" spans="1:8">
      <c r="A722" t="s">
        <v>25</v>
      </c>
      <c r="B722" t="s">
        <v>30</v>
      </c>
      <c r="C722" t="s">
        <v>31</v>
      </c>
      <c r="D722" t="s">
        <v>340</v>
      </c>
      <c r="E722">
        <v>40</v>
      </c>
      <c r="F722" t="s">
        <v>11</v>
      </c>
      <c r="G722">
        <v>2</v>
      </c>
      <c r="H722" t="s">
        <v>12</v>
      </c>
    </row>
    <row r="723" spans="1:8">
      <c r="A723" t="s">
        <v>25</v>
      </c>
      <c r="B723" t="s">
        <v>30</v>
      </c>
      <c r="C723" t="s">
        <v>31</v>
      </c>
      <c r="D723" t="s">
        <v>10</v>
      </c>
      <c r="E723">
        <v>50</v>
      </c>
      <c r="F723" t="s">
        <v>11</v>
      </c>
      <c r="G723">
        <v>3</v>
      </c>
      <c r="H723" t="s">
        <v>12</v>
      </c>
    </row>
    <row r="724" spans="1:8">
      <c r="A724" t="s">
        <v>25</v>
      </c>
      <c r="B724" t="s">
        <v>341</v>
      </c>
      <c r="C724" t="s">
        <v>342</v>
      </c>
      <c r="D724" t="s">
        <v>340</v>
      </c>
      <c r="E724">
        <v>49</v>
      </c>
      <c r="F724" t="s">
        <v>11</v>
      </c>
      <c r="G724">
        <v>2</v>
      </c>
      <c r="H724" t="s">
        <v>12</v>
      </c>
    </row>
    <row r="725" spans="1:8">
      <c r="A725" t="s">
        <v>25</v>
      </c>
      <c r="B725" t="s">
        <v>343</v>
      </c>
      <c r="C725" t="s">
        <v>344</v>
      </c>
      <c r="D725" t="s">
        <v>340</v>
      </c>
      <c r="E725">
        <v>51</v>
      </c>
      <c r="F725" t="s">
        <v>11</v>
      </c>
      <c r="G725">
        <v>2</v>
      </c>
      <c r="H725" t="s">
        <v>12</v>
      </c>
    </row>
    <row r="726" spans="1:8">
      <c r="A726" t="s">
        <v>25</v>
      </c>
      <c r="B726" t="s">
        <v>713</v>
      </c>
      <c r="C726" t="s">
        <v>714</v>
      </c>
      <c r="D726" t="s">
        <v>712</v>
      </c>
      <c r="E726">
        <v>40</v>
      </c>
      <c r="F726" t="s">
        <v>11</v>
      </c>
      <c r="G726">
        <v>2</v>
      </c>
      <c r="H726" t="s">
        <v>12</v>
      </c>
    </row>
    <row r="727" spans="1:8">
      <c r="A727" t="s">
        <v>25</v>
      </c>
      <c r="B727" t="s">
        <v>713</v>
      </c>
      <c r="C727" t="s">
        <v>714</v>
      </c>
      <c r="D727" t="s">
        <v>828</v>
      </c>
      <c r="E727">
        <v>47</v>
      </c>
      <c r="F727" t="s">
        <v>11</v>
      </c>
      <c r="G727">
        <v>1</v>
      </c>
      <c r="H727" t="s">
        <v>12</v>
      </c>
    </row>
    <row r="728" spans="1:8">
      <c r="A728" t="s">
        <v>25</v>
      </c>
      <c r="B728" t="s">
        <v>713</v>
      </c>
      <c r="C728" t="s">
        <v>714</v>
      </c>
      <c r="D728" t="s">
        <v>838</v>
      </c>
      <c r="E728">
        <v>40</v>
      </c>
      <c r="F728" t="s">
        <v>11</v>
      </c>
      <c r="G728">
        <v>2</v>
      </c>
      <c r="H728" t="s">
        <v>12</v>
      </c>
    </row>
    <row r="729" spans="1:8">
      <c r="A729" t="s">
        <v>25</v>
      </c>
      <c r="B729" t="s">
        <v>345</v>
      </c>
      <c r="C729" t="s">
        <v>346</v>
      </c>
      <c r="D729" t="s">
        <v>340</v>
      </c>
      <c r="E729">
        <v>46</v>
      </c>
      <c r="F729" t="s">
        <v>11</v>
      </c>
      <c r="G729">
        <v>2</v>
      </c>
      <c r="H729" t="s">
        <v>12</v>
      </c>
    </row>
    <row r="730" spans="1:8">
      <c r="A730" t="s">
        <v>25</v>
      </c>
      <c r="B730" t="s">
        <v>347</v>
      </c>
      <c r="C730" t="s">
        <v>348</v>
      </c>
      <c r="D730" t="s">
        <v>712</v>
      </c>
      <c r="E730">
        <v>49</v>
      </c>
      <c r="F730" t="s">
        <v>11</v>
      </c>
      <c r="G730">
        <v>2</v>
      </c>
      <c r="H730" t="s">
        <v>12</v>
      </c>
    </row>
    <row r="731" spans="1:8">
      <c r="A731" t="s">
        <v>25</v>
      </c>
      <c r="B731" t="s">
        <v>347</v>
      </c>
      <c r="C731" t="s">
        <v>348</v>
      </c>
      <c r="D731" t="s">
        <v>340</v>
      </c>
      <c r="E731">
        <v>54</v>
      </c>
      <c r="F731" t="s">
        <v>11</v>
      </c>
      <c r="G731">
        <v>2</v>
      </c>
      <c r="H731" t="s">
        <v>12</v>
      </c>
    </row>
    <row r="732" spans="1:8">
      <c r="A732" t="s">
        <v>25</v>
      </c>
      <c r="B732" t="s">
        <v>347</v>
      </c>
      <c r="C732" t="s">
        <v>348</v>
      </c>
      <c r="D732" t="s">
        <v>636</v>
      </c>
      <c r="E732">
        <v>44</v>
      </c>
      <c r="F732" t="s">
        <v>11</v>
      </c>
      <c r="G732">
        <v>4</v>
      </c>
      <c r="H732" t="s">
        <v>12</v>
      </c>
    </row>
    <row r="733" spans="1:8">
      <c r="A733" t="s">
        <v>25</v>
      </c>
      <c r="B733" t="s">
        <v>347</v>
      </c>
      <c r="C733" t="s">
        <v>348</v>
      </c>
      <c r="D733" t="s">
        <v>838</v>
      </c>
      <c r="E733">
        <v>44</v>
      </c>
      <c r="F733" t="s">
        <v>11</v>
      </c>
      <c r="G733">
        <v>2</v>
      </c>
      <c r="H733" t="s">
        <v>12</v>
      </c>
    </row>
    <row r="734" spans="1:8">
      <c r="A734" t="s">
        <v>25</v>
      </c>
      <c r="B734" t="s">
        <v>671</v>
      </c>
      <c r="C734" t="s">
        <v>672</v>
      </c>
      <c r="D734" t="s">
        <v>712</v>
      </c>
      <c r="E734">
        <v>45</v>
      </c>
      <c r="F734" t="s">
        <v>11</v>
      </c>
      <c r="G734">
        <v>2</v>
      </c>
      <c r="H734" t="s">
        <v>12</v>
      </c>
    </row>
    <row r="735" spans="1:8">
      <c r="A735" t="s">
        <v>25</v>
      </c>
      <c r="B735" t="s">
        <v>671</v>
      </c>
      <c r="C735" t="s">
        <v>672</v>
      </c>
      <c r="D735" t="s">
        <v>636</v>
      </c>
      <c r="E735">
        <v>42</v>
      </c>
      <c r="F735" t="s">
        <v>11</v>
      </c>
      <c r="G735">
        <v>4</v>
      </c>
      <c r="H735" t="s">
        <v>12</v>
      </c>
    </row>
    <row r="736" spans="1:8">
      <c r="A736" t="s">
        <v>25</v>
      </c>
      <c r="B736" t="s">
        <v>671</v>
      </c>
      <c r="C736" t="s">
        <v>672</v>
      </c>
      <c r="D736" t="s">
        <v>838</v>
      </c>
      <c r="E736">
        <v>40</v>
      </c>
      <c r="F736" t="s">
        <v>11</v>
      </c>
      <c r="G736">
        <v>2</v>
      </c>
      <c r="H736" t="s">
        <v>12</v>
      </c>
    </row>
    <row r="737" spans="1:8">
      <c r="A737" t="s">
        <v>25</v>
      </c>
      <c r="B737" t="s">
        <v>673</v>
      </c>
      <c r="C737" t="s">
        <v>674</v>
      </c>
      <c r="D737" t="s">
        <v>636</v>
      </c>
      <c r="E737">
        <v>37</v>
      </c>
      <c r="F737" t="s">
        <v>11</v>
      </c>
      <c r="G737">
        <v>4</v>
      </c>
      <c r="H737" t="s">
        <v>12</v>
      </c>
    </row>
    <row r="738" spans="1:8">
      <c r="A738" t="s">
        <v>25</v>
      </c>
      <c r="B738" t="s">
        <v>32</v>
      </c>
      <c r="C738" t="s">
        <v>33</v>
      </c>
      <c r="D738" t="s">
        <v>340</v>
      </c>
      <c r="E738">
        <v>40</v>
      </c>
      <c r="F738" t="s">
        <v>11</v>
      </c>
      <c r="G738">
        <v>2</v>
      </c>
      <c r="H738" t="s">
        <v>12</v>
      </c>
    </row>
    <row r="739" spans="1:8">
      <c r="A739" t="s">
        <v>25</v>
      </c>
      <c r="B739" t="s">
        <v>32</v>
      </c>
      <c r="C739" t="s">
        <v>33</v>
      </c>
      <c r="D739" t="s">
        <v>10</v>
      </c>
      <c r="E739">
        <v>47</v>
      </c>
      <c r="F739" t="s">
        <v>11</v>
      </c>
      <c r="G739">
        <v>3</v>
      </c>
      <c r="H739" t="s">
        <v>12</v>
      </c>
    </row>
    <row r="740" spans="1:8">
      <c r="A740" t="s">
        <v>25</v>
      </c>
      <c r="B740" t="s">
        <v>34</v>
      </c>
      <c r="C740" t="s">
        <v>35</v>
      </c>
      <c r="D740" t="s">
        <v>340</v>
      </c>
      <c r="E740">
        <v>47</v>
      </c>
      <c r="F740" t="s">
        <v>11</v>
      </c>
      <c r="G740">
        <v>2</v>
      </c>
      <c r="H740" t="s">
        <v>12</v>
      </c>
    </row>
    <row r="741" spans="1:8">
      <c r="A741" t="s">
        <v>25</v>
      </c>
      <c r="B741" t="s">
        <v>34</v>
      </c>
      <c r="C741" t="s">
        <v>35</v>
      </c>
      <c r="D741" t="s">
        <v>10</v>
      </c>
      <c r="E741">
        <v>43</v>
      </c>
      <c r="F741" t="s">
        <v>11</v>
      </c>
      <c r="G741">
        <v>3</v>
      </c>
      <c r="H741" t="s">
        <v>12</v>
      </c>
    </row>
    <row r="742" spans="1:8">
      <c r="A742" t="s">
        <v>25</v>
      </c>
      <c r="B742" t="s">
        <v>36</v>
      </c>
      <c r="C742" t="s">
        <v>37</v>
      </c>
      <c r="D742" t="s">
        <v>10</v>
      </c>
      <c r="E742">
        <v>41</v>
      </c>
      <c r="F742" t="s">
        <v>11</v>
      </c>
      <c r="G742">
        <v>3</v>
      </c>
      <c r="H742" t="s">
        <v>12</v>
      </c>
    </row>
    <row r="743" spans="1:8">
      <c r="A743" t="s">
        <v>25</v>
      </c>
      <c r="B743" t="s">
        <v>36</v>
      </c>
      <c r="C743" t="s">
        <v>37</v>
      </c>
      <c r="D743" t="s">
        <v>838</v>
      </c>
      <c r="E743">
        <v>56</v>
      </c>
      <c r="F743" t="s">
        <v>11</v>
      </c>
      <c r="G743">
        <v>2</v>
      </c>
      <c r="H743" t="s">
        <v>12</v>
      </c>
    </row>
    <row r="744" spans="1:8">
      <c r="A744" t="s">
        <v>25</v>
      </c>
      <c r="B744" t="s">
        <v>38</v>
      </c>
      <c r="C744" t="s">
        <v>39</v>
      </c>
      <c r="D744" t="s">
        <v>702</v>
      </c>
      <c r="E744">
        <v>58</v>
      </c>
      <c r="F744" t="s">
        <v>11</v>
      </c>
      <c r="G744">
        <v>2</v>
      </c>
      <c r="H744" t="s">
        <v>12</v>
      </c>
    </row>
    <row r="745" spans="1:8">
      <c r="A745" t="s">
        <v>25</v>
      </c>
      <c r="B745" t="s">
        <v>38</v>
      </c>
      <c r="C745" t="s">
        <v>39</v>
      </c>
      <c r="D745" t="s">
        <v>712</v>
      </c>
      <c r="E745">
        <v>40</v>
      </c>
      <c r="F745" t="s">
        <v>11</v>
      </c>
      <c r="G745">
        <v>2</v>
      </c>
      <c r="H745" t="s">
        <v>12</v>
      </c>
    </row>
    <row r="746" spans="1:8">
      <c r="A746" t="s">
        <v>25</v>
      </c>
      <c r="B746" t="s">
        <v>38</v>
      </c>
      <c r="C746" t="s">
        <v>39</v>
      </c>
      <c r="D746" t="s">
        <v>340</v>
      </c>
      <c r="E746">
        <v>56</v>
      </c>
      <c r="F746" t="s">
        <v>11</v>
      </c>
      <c r="G746">
        <v>2</v>
      </c>
      <c r="H746" t="s">
        <v>12</v>
      </c>
    </row>
    <row r="747" spans="1:8">
      <c r="A747" t="s">
        <v>25</v>
      </c>
      <c r="B747" t="s">
        <v>38</v>
      </c>
      <c r="C747" t="s">
        <v>39</v>
      </c>
      <c r="D747" t="s">
        <v>10</v>
      </c>
      <c r="E747">
        <v>45</v>
      </c>
      <c r="F747" t="s">
        <v>11</v>
      </c>
      <c r="G747">
        <v>3</v>
      </c>
      <c r="H747" t="s">
        <v>12</v>
      </c>
    </row>
    <row r="748" spans="1:8">
      <c r="A748" t="s">
        <v>25</v>
      </c>
      <c r="B748" t="s">
        <v>38</v>
      </c>
      <c r="C748" t="s">
        <v>39</v>
      </c>
      <c r="D748" t="s">
        <v>636</v>
      </c>
      <c r="E748">
        <v>42</v>
      </c>
      <c r="F748" t="s">
        <v>11</v>
      </c>
      <c r="G748">
        <v>4</v>
      </c>
      <c r="H748" t="s">
        <v>12</v>
      </c>
    </row>
    <row r="749" spans="1:8">
      <c r="A749" t="s">
        <v>25</v>
      </c>
      <c r="B749" t="s">
        <v>38</v>
      </c>
      <c r="C749" t="s">
        <v>39</v>
      </c>
      <c r="D749" t="s">
        <v>838</v>
      </c>
      <c r="E749">
        <v>40</v>
      </c>
      <c r="F749" t="s">
        <v>11</v>
      </c>
      <c r="G749">
        <v>2</v>
      </c>
      <c r="H749" t="s">
        <v>12</v>
      </c>
    </row>
    <row r="750" spans="1:8">
      <c r="A750" t="s">
        <v>25</v>
      </c>
      <c r="B750" t="s">
        <v>703</v>
      </c>
      <c r="C750" t="s">
        <v>704</v>
      </c>
      <c r="D750" t="s">
        <v>702</v>
      </c>
      <c r="E750">
        <v>56</v>
      </c>
      <c r="F750" t="s">
        <v>11</v>
      </c>
      <c r="G750">
        <v>2</v>
      </c>
      <c r="H750" t="s">
        <v>12</v>
      </c>
    </row>
    <row r="751" spans="1:8">
      <c r="A751" t="s">
        <v>25</v>
      </c>
      <c r="B751" t="s">
        <v>703</v>
      </c>
      <c r="C751" t="s">
        <v>704</v>
      </c>
      <c r="D751" t="s">
        <v>712</v>
      </c>
      <c r="E751">
        <v>50</v>
      </c>
      <c r="F751" t="s">
        <v>11</v>
      </c>
      <c r="G751">
        <v>2</v>
      </c>
      <c r="H751" t="s">
        <v>12</v>
      </c>
    </row>
    <row r="752" spans="1:8">
      <c r="A752" t="s">
        <v>25</v>
      </c>
      <c r="B752" t="s">
        <v>703</v>
      </c>
      <c r="C752" t="s">
        <v>704</v>
      </c>
      <c r="D752" t="s">
        <v>838</v>
      </c>
      <c r="E752">
        <v>40</v>
      </c>
      <c r="F752" t="s">
        <v>11</v>
      </c>
      <c r="G752">
        <v>2</v>
      </c>
      <c r="H752" t="s">
        <v>12</v>
      </c>
    </row>
    <row r="753" spans="1:8">
      <c r="A753" t="s">
        <v>25</v>
      </c>
      <c r="B753" t="s">
        <v>40</v>
      </c>
      <c r="C753" t="s">
        <v>41</v>
      </c>
      <c r="D753" t="s">
        <v>712</v>
      </c>
      <c r="E753">
        <v>46</v>
      </c>
      <c r="F753" t="s">
        <v>11</v>
      </c>
      <c r="G753">
        <v>2</v>
      </c>
      <c r="H753" t="s">
        <v>12</v>
      </c>
    </row>
    <row r="754" spans="1:8">
      <c r="A754" t="s">
        <v>25</v>
      </c>
      <c r="B754" t="s">
        <v>40</v>
      </c>
      <c r="C754" t="s">
        <v>41</v>
      </c>
      <c r="D754" t="s">
        <v>10</v>
      </c>
      <c r="E754">
        <v>50</v>
      </c>
      <c r="F754" t="s">
        <v>11</v>
      </c>
      <c r="G754">
        <v>3</v>
      </c>
      <c r="H754" t="s">
        <v>12</v>
      </c>
    </row>
    <row r="755" spans="1:8">
      <c r="A755" t="s">
        <v>25</v>
      </c>
      <c r="B755" t="s">
        <v>42</v>
      </c>
      <c r="C755" t="s">
        <v>43</v>
      </c>
      <c r="D755" t="s">
        <v>712</v>
      </c>
      <c r="E755">
        <v>51</v>
      </c>
      <c r="F755" t="s">
        <v>11</v>
      </c>
      <c r="G755">
        <v>2</v>
      </c>
      <c r="H755" t="s">
        <v>12</v>
      </c>
    </row>
    <row r="756" spans="1:8">
      <c r="A756" t="s">
        <v>25</v>
      </c>
      <c r="B756" t="s">
        <v>42</v>
      </c>
      <c r="C756" t="s">
        <v>43</v>
      </c>
      <c r="D756" t="s">
        <v>10</v>
      </c>
      <c r="E756">
        <v>42</v>
      </c>
      <c r="F756" t="s">
        <v>11</v>
      </c>
      <c r="G756">
        <v>3</v>
      </c>
      <c r="H756" t="s">
        <v>12</v>
      </c>
    </row>
    <row r="757" spans="1:8">
      <c r="A757" t="s">
        <v>25</v>
      </c>
      <c r="B757" t="s">
        <v>42</v>
      </c>
      <c r="C757" t="s">
        <v>43</v>
      </c>
      <c r="D757" t="s">
        <v>636</v>
      </c>
      <c r="E757">
        <v>49</v>
      </c>
      <c r="F757" t="s">
        <v>11</v>
      </c>
      <c r="G757">
        <v>4</v>
      </c>
      <c r="H757" t="s">
        <v>12</v>
      </c>
    </row>
    <row r="758" spans="1:8">
      <c r="A758" t="s">
        <v>25</v>
      </c>
      <c r="B758" t="s">
        <v>42</v>
      </c>
      <c r="C758" t="s">
        <v>43</v>
      </c>
      <c r="D758" t="s">
        <v>838</v>
      </c>
      <c r="E758">
        <v>47</v>
      </c>
      <c r="F758" t="s">
        <v>11</v>
      </c>
      <c r="G758">
        <v>2</v>
      </c>
      <c r="H758" t="s">
        <v>12</v>
      </c>
    </row>
    <row r="759" spans="1:8">
      <c r="A759" t="s">
        <v>25</v>
      </c>
      <c r="B759" t="s">
        <v>349</v>
      </c>
      <c r="C759" t="s">
        <v>350</v>
      </c>
      <c r="D759" t="s">
        <v>712</v>
      </c>
      <c r="E759">
        <v>47</v>
      </c>
      <c r="F759" t="s">
        <v>11</v>
      </c>
      <c r="G759">
        <v>2</v>
      </c>
      <c r="H759" t="s">
        <v>12</v>
      </c>
    </row>
    <row r="760" spans="1:8">
      <c r="A760" t="s">
        <v>25</v>
      </c>
      <c r="B760" t="s">
        <v>349</v>
      </c>
      <c r="C760" t="s">
        <v>350</v>
      </c>
      <c r="D760" t="s">
        <v>340</v>
      </c>
      <c r="E760">
        <v>40</v>
      </c>
      <c r="F760" t="s">
        <v>11</v>
      </c>
      <c r="G760">
        <v>2</v>
      </c>
      <c r="H760" t="s">
        <v>12</v>
      </c>
    </row>
    <row r="761" spans="1:8">
      <c r="A761" t="s">
        <v>25</v>
      </c>
      <c r="B761" t="s">
        <v>349</v>
      </c>
      <c r="C761" t="s">
        <v>350</v>
      </c>
      <c r="D761" t="s">
        <v>636</v>
      </c>
      <c r="E761">
        <v>48</v>
      </c>
      <c r="F761" t="s">
        <v>11</v>
      </c>
      <c r="G761">
        <v>4</v>
      </c>
      <c r="H761" t="s">
        <v>12</v>
      </c>
    </row>
    <row r="762" spans="1:8">
      <c r="A762" t="s">
        <v>25</v>
      </c>
      <c r="B762" t="s">
        <v>349</v>
      </c>
      <c r="C762" t="s">
        <v>350</v>
      </c>
      <c r="D762" t="s">
        <v>838</v>
      </c>
      <c r="E762">
        <v>40</v>
      </c>
      <c r="F762" t="s">
        <v>11</v>
      </c>
      <c r="G762">
        <v>2</v>
      </c>
      <c r="H762" t="s">
        <v>12</v>
      </c>
    </row>
    <row r="763" spans="1:8">
      <c r="A763" t="s">
        <v>25</v>
      </c>
      <c r="B763" t="s">
        <v>351</v>
      </c>
      <c r="C763" t="s">
        <v>352</v>
      </c>
      <c r="D763" t="s">
        <v>340</v>
      </c>
      <c r="E763">
        <v>40</v>
      </c>
      <c r="F763" t="s">
        <v>11</v>
      </c>
      <c r="G763">
        <v>2</v>
      </c>
      <c r="H763" t="s">
        <v>12</v>
      </c>
    </row>
    <row r="764" spans="1:8">
      <c r="A764" t="s">
        <v>25</v>
      </c>
      <c r="B764" t="s">
        <v>351</v>
      </c>
      <c r="C764" t="s">
        <v>352</v>
      </c>
      <c r="D764" t="s">
        <v>838</v>
      </c>
      <c r="E764">
        <v>41</v>
      </c>
      <c r="F764" t="s">
        <v>11</v>
      </c>
      <c r="G764">
        <v>2</v>
      </c>
      <c r="H764" t="s">
        <v>12</v>
      </c>
    </row>
    <row r="765" spans="1:8">
      <c r="A765" t="s">
        <v>171</v>
      </c>
      <c r="B765" t="s">
        <v>481</v>
      </c>
      <c r="C765" t="s">
        <v>482</v>
      </c>
      <c r="D765" t="s">
        <v>340</v>
      </c>
      <c r="E765">
        <v>35</v>
      </c>
      <c r="F765" t="s">
        <v>11</v>
      </c>
      <c r="G765">
        <v>2</v>
      </c>
      <c r="H765" t="s">
        <v>12</v>
      </c>
    </row>
    <row r="766" spans="1:8">
      <c r="A766" t="s">
        <v>171</v>
      </c>
      <c r="B766" t="s">
        <v>797</v>
      </c>
      <c r="C766" t="s">
        <v>798</v>
      </c>
      <c r="D766" t="s">
        <v>828</v>
      </c>
      <c r="E766">
        <v>40</v>
      </c>
      <c r="F766" t="s">
        <v>11</v>
      </c>
      <c r="G766">
        <v>1</v>
      </c>
      <c r="H766" t="s">
        <v>12</v>
      </c>
    </row>
    <row r="767" spans="1:8">
      <c r="A767" t="s">
        <v>171</v>
      </c>
      <c r="B767" t="s">
        <v>483</v>
      </c>
      <c r="C767" t="s">
        <v>484</v>
      </c>
      <c r="D767" t="s">
        <v>340</v>
      </c>
      <c r="E767">
        <v>42</v>
      </c>
      <c r="F767" t="s">
        <v>11</v>
      </c>
      <c r="G767">
        <v>2</v>
      </c>
      <c r="H767" t="s">
        <v>12</v>
      </c>
    </row>
    <row r="768" spans="1:8">
      <c r="A768" t="s">
        <v>171</v>
      </c>
      <c r="B768" t="s">
        <v>483</v>
      </c>
      <c r="C768" t="s">
        <v>484</v>
      </c>
      <c r="D768" t="s">
        <v>636</v>
      </c>
      <c r="E768">
        <v>48</v>
      </c>
      <c r="F768" t="s">
        <v>11</v>
      </c>
      <c r="G768">
        <v>2</v>
      </c>
      <c r="H768" t="s">
        <v>12</v>
      </c>
    </row>
    <row r="769" spans="1:8">
      <c r="A769" t="s">
        <v>171</v>
      </c>
      <c r="B769" t="s">
        <v>172</v>
      </c>
      <c r="C769" t="s">
        <v>173</v>
      </c>
      <c r="D769" t="s">
        <v>340</v>
      </c>
      <c r="E769">
        <v>58</v>
      </c>
      <c r="F769" t="s">
        <v>11</v>
      </c>
      <c r="G769">
        <v>2</v>
      </c>
      <c r="H769" t="s">
        <v>12</v>
      </c>
    </row>
    <row r="770" spans="1:8">
      <c r="A770" t="s">
        <v>171</v>
      </c>
      <c r="B770" t="s">
        <v>172</v>
      </c>
      <c r="C770" t="s">
        <v>173</v>
      </c>
      <c r="D770" t="s">
        <v>10</v>
      </c>
      <c r="E770">
        <v>55</v>
      </c>
      <c r="F770" t="s">
        <v>11</v>
      </c>
      <c r="G770">
        <v>3</v>
      </c>
      <c r="H770" t="s">
        <v>12</v>
      </c>
    </row>
    <row r="771" spans="1:8">
      <c r="A771" t="s">
        <v>171</v>
      </c>
      <c r="B771" t="s">
        <v>172</v>
      </c>
      <c r="C771" t="s">
        <v>173</v>
      </c>
      <c r="D771" t="s">
        <v>699</v>
      </c>
      <c r="E771">
        <v>53</v>
      </c>
      <c r="F771" t="s">
        <v>583</v>
      </c>
      <c r="G771">
        <v>1</v>
      </c>
      <c r="H771" t="s">
        <v>12</v>
      </c>
    </row>
    <row r="772" spans="1:8">
      <c r="A772" t="s">
        <v>171</v>
      </c>
      <c r="B772" t="s">
        <v>700</v>
      </c>
      <c r="C772" t="s">
        <v>701</v>
      </c>
      <c r="D772" t="s">
        <v>699</v>
      </c>
      <c r="E772">
        <v>48</v>
      </c>
      <c r="F772" t="s">
        <v>583</v>
      </c>
      <c r="G772">
        <v>1</v>
      </c>
      <c r="H772" t="s">
        <v>12</v>
      </c>
    </row>
    <row r="773" spans="1:8">
      <c r="A773" t="s">
        <v>171</v>
      </c>
      <c r="B773" t="s">
        <v>485</v>
      </c>
      <c r="C773" t="s">
        <v>486</v>
      </c>
      <c r="D773" t="s">
        <v>340</v>
      </c>
      <c r="E773">
        <v>56</v>
      </c>
      <c r="F773" t="s">
        <v>11</v>
      </c>
      <c r="G773">
        <v>2</v>
      </c>
      <c r="H773" t="s">
        <v>12</v>
      </c>
    </row>
    <row r="774" spans="1:8">
      <c r="A774" t="s">
        <v>171</v>
      </c>
      <c r="B774" t="s">
        <v>487</v>
      </c>
      <c r="C774" t="s">
        <v>488</v>
      </c>
      <c r="D774" t="s">
        <v>340</v>
      </c>
      <c r="E774">
        <v>52</v>
      </c>
      <c r="F774" t="s">
        <v>11</v>
      </c>
      <c r="G774">
        <v>2</v>
      </c>
      <c r="H774" t="s">
        <v>12</v>
      </c>
    </row>
    <row r="775" spans="1:8">
      <c r="A775" t="s">
        <v>171</v>
      </c>
      <c r="B775" t="s">
        <v>487</v>
      </c>
      <c r="C775" t="s">
        <v>488</v>
      </c>
      <c r="D775" t="s">
        <v>636</v>
      </c>
      <c r="E775">
        <v>45</v>
      </c>
      <c r="F775" t="s">
        <v>11</v>
      </c>
      <c r="G775">
        <v>2</v>
      </c>
      <c r="H775" t="s">
        <v>12</v>
      </c>
    </row>
  </sheetData>
  <sortState xmlns:xlrd2="http://schemas.microsoft.com/office/spreadsheetml/2017/richdata2" ref="A2:H775">
    <sortCondition ref="A2:A775"/>
    <sortCondition ref="B2:B775"/>
  </sortState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1F96-6AAF-4149-B470-EDD87E5A84EC}">
  <dimension ref="A1:F626"/>
  <sheetViews>
    <sheetView view="pageBreakPreview" zoomScale="145" zoomScaleNormal="100" zoomScaleSheetLayoutView="145" workbookViewId="0">
      <selection activeCell="C1" sqref="C1"/>
    </sheetView>
  </sheetViews>
  <sheetFormatPr defaultRowHeight="15.5" outlineLevelRow="2"/>
  <cols>
    <col min="1" max="1" width="14.08984375" style="19" bestFit="1" customWidth="1"/>
    <col min="2" max="2" width="9" style="20" customWidth="1"/>
    <col min="3" max="3" width="14.08984375" style="20" bestFit="1" customWidth="1"/>
    <col min="4" max="4" width="7.81640625" style="20" bestFit="1" customWidth="1"/>
    <col min="5" max="5" width="10.81640625" style="20" bestFit="1" customWidth="1"/>
    <col min="6" max="6" width="11.54296875" style="20" bestFit="1" customWidth="1"/>
    <col min="7" max="254" width="8.90625" style="20"/>
    <col min="255" max="255" width="11.453125" style="20" customWidth="1"/>
    <col min="256" max="256" width="10.36328125" style="20" customWidth="1"/>
    <col min="257" max="510" width="8.90625" style="20"/>
    <col min="511" max="511" width="11.453125" style="20" customWidth="1"/>
    <col min="512" max="512" width="10.36328125" style="20" customWidth="1"/>
    <col min="513" max="766" width="8.90625" style="20"/>
    <col min="767" max="767" width="11.453125" style="20" customWidth="1"/>
    <col min="768" max="768" width="10.36328125" style="20" customWidth="1"/>
    <col min="769" max="1022" width="8.90625" style="20"/>
    <col min="1023" max="1023" width="11.453125" style="20" customWidth="1"/>
    <col min="1024" max="1024" width="10.36328125" style="20" customWidth="1"/>
    <col min="1025" max="1278" width="8.90625" style="20"/>
    <col min="1279" max="1279" width="11.453125" style="20" customWidth="1"/>
    <col min="1280" max="1280" width="10.36328125" style="20" customWidth="1"/>
    <col min="1281" max="1534" width="8.90625" style="20"/>
    <col min="1535" max="1535" width="11.453125" style="20" customWidth="1"/>
    <col min="1536" max="1536" width="10.36328125" style="20" customWidth="1"/>
    <col min="1537" max="1790" width="8.90625" style="20"/>
    <col min="1791" max="1791" width="11.453125" style="20" customWidth="1"/>
    <col min="1792" max="1792" width="10.36328125" style="20" customWidth="1"/>
    <col min="1793" max="2046" width="8.90625" style="20"/>
    <col min="2047" max="2047" width="11.453125" style="20" customWidth="1"/>
    <col min="2048" max="2048" width="10.36328125" style="20" customWidth="1"/>
    <col min="2049" max="2302" width="8.90625" style="20"/>
    <col min="2303" max="2303" width="11.453125" style="20" customWidth="1"/>
    <col min="2304" max="2304" width="10.36328125" style="20" customWidth="1"/>
    <col min="2305" max="2558" width="8.90625" style="20"/>
    <col min="2559" max="2559" width="11.453125" style="20" customWidth="1"/>
    <col min="2560" max="2560" width="10.36328125" style="20" customWidth="1"/>
    <col min="2561" max="2814" width="8.90625" style="20"/>
    <col min="2815" max="2815" width="11.453125" style="20" customWidth="1"/>
    <col min="2816" max="2816" width="10.36328125" style="20" customWidth="1"/>
    <col min="2817" max="3070" width="8.90625" style="20"/>
    <col min="3071" max="3071" width="11.453125" style="20" customWidth="1"/>
    <col min="3072" max="3072" width="10.36328125" style="20" customWidth="1"/>
    <col min="3073" max="3326" width="8.90625" style="20"/>
    <col min="3327" max="3327" width="11.453125" style="20" customWidth="1"/>
    <col min="3328" max="3328" width="10.36328125" style="20" customWidth="1"/>
    <col min="3329" max="3582" width="8.90625" style="20"/>
    <col min="3583" max="3583" width="11.453125" style="20" customWidth="1"/>
    <col min="3584" max="3584" width="10.36328125" style="20" customWidth="1"/>
    <col min="3585" max="3838" width="8.90625" style="20"/>
    <col min="3839" max="3839" width="11.453125" style="20" customWidth="1"/>
    <col min="3840" max="3840" width="10.36328125" style="20" customWidth="1"/>
    <col min="3841" max="4094" width="8.90625" style="20"/>
    <col min="4095" max="4095" width="11.453125" style="20" customWidth="1"/>
    <col min="4096" max="4096" width="10.36328125" style="20" customWidth="1"/>
    <col min="4097" max="4350" width="8.90625" style="20"/>
    <col min="4351" max="4351" width="11.453125" style="20" customWidth="1"/>
    <col min="4352" max="4352" width="10.36328125" style="20" customWidth="1"/>
    <col min="4353" max="4606" width="8.90625" style="20"/>
    <col min="4607" max="4607" width="11.453125" style="20" customWidth="1"/>
    <col min="4608" max="4608" width="10.36328125" style="20" customWidth="1"/>
    <col min="4609" max="4862" width="8.90625" style="20"/>
    <col min="4863" max="4863" width="11.453125" style="20" customWidth="1"/>
    <col min="4864" max="4864" width="10.36328125" style="20" customWidth="1"/>
    <col min="4865" max="5118" width="8.90625" style="20"/>
    <col min="5119" max="5119" width="11.453125" style="20" customWidth="1"/>
    <col min="5120" max="5120" width="10.36328125" style="20" customWidth="1"/>
    <col min="5121" max="5374" width="8.90625" style="20"/>
    <col min="5375" max="5375" width="11.453125" style="20" customWidth="1"/>
    <col min="5376" max="5376" width="10.36328125" style="20" customWidth="1"/>
    <col min="5377" max="5630" width="8.90625" style="20"/>
    <col min="5631" max="5631" width="11.453125" style="20" customWidth="1"/>
    <col min="5632" max="5632" width="10.36328125" style="20" customWidth="1"/>
    <col min="5633" max="5886" width="8.90625" style="20"/>
    <col min="5887" max="5887" width="11.453125" style="20" customWidth="1"/>
    <col min="5888" max="5888" width="10.36328125" style="20" customWidth="1"/>
    <col min="5889" max="6142" width="8.90625" style="20"/>
    <col min="6143" max="6143" width="11.453125" style="20" customWidth="1"/>
    <col min="6144" max="6144" width="10.36328125" style="20" customWidth="1"/>
    <col min="6145" max="6398" width="8.90625" style="20"/>
    <col min="6399" max="6399" width="11.453125" style="20" customWidth="1"/>
    <col min="6400" max="6400" width="10.36328125" style="20" customWidth="1"/>
    <col min="6401" max="6654" width="8.90625" style="20"/>
    <col min="6655" max="6655" width="11.453125" style="20" customWidth="1"/>
    <col min="6656" max="6656" width="10.36328125" style="20" customWidth="1"/>
    <col min="6657" max="6910" width="8.90625" style="20"/>
    <col min="6911" max="6911" width="11.453125" style="20" customWidth="1"/>
    <col min="6912" max="6912" width="10.36328125" style="20" customWidth="1"/>
    <col min="6913" max="7166" width="8.90625" style="20"/>
    <col min="7167" max="7167" width="11.453125" style="20" customWidth="1"/>
    <col min="7168" max="7168" width="10.36328125" style="20" customWidth="1"/>
    <col min="7169" max="7422" width="8.90625" style="20"/>
    <col min="7423" max="7423" width="11.453125" style="20" customWidth="1"/>
    <col min="7424" max="7424" width="10.36328125" style="20" customWidth="1"/>
    <col min="7425" max="7678" width="8.90625" style="20"/>
    <col min="7679" max="7679" width="11.453125" style="20" customWidth="1"/>
    <col min="7680" max="7680" width="10.36328125" style="20" customWidth="1"/>
    <col min="7681" max="7934" width="8.90625" style="20"/>
    <col min="7935" max="7935" width="11.453125" style="20" customWidth="1"/>
    <col min="7936" max="7936" width="10.36328125" style="20" customWidth="1"/>
    <col min="7937" max="8190" width="8.90625" style="20"/>
    <col min="8191" max="8191" width="11.453125" style="20" customWidth="1"/>
    <col min="8192" max="8192" width="10.36328125" style="20" customWidth="1"/>
    <col min="8193" max="8446" width="8.90625" style="20"/>
    <col min="8447" max="8447" width="11.453125" style="20" customWidth="1"/>
    <col min="8448" max="8448" width="10.36328125" style="20" customWidth="1"/>
    <col min="8449" max="8702" width="8.90625" style="20"/>
    <col min="8703" max="8703" width="11.453125" style="20" customWidth="1"/>
    <col min="8704" max="8704" width="10.36328125" style="20" customWidth="1"/>
    <col min="8705" max="8958" width="8.90625" style="20"/>
    <col min="8959" max="8959" width="11.453125" style="20" customWidth="1"/>
    <col min="8960" max="8960" width="10.36328125" style="20" customWidth="1"/>
    <col min="8961" max="9214" width="8.90625" style="20"/>
    <col min="9215" max="9215" width="11.453125" style="20" customWidth="1"/>
    <col min="9216" max="9216" width="10.36328125" style="20" customWidth="1"/>
    <col min="9217" max="9470" width="8.90625" style="20"/>
    <col min="9471" max="9471" width="11.453125" style="20" customWidth="1"/>
    <col min="9472" max="9472" width="10.36328125" style="20" customWidth="1"/>
    <col min="9473" max="9726" width="8.90625" style="20"/>
    <col min="9727" max="9727" width="11.453125" style="20" customWidth="1"/>
    <col min="9728" max="9728" width="10.36328125" style="20" customWidth="1"/>
    <col min="9729" max="9982" width="8.90625" style="20"/>
    <col min="9983" max="9983" width="11.453125" style="20" customWidth="1"/>
    <col min="9984" max="9984" width="10.36328125" style="20" customWidth="1"/>
    <col min="9985" max="10238" width="8.90625" style="20"/>
    <col min="10239" max="10239" width="11.453125" style="20" customWidth="1"/>
    <col min="10240" max="10240" width="10.36328125" style="20" customWidth="1"/>
    <col min="10241" max="10494" width="8.90625" style="20"/>
    <col min="10495" max="10495" width="11.453125" style="20" customWidth="1"/>
    <col min="10496" max="10496" width="10.36328125" style="20" customWidth="1"/>
    <col min="10497" max="10750" width="8.90625" style="20"/>
    <col min="10751" max="10751" width="11.453125" style="20" customWidth="1"/>
    <col min="10752" max="10752" width="10.36328125" style="20" customWidth="1"/>
    <col min="10753" max="11006" width="8.90625" style="20"/>
    <col min="11007" max="11007" width="11.453125" style="20" customWidth="1"/>
    <col min="11008" max="11008" width="10.36328125" style="20" customWidth="1"/>
    <col min="11009" max="11262" width="8.90625" style="20"/>
    <col min="11263" max="11263" width="11.453125" style="20" customWidth="1"/>
    <col min="11264" max="11264" width="10.36328125" style="20" customWidth="1"/>
    <col min="11265" max="11518" width="8.90625" style="20"/>
    <col min="11519" max="11519" width="11.453125" style="20" customWidth="1"/>
    <col min="11520" max="11520" width="10.36328125" style="20" customWidth="1"/>
    <col min="11521" max="11774" width="8.90625" style="20"/>
    <col min="11775" max="11775" width="11.453125" style="20" customWidth="1"/>
    <col min="11776" max="11776" width="10.36328125" style="20" customWidth="1"/>
    <col min="11777" max="12030" width="8.90625" style="20"/>
    <col min="12031" max="12031" width="11.453125" style="20" customWidth="1"/>
    <col min="12032" max="12032" width="10.36328125" style="20" customWidth="1"/>
    <col min="12033" max="12286" width="8.90625" style="20"/>
    <col min="12287" max="12287" width="11.453125" style="20" customWidth="1"/>
    <col min="12288" max="12288" width="10.36328125" style="20" customWidth="1"/>
    <col min="12289" max="12542" width="8.90625" style="20"/>
    <col min="12543" max="12543" width="11.453125" style="20" customWidth="1"/>
    <col min="12544" max="12544" width="10.36328125" style="20" customWidth="1"/>
    <col min="12545" max="12798" width="8.90625" style="20"/>
    <col min="12799" max="12799" width="11.453125" style="20" customWidth="1"/>
    <col min="12800" max="12800" width="10.36328125" style="20" customWidth="1"/>
    <col min="12801" max="13054" width="8.90625" style="20"/>
    <col min="13055" max="13055" width="11.453125" style="20" customWidth="1"/>
    <col min="13056" max="13056" width="10.36328125" style="20" customWidth="1"/>
    <col min="13057" max="13310" width="8.90625" style="20"/>
    <col min="13311" max="13311" width="11.453125" style="20" customWidth="1"/>
    <col min="13312" max="13312" width="10.36328125" style="20" customWidth="1"/>
    <col min="13313" max="13566" width="8.90625" style="20"/>
    <col min="13567" max="13567" width="11.453125" style="20" customWidth="1"/>
    <col min="13568" max="13568" width="10.36328125" style="20" customWidth="1"/>
    <col min="13569" max="13822" width="8.90625" style="20"/>
    <col min="13823" max="13823" width="11.453125" style="20" customWidth="1"/>
    <col min="13824" max="13824" width="10.36328125" style="20" customWidth="1"/>
    <col min="13825" max="14078" width="8.90625" style="20"/>
    <col min="14079" max="14079" width="11.453125" style="20" customWidth="1"/>
    <col min="14080" max="14080" width="10.36328125" style="20" customWidth="1"/>
    <col min="14081" max="14334" width="8.90625" style="20"/>
    <col min="14335" max="14335" width="11.453125" style="20" customWidth="1"/>
    <col min="14336" max="14336" width="10.36328125" style="20" customWidth="1"/>
    <col min="14337" max="14590" width="8.90625" style="20"/>
    <col min="14591" max="14591" width="11.453125" style="20" customWidth="1"/>
    <col min="14592" max="14592" width="10.36328125" style="20" customWidth="1"/>
    <col min="14593" max="14846" width="8.90625" style="20"/>
    <col min="14847" max="14847" width="11.453125" style="20" customWidth="1"/>
    <col min="14848" max="14848" width="10.36328125" style="20" customWidth="1"/>
    <col min="14849" max="15102" width="8.90625" style="20"/>
    <col min="15103" max="15103" width="11.453125" style="20" customWidth="1"/>
    <col min="15104" max="15104" width="10.36328125" style="20" customWidth="1"/>
    <col min="15105" max="15358" width="8.90625" style="20"/>
    <col min="15359" max="15359" width="11.453125" style="20" customWidth="1"/>
    <col min="15360" max="15360" width="10.36328125" style="20" customWidth="1"/>
    <col min="15361" max="15614" width="8.90625" style="20"/>
    <col min="15615" max="15615" width="11.453125" style="20" customWidth="1"/>
    <col min="15616" max="15616" width="10.36328125" style="20" customWidth="1"/>
    <col min="15617" max="15870" width="8.90625" style="20"/>
    <col min="15871" max="15871" width="11.453125" style="20" customWidth="1"/>
    <col min="15872" max="15872" width="10.36328125" style="20" customWidth="1"/>
    <col min="15873" max="16126" width="8.90625" style="20"/>
    <col min="16127" max="16127" width="11.453125" style="20" customWidth="1"/>
    <col min="16128" max="16128" width="10.36328125" style="20" customWidth="1"/>
    <col min="16129" max="16384" width="8.90625" style="20"/>
  </cols>
  <sheetData>
    <row r="1" spans="1:6" ht="22.5" thickTop="1" thickBot="1">
      <c r="A1" s="30" t="s">
        <v>0</v>
      </c>
      <c r="B1" s="31" t="s">
        <v>1</v>
      </c>
      <c r="C1" s="31" t="s">
        <v>3</v>
      </c>
      <c r="D1" s="31" t="s">
        <v>4</v>
      </c>
      <c r="E1" s="31" t="s">
        <v>5</v>
      </c>
      <c r="F1" s="32" t="s">
        <v>967</v>
      </c>
    </row>
    <row r="2" spans="1:6" ht="16" outlineLevel="2" thickTop="1">
      <c r="A2" s="27" t="s">
        <v>1144</v>
      </c>
      <c r="B2" s="28" t="s">
        <v>1145</v>
      </c>
      <c r="C2" s="28" t="s">
        <v>10</v>
      </c>
      <c r="D2" s="28">
        <v>54</v>
      </c>
      <c r="E2" s="28">
        <v>3</v>
      </c>
      <c r="F2" s="29" t="s">
        <v>11</v>
      </c>
    </row>
    <row r="3" spans="1:6" outlineLevel="2">
      <c r="A3" s="21" t="s">
        <v>1144</v>
      </c>
      <c r="B3" s="22" t="s">
        <v>1145</v>
      </c>
      <c r="C3" s="22" t="s">
        <v>340</v>
      </c>
      <c r="D3" s="22">
        <v>56</v>
      </c>
      <c r="E3" s="22">
        <v>2</v>
      </c>
      <c r="F3" s="23" t="s">
        <v>11</v>
      </c>
    </row>
    <row r="4" spans="1:6" outlineLevel="2">
      <c r="A4" s="21" t="s">
        <v>1144</v>
      </c>
      <c r="B4" s="22" t="s">
        <v>1351</v>
      </c>
      <c r="C4" s="22" t="s">
        <v>340</v>
      </c>
      <c r="D4" s="22">
        <v>48</v>
      </c>
      <c r="E4" s="22">
        <v>2</v>
      </c>
      <c r="F4" s="23" t="s">
        <v>11</v>
      </c>
    </row>
    <row r="5" spans="1:6" outlineLevel="2">
      <c r="A5" s="21" t="s">
        <v>1144</v>
      </c>
      <c r="B5" s="22" t="s">
        <v>1147</v>
      </c>
      <c r="C5" s="22" t="s">
        <v>10</v>
      </c>
      <c r="D5" s="22">
        <v>46</v>
      </c>
      <c r="E5" s="22">
        <v>3</v>
      </c>
      <c r="F5" s="23" t="s">
        <v>11</v>
      </c>
    </row>
    <row r="6" spans="1:6" outlineLevel="2">
      <c r="A6" s="21" t="s">
        <v>1144</v>
      </c>
      <c r="B6" s="22" t="s">
        <v>1147</v>
      </c>
      <c r="C6" s="22" t="s">
        <v>340</v>
      </c>
      <c r="D6" s="22">
        <v>48</v>
      </c>
      <c r="E6" s="22">
        <v>2</v>
      </c>
      <c r="F6" s="23" t="s">
        <v>11</v>
      </c>
    </row>
    <row r="7" spans="1:6" outlineLevel="2">
      <c r="A7" s="21" t="s">
        <v>1144</v>
      </c>
      <c r="B7" s="22" t="s">
        <v>1149</v>
      </c>
      <c r="C7" s="22" t="s">
        <v>1567</v>
      </c>
      <c r="D7" s="22">
        <v>55</v>
      </c>
      <c r="E7" s="22">
        <v>2</v>
      </c>
      <c r="F7" s="23" t="s">
        <v>11</v>
      </c>
    </row>
    <row r="8" spans="1:6" outlineLevel="2">
      <c r="A8" s="21" t="s">
        <v>1144</v>
      </c>
      <c r="B8" s="22" t="s">
        <v>1149</v>
      </c>
      <c r="C8" s="22" t="s">
        <v>10</v>
      </c>
      <c r="D8" s="22">
        <v>40</v>
      </c>
      <c r="E8" s="22">
        <v>3</v>
      </c>
      <c r="F8" s="23" t="s">
        <v>11</v>
      </c>
    </row>
    <row r="9" spans="1:6" outlineLevel="2">
      <c r="A9" s="21" t="s">
        <v>1144</v>
      </c>
      <c r="B9" s="22" t="s">
        <v>1149</v>
      </c>
      <c r="C9" s="22" t="s">
        <v>340</v>
      </c>
      <c r="D9" s="22">
        <v>43</v>
      </c>
      <c r="E9" s="22">
        <v>2</v>
      </c>
      <c r="F9" s="23" t="s">
        <v>11</v>
      </c>
    </row>
    <row r="10" spans="1:6" outlineLevel="2">
      <c r="A10" s="21" t="s">
        <v>1144</v>
      </c>
      <c r="B10" s="22" t="s">
        <v>1151</v>
      </c>
      <c r="C10" s="22" t="s">
        <v>1567</v>
      </c>
      <c r="D10" s="22">
        <v>40</v>
      </c>
      <c r="E10" s="22">
        <v>2</v>
      </c>
      <c r="F10" s="23" t="s">
        <v>11</v>
      </c>
    </row>
    <row r="11" spans="1:6" outlineLevel="2">
      <c r="A11" s="21" t="s">
        <v>1144</v>
      </c>
      <c r="B11" s="22" t="s">
        <v>1151</v>
      </c>
      <c r="C11" s="22" t="s">
        <v>10</v>
      </c>
      <c r="D11" s="22">
        <v>40</v>
      </c>
      <c r="E11" s="22">
        <v>3</v>
      </c>
      <c r="F11" s="23" t="s">
        <v>11</v>
      </c>
    </row>
    <row r="12" spans="1:6" outlineLevel="2">
      <c r="A12" s="21" t="s">
        <v>1144</v>
      </c>
      <c r="B12" s="22" t="s">
        <v>1353</v>
      </c>
      <c r="C12" s="22" t="s">
        <v>340</v>
      </c>
      <c r="D12" s="22">
        <v>54</v>
      </c>
      <c r="E12" s="22">
        <v>2</v>
      </c>
      <c r="F12" s="23" t="s">
        <v>11</v>
      </c>
    </row>
    <row r="13" spans="1:6" outlineLevel="2">
      <c r="A13" s="21" t="s">
        <v>1144</v>
      </c>
      <c r="B13" s="22" t="s">
        <v>1153</v>
      </c>
      <c r="C13" s="22" t="s">
        <v>636</v>
      </c>
      <c r="D13" s="22">
        <v>59</v>
      </c>
      <c r="E13" s="22">
        <v>4</v>
      </c>
      <c r="F13" s="23" t="s">
        <v>11</v>
      </c>
    </row>
    <row r="14" spans="1:6" outlineLevel="2">
      <c r="A14" s="21" t="s">
        <v>1144</v>
      </c>
      <c r="B14" s="22" t="s">
        <v>1153</v>
      </c>
      <c r="C14" s="22" t="s">
        <v>10</v>
      </c>
      <c r="D14" s="22">
        <v>50</v>
      </c>
      <c r="E14" s="22">
        <v>3</v>
      </c>
      <c r="F14" s="23" t="s">
        <v>11</v>
      </c>
    </row>
    <row r="15" spans="1:6" outlineLevel="2">
      <c r="A15" s="21" t="s">
        <v>1144</v>
      </c>
      <c r="B15" s="22" t="s">
        <v>1153</v>
      </c>
      <c r="C15" s="22" t="s">
        <v>340</v>
      </c>
      <c r="D15" s="22">
        <v>51</v>
      </c>
      <c r="E15" s="22">
        <v>2</v>
      </c>
      <c r="F15" s="23" t="s">
        <v>11</v>
      </c>
    </row>
    <row r="16" spans="1:6" outlineLevel="2">
      <c r="A16" s="21" t="s">
        <v>1144</v>
      </c>
      <c r="B16" s="22" t="s">
        <v>1155</v>
      </c>
      <c r="C16" s="22" t="s">
        <v>10</v>
      </c>
      <c r="D16" s="22">
        <v>44</v>
      </c>
      <c r="E16" s="22">
        <v>3</v>
      </c>
      <c r="F16" s="23" t="s">
        <v>11</v>
      </c>
    </row>
    <row r="17" spans="1:6" outlineLevel="2">
      <c r="A17" s="21" t="s">
        <v>1144</v>
      </c>
      <c r="B17" s="22" t="s">
        <v>1155</v>
      </c>
      <c r="C17" s="22" t="s">
        <v>340</v>
      </c>
      <c r="D17" s="22">
        <v>48</v>
      </c>
      <c r="E17" s="22">
        <v>2</v>
      </c>
      <c r="F17" s="23" t="s">
        <v>11</v>
      </c>
    </row>
    <row r="18" spans="1:6" outlineLevel="2">
      <c r="A18" s="21" t="s">
        <v>1144</v>
      </c>
      <c r="B18" s="22" t="s">
        <v>1157</v>
      </c>
      <c r="C18" s="22" t="s">
        <v>1567</v>
      </c>
      <c r="D18" s="22">
        <v>50</v>
      </c>
      <c r="E18" s="22">
        <v>2</v>
      </c>
      <c r="F18" s="23" t="s">
        <v>11</v>
      </c>
    </row>
    <row r="19" spans="1:6" outlineLevel="2">
      <c r="A19" s="21" t="s">
        <v>1144</v>
      </c>
      <c r="B19" s="22" t="s">
        <v>1157</v>
      </c>
      <c r="C19" s="22" t="s">
        <v>10</v>
      </c>
      <c r="D19" s="22">
        <v>40</v>
      </c>
      <c r="E19" s="22">
        <v>3</v>
      </c>
      <c r="F19" s="23" t="s">
        <v>11</v>
      </c>
    </row>
    <row r="20" spans="1:6" outlineLevel="2">
      <c r="A20" s="21" t="s">
        <v>1144</v>
      </c>
      <c r="B20" s="22" t="s">
        <v>1159</v>
      </c>
      <c r="C20" s="22" t="s">
        <v>10</v>
      </c>
      <c r="D20" s="22">
        <v>40</v>
      </c>
      <c r="E20" s="22">
        <v>3</v>
      </c>
      <c r="F20" s="23" t="s">
        <v>11</v>
      </c>
    </row>
    <row r="21" spans="1:6" outlineLevel="2">
      <c r="A21" s="21" t="s">
        <v>1144</v>
      </c>
      <c r="B21" s="22" t="s">
        <v>1355</v>
      </c>
      <c r="C21" s="22" t="s">
        <v>340</v>
      </c>
      <c r="D21" s="22">
        <v>44</v>
      </c>
      <c r="E21" s="22">
        <v>2</v>
      </c>
      <c r="F21" s="23" t="s">
        <v>11</v>
      </c>
    </row>
    <row r="22" spans="1:6" outlineLevel="2">
      <c r="A22" s="21" t="s">
        <v>1144</v>
      </c>
      <c r="B22" s="22" t="s">
        <v>1161</v>
      </c>
      <c r="C22" s="22" t="s">
        <v>10</v>
      </c>
      <c r="D22" s="22">
        <v>52</v>
      </c>
      <c r="E22" s="22">
        <v>3</v>
      </c>
      <c r="F22" s="23" t="s">
        <v>11</v>
      </c>
    </row>
    <row r="23" spans="1:6" outlineLevel="2">
      <c r="A23" s="21" t="s">
        <v>1144</v>
      </c>
      <c r="B23" s="22" t="s">
        <v>1163</v>
      </c>
      <c r="C23" s="22" t="s">
        <v>10</v>
      </c>
      <c r="D23" s="22">
        <v>47</v>
      </c>
      <c r="E23" s="22">
        <v>3</v>
      </c>
      <c r="F23" s="23" t="s">
        <v>11</v>
      </c>
    </row>
    <row r="24" spans="1:6" outlineLevel="2">
      <c r="A24" s="21" t="s">
        <v>1144</v>
      </c>
      <c r="B24" s="22" t="s">
        <v>1163</v>
      </c>
      <c r="C24" s="22" t="s">
        <v>340</v>
      </c>
      <c r="D24" s="22">
        <v>48</v>
      </c>
      <c r="E24" s="22">
        <v>2</v>
      </c>
      <c r="F24" s="23" t="s">
        <v>11</v>
      </c>
    </row>
    <row r="25" spans="1:6" outlineLevel="2">
      <c r="A25" s="21" t="s">
        <v>1144</v>
      </c>
      <c r="B25" s="22" t="s">
        <v>1163</v>
      </c>
      <c r="C25" s="22" t="s">
        <v>1692</v>
      </c>
      <c r="D25" s="22">
        <v>54</v>
      </c>
      <c r="E25" s="22">
        <v>2</v>
      </c>
      <c r="F25" s="23" t="s">
        <v>583</v>
      </c>
    </row>
    <row r="26" spans="1:6" outlineLevel="2">
      <c r="A26" s="21" t="s">
        <v>1144</v>
      </c>
      <c r="B26" s="22" t="s">
        <v>1357</v>
      </c>
      <c r="C26" s="22" t="s">
        <v>636</v>
      </c>
      <c r="D26" s="22">
        <v>52</v>
      </c>
      <c r="E26" s="22">
        <v>4</v>
      </c>
      <c r="F26" s="23" t="s">
        <v>11</v>
      </c>
    </row>
    <row r="27" spans="1:6" outlineLevel="2">
      <c r="A27" s="21" t="s">
        <v>1144</v>
      </c>
      <c r="B27" s="22" t="s">
        <v>1357</v>
      </c>
      <c r="C27" s="22" t="s">
        <v>340</v>
      </c>
      <c r="D27" s="22">
        <v>57</v>
      </c>
      <c r="E27" s="22">
        <v>2</v>
      </c>
      <c r="F27" s="23" t="s">
        <v>11</v>
      </c>
    </row>
    <row r="28" spans="1:6" outlineLevel="2">
      <c r="A28" s="21" t="s">
        <v>1144</v>
      </c>
      <c r="B28" s="22" t="s">
        <v>1165</v>
      </c>
      <c r="C28" s="22" t="s">
        <v>1567</v>
      </c>
      <c r="D28" s="22">
        <v>48</v>
      </c>
      <c r="E28" s="22">
        <v>2</v>
      </c>
      <c r="F28" s="23" t="s">
        <v>11</v>
      </c>
    </row>
    <row r="29" spans="1:6" outlineLevel="2">
      <c r="A29" s="21" t="s">
        <v>1144</v>
      </c>
      <c r="B29" s="22" t="s">
        <v>1165</v>
      </c>
      <c r="C29" s="22" t="s">
        <v>10</v>
      </c>
      <c r="D29" s="22">
        <v>41</v>
      </c>
      <c r="E29" s="22">
        <v>3</v>
      </c>
      <c r="F29" s="23" t="s">
        <v>11</v>
      </c>
    </row>
    <row r="30" spans="1:6" outlineLevel="2">
      <c r="A30" s="21" t="s">
        <v>1144</v>
      </c>
      <c r="B30" s="22" t="s">
        <v>1165</v>
      </c>
      <c r="C30" s="22" t="s">
        <v>1692</v>
      </c>
      <c r="D30" s="22">
        <v>57</v>
      </c>
      <c r="E30" s="22">
        <v>2</v>
      </c>
      <c r="F30" s="23" t="s">
        <v>583</v>
      </c>
    </row>
    <row r="31" spans="1:6" outlineLevel="2">
      <c r="A31" s="21" t="s">
        <v>1144</v>
      </c>
      <c r="B31" s="22" t="s">
        <v>1167</v>
      </c>
      <c r="C31" s="22" t="s">
        <v>10</v>
      </c>
      <c r="D31" s="22">
        <v>40</v>
      </c>
      <c r="E31" s="22">
        <v>3</v>
      </c>
      <c r="F31" s="23" t="s">
        <v>11</v>
      </c>
    </row>
    <row r="32" spans="1:6" outlineLevel="2">
      <c r="A32" s="21" t="s">
        <v>1144</v>
      </c>
      <c r="B32" s="22" t="s">
        <v>1359</v>
      </c>
      <c r="C32" s="22" t="s">
        <v>636</v>
      </c>
      <c r="D32" s="22">
        <v>45</v>
      </c>
      <c r="E32" s="22">
        <v>4</v>
      </c>
      <c r="F32" s="23" t="s">
        <v>11</v>
      </c>
    </row>
    <row r="33" spans="1:6" outlineLevel="2">
      <c r="A33" s="21" t="s">
        <v>1144</v>
      </c>
      <c r="B33" s="22" t="s">
        <v>1359</v>
      </c>
      <c r="C33" s="22" t="s">
        <v>340</v>
      </c>
      <c r="D33" s="22">
        <v>45</v>
      </c>
      <c r="E33" s="22">
        <v>2</v>
      </c>
      <c r="F33" s="23" t="s">
        <v>11</v>
      </c>
    </row>
    <row r="34" spans="1:6" outlineLevel="2">
      <c r="A34" s="21" t="s">
        <v>1144</v>
      </c>
      <c r="B34" s="22" t="s">
        <v>1361</v>
      </c>
      <c r="C34" s="22" t="s">
        <v>340</v>
      </c>
      <c r="D34" s="22">
        <v>55</v>
      </c>
      <c r="E34" s="22">
        <v>2</v>
      </c>
      <c r="F34" s="23" t="s">
        <v>11</v>
      </c>
    </row>
    <row r="35" spans="1:6" outlineLevel="2">
      <c r="A35" s="21" t="s">
        <v>1144</v>
      </c>
      <c r="B35" s="22" t="s">
        <v>1169</v>
      </c>
      <c r="C35" s="22" t="s">
        <v>10</v>
      </c>
      <c r="D35" s="22">
        <v>48</v>
      </c>
      <c r="E35" s="22">
        <v>3</v>
      </c>
      <c r="F35" s="23" t="s">
        <v>11</v>
      </c>
    </row>
    <row r="36" spans="1:6" outlineLevel="2">
      <c r="A36" s="21" t="s">
        <v>1144</v>
      </c>
      <c r="B36" s="22" t="s">
        <v>1169</v>
      </c>
      <c r="C36" s="22" t="s">
        <v>340</v>
      </c>
      <c r="D36" s="22">
        <v>48</v>
      </c>
      <c r="E36" s="22">
        <v>2</v>
      </c>
      <c r="F36" s="23" t="s">
        <v>11</v>
      </c>
    </row>
    <row r="37" spans="1:6" outlineLevel="2">
      <c r="A37" s="21" t="s">
        <v>1144</v>
      </c>
      <c r="B37" s="22" t="s">
        <v>1363</v>
      </c>
      <c r="C37" s="22" t="s">
        <v>340</v>
      </c>
      <c r="D37" s="22">
        <v>52</v>
      </c>
      <c r="E37" s="22">
        <v>2</v>
      </c>
      <c r="F37" s="23" t="s">
        <v>11</v>
      </c>
    </row>
    <row r="38" spans="1:6" outlineLevel="2">
      <c r="A38" s="21" t="s">
        <v>1144</v>
      </c>
      <c r="B38" s="22" t="s">
        <v>1365</v>
      </c>
      <c r="C38" s="22" t="s">
        <v>340</v>
      </c>
      <c r="D38" s="22">
        <v>43</v>
      </c>
      <c r="E38" s="22">
        <v>2</v>
      </c>
      <c r="F38" s="23" t="s">
        <v>11</v>
      </c>
    </row>
    <row r="39" spans="1:6" outlineLevel="1">
      <c r="A39" s="24" t="s">
        <v>1862</v>
      </c>
      <c r="B39" s="22">
        <f>SUBTOTAL(3,B2:B38)</f>
        <v>37</v>
      </c>
      <c r="C39" s="22"/>
      <c r="D39" s="22"/>
      <c r="E39" s="22"/>
      <c r="F39" s="23"/>
    </row>
    <row r="40" spans="1:6" outlineLevel="2">
      <c r="A40" s="21" t="s">
        <v>1035</v>
      </c>
      <c r="B40" s="22" t="s">
        <v>1036</v>
      </c>
      <c r="C40" s="22" t="s">
        <v>636</v>
      </c>
      <c r="D40" s="22">
        <v>40</v>
      </c>
      <c r="E40" s="22">
        <v>4</v>
      </c>
      <c r="F40" s="23" t="s">
        <v>11</v>
      </c>
    </row>
    <row r="41" spans="1:6" outlineLevel="2">
      <c r="A41" s="21" t="s">
        <v>1035</v>
      </c>
      <c r="B41" s="22" t="s">
        <v>1036</v>
      </c>
      <c r="C41" s="22" t="s">
        <v>10</v>
      </c>
      <c r="D41" s="22">
        <v>57</v>
      </c>
      <c r="E41" s="22">
        <v>3</v>
      </c>
      <c r="F41" s="23" t="s">
        <v>11</v>
      </c>
    </row>
    <row r="42" spans="1:6" outlineLevel="2">
      <c r="A42" s="21" t="s">
        <v>1035</v>
      </c>
      <c r="B42" s="22" t="s">
        <v>1038</v>
      </c>
      <c r="C42" s="22" t="s">
        <v>636</v>
      </c>
      <c r="D42" s="22">
        <v>45</v>
      </c>
      <c r="E42" s="22">
        <v>4</v>
      </c>
      <c r="F42" s="23" t="s">
        <v>11</v>
      </c>
    </row>
    <row r="43" spans="1:6" outlineLevel="2">
      <c r="A43" s="21" t="s">
        <v>1035</v>
      </c>
      <c r="B43" s="22" t="s">
        <v>1038</v>
      </c>
      <c r="C43" s="22" t="s">
        <v>10</v>
      </c>
      <c r="D43" s="22">
        <v>53</v>
      </c>
      <c r="E43" s="22">
        <v>3</v>
      </c>
      <c r="F43" s="23" t="s">
        <v>11</v>
      </c>
    </row>
    <row r="44" spans="1:6" outlineLevel="2">
      <c r="A44" s="21" t="s">
        <v>1035</v>
      </c>
      <c r="B44" s="22" t="s">
        <v>1040</v>
      </c>
      <c r="C44" s="22" t="s">
        <v>10</v>
      </c>
      <c r="D44" s="22">
        <v>56</v>
      </c>
      <c r="E44" s="22">
        <v>3</v>
      </c>
      <c r="F44" s="23" t="s">
        <v>11</v>
      </c>
    </row>
    <row r="45" spans="1:6" outlineLevel="2">
      <c r="A45" s="21" t="s">
        <v>1035</v>
      </c>
      <c r="B45" s="22" t="s">
        <v>1291</v>
      </c>
      <c r="C45" s="22" t="s">
        <v>1567</v>
      </c>
      <c r="D45" s="22">
        <v>43</v>
      </c>
      <c r="E45" s="22">
        <v>2</v>
      </c>
      <c r="F45" s="23" t="s">
        <v>11</v>
      </c>
    </row>
    <row r="46" spans="1:6" outlineLevel="2">
      <c r="A46" s="21" t="s">
        <v>1035</v>
      </c>
      <c r="B46" s="22" t="s">
        <v>1291</v>
      </c>
      <c r="C46" s="22" t="s">
        <v>636</v>
      </c>
      <c r="D46" s="22">
        <v>49</v>
      </c>
      <c r="E46" s="22">
        <v>4</v>
      </c>
      <c r="F46" s="23" t="s">
        <v>11</v>
      </c>
    </row>
    <row r="47" spans="1:6" outlineLevel="2">
      <c r="A47" s="21" t="s">
        <v>1035</v>
      </c>
      <c r="B47" s="22" t="s">
        <v>1291</v>
      </c>
      <c r="C47" s="22" t="s">
        <v>340</v>
      </c>
      <c r="D47" s="22">
        <v>57</v>
      </c>
      <c r="E47" s="22">
        <v>2</v>
      </c>
      <c r="F47" s="23" t="s">
        <v>11</v>
      </c>
    </row>
    <row r="48" spans="1:6" outlineLevel="2">
      <c r="A48" s="21" t="s">
        <v>1035</v>
      </c>
      <c r="B48" s="22" t="s">
        <v>1042</v>
      </c>
      <c r="C48" s="22" t="s">
        <v>10</v>
      </c>
      <c r="D48" s="22">
        <v>52</v>
      </c>
      <c r="E48" s="22">
        <v>3</v>
      </c>
      <c r="F48" s="23" t="s">
        <v>11</v>
      </c>
    </row>
    <row r="49" spans="1:6" outlineLevel="2">
      <c r="A49" s="21" t="s">
        <v>1035</v>
      </c>
      <c r="B49" s="22" t="s">
        <v>1042</v>
      </c>
      <c r="C49" s="22" t="s">
        <v>340</v>
      </c>
      <c r="D49" s="22">
        <v>52</v>
      </c>
      <c r="E49" s="22">
        <v>2</v>
      </c>
      <c r="F49" s="23" t="s">
        <v>11</v>
      </c>
    </row>
    <row r="50" spans="1:6" outlineLevel="2">
      <c r="A50" s="21" t="s">
        <v>1035</v>
      </c>
      <c r="B50" s="22" t="s">
        <v>1044</v>
      </c>
      <c r="C50" s="22" t="s">
        <v>10</v>
      </c>
      <c r="D50" s="22">
        <v>56</v>
      </c>
      <c r="E50" s="22">
        <v>3</v>
      </c>
      <c r="F50" s="23" t="s">
        <v>11</v>
      </c>
    </row>
    <row r="51" spans="1:6" outlineLevel="2">
      <c r="A51" s="21" t="s">
        <v>1035</v>
      </c>
      <c r="B51" s="22" t="s">
        <v>1690</v>
      </c>
      <c r="C51" s="22" t="s">
        <v>1692</v>
      </c>
      <c r="D51" s="22">
        <v>46</v>
      </c>
      <c r="E51" s="22">
        <v>2</v>
      </c>
      <c r="F51" s="23" t="s">
        <v>583</v>
      </c>
    </row>
    <row r="52" spans="1:6" outlineLevel="2">
      <c r="A52" s="21" t="s">
        <v>1035</v>
      </c>
      <c r="B52" s="22" t="s">
        <v>1046</v>
      </c>
      <c r="C52" s="22" t="s">
        <v>10</v>
      </c>
      <c r="D52" s="22">
        <v>54</v>
      </c>
      <c r="E52" s="22">
        <v>3</v>
      </c>
      <c r="F52" s="23" t="s">
        <v>11</v>
      </c>
    </row>
    <row r="53" spans="1:6" outlineLevel="2">
      <c r="A53" s="21" t="s">
        <v>1035</v>
      </c>
      <c r="B53" s="22" t="s">
        <v>1549</v>
      </c>
      <c r="C53" s="22" t="s">
        <v>636</v>
      </c>
      <c r="D53" s="22">
        <v>44</v>
      </c>
      <c r="E53" s="22">
        <v>4</v>
      </c>
      <c r="F53" s="23" t="s">
        <v>11</v>
      </c>
    </row>
    <row r="54" spans="1:6" outlineLevel="2">
      <c r="A54" s="21" t="s">
        <v>1035</v>
      </c>
      <c r="B54" s="22" t="s">
        <v>1551</v>
      </c>
      <c r="C54" s="22" t="s">
        <v>636</v>
      </c>
      <c r="D54" s="22">
        <v>42</v>
      </c>
      <c r="E54" s="22">
        <v>4</v>
      </c>
      <c r="F54" s="23" t="s">
        <v>11</v>
      </c>
    </row>
    <row r="55" spans="1:6" outlineLevel="2">
      <c r="A55" s="21" t="s">
        <v>1035</v>
      </c>
      <c r="B55" s="22" t="s">
        <v>1553</v>
      </c>
      <c r="C55" s="22" t="s">
        <v>636</v>
      </c>
      <c r="D55" s="22">
        <v>46</v>
      </c>
      <c r="E55" s="22">
        <v>4</v>
      </c>
      <c r="F55" s="23" t="s">
        <v>11</v>
      </c>
    </row>
    <row r="56" spans="1:6" outlineLevel="2">
      <c r="A56" s="21" t="s">
        <v>1035</v>
      </c>
      <c r="B56" s="22" t="s">
        <v>1048</v>
      </c>
      <c r="C56" s="22" t="s">
        <v>10</v>
      </c>
      <c r="D56" s="22">
        <v>55</v>
      </c>
      <c r="E56" s="22">
        <v>3</v>
      </c>
      <c r="F56" s="23" t="s">
        <v>11</v>
      </c>
    </row>
    <row r="57" spans="1:6" outlineLevel="2">
      <c r="A57" s="21" t="s">
        <v>1035</v>
      </c>
      <c r="B57" s="22" t="s">
        <v>1293</v>
      </c>
      <c r="C57" s="22" t="s">
        <v>636</v>
      </c>
      <c r="D57" s="22">
        <v>52</v>
      </c>
      <c r="E57" s="22">
        <v>4</v>
      </c>
      <c r="F57" s="23" t="s">
        <v>11</v>
      </c>
    </row>
    <row r="58" spans="1:6" outlineLevel="2">
      <c r="A58" s="21" t="s">
        <v>1035</v>
      </c>
      <c r="B58" s="22" t="s">
        <v>1293</v>
      </c>
      <c r="C58" s="22" t="s">
        <v>340</v>
      </c>
      <c r="D58" s="22">
        <v>46</v>
      </c>
      <c r="E58" s="22">
        <v>2</v>
      </c>
      <c r="F58" s="23" t="s">
        <v>11</v>
      </c>
    </row>
    <row r="59" spans="1:6" outlineLevel="2">
      <c r="A59" s="21" t="s">
        <v>1035</v>
      </c>
      <c r="B59" s="22" t="s">
        <v>1050</v>
      </c>
      <c r="C59" s="22" t="s">
        <v>10</v>
      </c>
      <c r="D59" s="22">
        <v>55</v>
      </c>
      <c r="E59" s="22">
        <v>3</v>
      </c>
      <c r="F59" s="23" t="s">
        <v>11</v>
      </c>
    </row>
    <row r="60" spans="1:6" outlineLevel="2">
      <c r="A60" s="21" t="s">
        <v>1035</v>
      </c>
      <c r="B60" s="22" t="s">
        <v>1052</v>
      </c>
      <c r="C60" s="22" t="s">
        <v>10</v>
      </c>
      <c r="D60" s="22">
        <v>51</v>
      </c>
      <c r="E60" s="22">
        <v>3</v>
      </c>
      <c r="F60" s="23" t="s">
        <v>11</v>
      </c>
    </row>
    <row r="61" spans="1:6" outlineLevel="1">
      <c r="A61" s="24" t="s">
        <v>1863</v>
      </c>
      <c r="B61" s="22">
        <f>SUBTOTAL(3,B40:B60)</f>
        <v>21</v>
      </c>
      <c r="C61" s="22"/>
      <c r="D61" s="22"/>
      <c r="E61" s="22"/>
      <c r="F61" s="23"/>
    </row>
    <row r="62" spans="1:6" outlineLevel="2">
      <c r="A62" s="21" t="s">
        <v>1083</v>
      </c>
      <c r="B62" s="22" t="s">
        <v>1084</v>
      </c>
      <c r="C62" s="22" t="s">
        <v>10</v>
      </c>
      <c r="D62" s="22">
        <v>42</v>
      </c>
      <c r="E62" s="22">
        <v>3</v>
      </c>
      <c r="F62" s="23" t="s">
        <v>11</v>
      </c>
    </row>
    <row r="63" spans="1:6" outlineLevel="2">
      <c r="A63" s="21" t="s">
        <v>1083</v>
      </c>
      <c r="B63" s="22" t="s">
        <v>1693</v>
      </c>
      <c r="C63" s="22" t="s">
        <v>1695</v>
      </c>
      <c r="D63" s="22">
        <v>54</v>
      </c>
      <c r="E63" s="22">
        <v>3</v>
      </c>
      <c r="F63" s="23" t="s">
        <v>11</v>
      </c>
    </row>
    <row r="64" spans="1:6" outlineLevel="2">
      <c r="A64" s="21" t="s">
        <v>1083</v>
      </c>
      <c r="B64" s="22" t="s">
        <v>1696</v>
      </c>
      <c r="C64" s="22" t="s">
        <v>1695</v>
      </c>
      <c r="D64" s="22">
        <v>57</v>
      </c>
      <c r="E64" s="22">
        <v>3</v>
      </c>
      <c r="F64" s="23" t="s">
        <v>11</v>
      </c>
    </row>
    <row r="65" spans="1:6" outlineLevel="2">
      <c r="A65" s="21" t="s">
        <v>1083</v>
      </c>
      <c r="B65" s="22" t="s">
        <v>1086</v>
      </c>
      <c r="C65" s="22" t="s">
        <v>636</v>
      </c>
      <c r="D65" s="22">
        <v>51</v>
      </c>
      <c r="E65" s="22">
        <v>4</v>
      </c>
      <c r="F65" s="23" t="s">
        <v>11</v>
      </c>
    </row>
    <row r="66" spans="1:6" outlineLevel="2">
      <c r="A66" s="21" t="s">
        <v>1083</v>
      </c>
      <c r="B66" s="22" t="s">
        <v>1086</v>
      </c>
      <c r="C66" s="22" t="s">
        <v>10</v>
      </c>
      <c r="D66" s="22">
        <v>54</v>
      </c>
      <c r="E66" s="22">
        <v>3</v>
      </c>
      <c r="F66" s="23" t="s">
        <v>11</v>
      </c>
    </row>
    <row r="67" spans="1:6" outlineLevel="2">
      <c r="A67" s="21" t="s">
        <v>1083</v>
      </c>
      <c r="B67" s="22" t="s">
        <v>1088</v>
      </c>
      <c r="C67" s="22" t="s">
        <v>10</v>
      </c>
      <c r="D67" s="22">
        <v>59</v>
      </c>
      <c r="E67" s="22">
        <v>3</v>
      </c>
      <c r="F67" s="23" t="s">
        <v>11</v>
      </c>
    </row>
    <row r="68" spans="1:6" outlineLevel="2">
      <c r="A68" s="21" t="s">
        <v>1083</v>
      </c>
      <c r="B68" s="22" t="s">
        <v>1090</v>
      </c>
      <c r="C68" s="22" t="s">
        <v>10</v>
      </c>
      <c r="D68" s="22">
        <v>56</v>
      </c>
      <c r="E68" s="22">
        <v>3</v>
      </c>
      <c r="F68" s="23" t="s">
        <v>11</v>
      </c>
    </row>
    <row r="69" spans="1:6" outlineLevel="2">
      <c r="A69" s="21" t="s">
        <v>1083</v>
      </c>
      <c r="B69" s="22" t="s">
        <v>1698</v>
      </c>
      <c r="C69" s="22" t="s">
        <v>1695</v>
      </c>
      <c r="D69" s="22">
        <v>58</v>
      </c>
      <c r="E69" s="22">
        <v>3</v>
      </c>
      <c r="F69" s="23" t="s">
        <v>11</v>
      </c>
    </row>
    <row r="70" spans="1:6" outlineLevel="2">
      <c r="A70" s="21" t="s">
        <v>1083</v>
      </c>
      <c r="B70" s="22" t="s">
        <v>1700</v>
      </c>
      <c r="C70" s="22" t="s">
        <v>1695</v>
      </c>
      <c r="D70" s="22">
        <v>56</v>
      </c>
      <c r="E70" s="22">
        <v>3</v>
      </c>
      <c r="F70" s="23" t="s">
        <v>11</v>
      </c>
    </row>
    <row r="71" spans="1:6" outlineLevel="2">
      <c r="A71" s="21" t="s">
        <v>1083</v>
      </c>
      <c r="B71" s="22" t="s">
        <v>1092</v>
      </c>
      <c r="C71" s="22" t="s">
        <v>10</v>
      </c>
      <c r="D71" s="22">
        <v>53</v>
      </c>
      <c r="E71" s="22">
        <v>3</v>
      </c>
      <c r="F71" s="23" t="s">
        <v>11</v>
      </c>
    </row>
    <row r="72" spans="1:6" outlineLevel="2">
      <c r="A72" s="21" t="s">
        <v>1083</v>
      </c>
      <c r="B72" s="22" t="s">
        <v>1092</v>
      </c>
      <c r="C72" s="22" t="s">
        <v>709</v>
      </c>
      <c r="D72" s="22">
        <v>54</v>
      </c>
      <c r="E72" s="22">
        <v>2</v>
      </c>
      <c r="F72" s="23" t="s">
        <v>11</v>
      </c>
    </row>
    <row r="73" spans="1:6" outlineLevel="2">
      <c r="A73" s="21" t="s">
        <v>1083</v>
      </c>
      <c r="B73" s="22" t="s">
        <v>1399</v>
      </c>
      <c r="C73" s="22" t="s">
        <v>636</v>
      </c>
      <c r="D73" s="22">
        <v>55</v>
      </c>
      <c r="E73" s="22">
        <v>4</v>
      </c>
      <c r="F73" s="23" t="s">
        <v>11</v>
      </c>
    </row>
    <row r="74" spans="1:6" outlineLevel="2">
      <c r="A74" s="21" t="s">
        <v>1083</v>
      </c>
      <c r="B74" s="22" t="s">
        <v>1399</v>
      </c>
      <c r="C74" s="22" t="s">
        <v>1695</v>
      </c>
      <c r="D74" s="22">
        <v>57</v>
      </c>
      <c r="E74" s="22">
        <v>3</v>
      </c>
      <c r="F74" s="23" t="s">
        <v>11</v>
      </c>
    </row>
    <row r="75" spans="1:6" outlineLevel="2">
      <c r="A75" s="21" t="s">
        <v>1083</v>
      </c>
      <c r="B75" s="22" t="s">
        <v>1399</v>
      </c>
      <c r="C75" s="22" t="s">
        <v>340</v>
      </c>
      <c r="D75" s="22">
        <v>56</v>
      </c>
      <c r="E75" s="22">
        <v>2</v>
      </c>
      <c r="F75" s="23" t="s">
        <v>11</v>
      </c>
    </row>
    <row r="76" spans="1:6" outlineLevel="2">
      <c r="A76" s="21" t="s">
        <v>1083</v>
      </c>
      <c r="B76" s="22" t="s">
        <v>1400</v>
      </c>
      <c r="C76" s="22" t="s">
        <v>636</v>
      </c>
      <c r="D76" s="22">
        <v>41</v>
      </c>
      <c r="E76" s="22">
        <v>4</v>
      </c>
      <c r="F76" s="23" t="s">
        <v>11</v>
      </c>
    </row>
    <row r="77" spans="1:6" outlineLevel="2">
      <c r="A77" s="21" t="s">
        <v>1083</v>
      </c>
      <c r="B77" s="22" t="s">
        <v>1400</v>
      </c>
      <c r="C77" s="22" t="s">
        <v>340</v>
      </c>
      <c r="D77" s="22">
        <v>46</v>
      </c>
      <c r="E77" s="22">
        <v>2</v>
      </c>
      <c r="F77" s="23" t="s">
        <v>11</v>
      </c>
    </row>
    <row r="78" spans="1:6" outlineLevel="2">
      <c r="A78" s="21" t="s">
        <v>1083</v>
      </c>
      <c r="B78" s="22" t="s">
        <v>1094</v>
      </c>
      <c r="C78" s="22" t="s">
        <v>10</v>
      </c>
      <c r="D78" s="22">
        <v>57</v>
      </c>
      <c r="E78" s="22">
        <v>3</v>
      </c>
      <c r="F78" s="23" t="s">
        <v>11</v>
      </c>
    </row>
    <row r="79" spans="1:6" outlineLevel="2">
      <c r="A79" s="21" t="s">
        <v>1083</v>
      </c>
      <c r="B79" s="22" t="s">
        <v>1096</v>
      </c>
      <c r="C79" s="22" t="s">
        <v>10</v>
      </c>
      <c r="D79" s="22">
        <v>51</v>
      </c>
      <c r="E79" s="22">
        <v>3</v>
      </c>
      <c r="F79" s="23" t="s">
        <v>11</v>
      </c>
    </row>
    <row r="80" spans="1:6" outlineLevel="2">
      <c r="A80" s="21" t="s">
        <v>1083</v>
      </c>
      <c r="B80" s="22" t="s">
        <v>1098</v>
      </c>
      <c r="C80" s="22" t="s">
        <v>10</v>
      </c>
      <c r="D80" s="22">
        <v>45</v>
      </c>
      <c r="E80" s="22">
        <v>3</v>
      </c>
      <c r="F80" s="23" t="s">
        <v>11</v>
      </c>
    </row>
    <row r="81" spans="1:6" outlineLevel="2">
      <c r="A81" s="21" t="s">
        <v>1083</v>
      </c>
      <c r="B81" s="22" t="s">
        <v>1402</v>
      </c>
      <c r="C81" s="22" t="s">
        <v>636</v>
      </c>
      <c r="D81" s="22">
        <v>57</v>
      </c>
      <c r="E81" s="22">
        <v>4</v>
      </c>
      <c r="F81" s="23" t="s">
        <v>11</v>
      </c>
    </row>
    <row r="82" spans="1:6" outlineLevel="2">
      <c r="A82" s="21" t="s">
        <v>1083</v>
      </c>
      <c r="B82" s="22" t="s">
        <v>1402</v>
      </c>
      <c r="C82" s="22" t="s">
        <v>340</v>
      </c>
      <c r="D82" s="22">
        <v>53</v>
      </c>
      <c r="E82" s="22">
        <v>2</v>
      </c>
      <c r="F82" s="23" t="s">
        <v>11</v>
      </c>
    </row>
    <row r="83" spans="1:6" outlineLevel="2">
      <c r="A83" s="21" t="s">
        <v>1083</v>
      </c>
      <c r="B83" s="22" t="s">
        <v>1100</v>
      </c>
      <c r="C83" s="22" t="s">
        <v>636</v>
      </c>
      <c r="D83" s="22">
        <v>41</v>
      </c>
      <c r="E83" s="22">
        <v>4</v>
      </c>
      <c r="F83" s="23" t="s">
        <v>11</v>
      </c>
    </row>
    <row r="84" spans="1:6" outlineLevel="2">
      <c r="A84" s="21" t="s">
        <v>1083</v>
      </c>
      <c r="B84" s="22" t="s">
        <v>1100</v>
      </c>
      <c r="C84" s="22" t="s">
        <v>10</v>
      </c>
      <c r="D84" s="22">
        <v>45</v>
      </c>
      <c r="E84" s="22">
        <v>3</v>
      </c>
      <c r="F84" s="23" t="s">
        <v>11</v>
      </c>
    </row>
    <row r="85" spans="1:6" outlineLevel="2">
      <c r="A85" s="21" t="s">
        <v>1083</v>
      </c>
      <c r="B85" s="22" t="s">
        <v>1702</v>
      </c>
      <c r="C85" s="22" t="s">
        <v>1695</v>
      </c>
      <c r="D85" s="22">
        <v>51</v>
      </c>
      <c r="E85" s="22">
        <v>3</v>
      </c>
      <c r="F85" s="23" t="s">
        <v>11</v>
      </c>
    </row>
    <row r="86" spans="1:6" outlineLevel="1">
      <c r="A86" s="24" t="s">
        <v>1864</v>
      </c>
      <c r="B86" s="22">
        <f>SUBTOTAL(3,B62:B85)</f>
        <v>24</v>
      </c>
      <c r="C86" s="22"/>
      <c r="D86" s="22"/>
      <c r="E86" s="22"/>
      <c r="F86" s="23"/>
    </row>
    <row r="87" spans="1:6" outlineLevel="2">
      <c r="A87" s="21" t="s">
        <v>1428</v>
      </c>
      <c r="B87" s="22" t="s">
        <v>1429</v>
      </c>
      <c r="C87" s="22" t="s">
        <v>340</v>
      </c>
      <c r="D87" s="22">
        <v>45</v>
      </c>
      <c r="E87" s="22">
        <v>2</v>
      </c>
      <c r="F87" s="23" t="s">
        <v>11</v>
      </c>
    </row>
    <row r="88" spans="1:6" outlineLevel="2">
      <c r="A88" s="21" t="s">
        <v>1428</v>
      </c>
      <c r="B88" s="22" t="s">
        <v>1471</v>
      </c>
      <c r="C88" s="22" t="s">
        <v>636</v>
      </c>
      <c r="D88" s="22">
        <v>41</v>
      </c>
      <c r="E88" s="22">
        <v>3</v>
      </c>
      <c r="F88" s="23" t="s">
        <v>11</v>
      </c>
    </row>
    <row r="89" spans="1:6" outlineLevel="2">
      <c r="A89" s="21" t="s">
        <v>1428</v>
      </c>
      <c r="B89" s="22" t="s">
        <v>1431</v>
      </c>
      <c r="C89" s="22" t="s">
        <v>340</v>
      </c>
      <c r="D89" s="22">
        <v>48</v>
      </c>
      <c r="E89" s="22">
        <v>2</v>
      </c>
      <c r="F89" s="23" t="s">
        <v>11</v>
      </c>
    </row>
    <row r="90" spans="1:6" outlineLevel="2">
      <c r="A90" s="21" t="s">
        <v>1428</v>
      </c>
      <c r="B90" s="22" t="s">
        <v>1565</v>
      </c>
      <c r="C90" s="22" t="s">
        <v>636</v>
      </c>
      <c r="D90" s="22">
        <v>58</v>
      </c>
      <c r="E90" s="22">
        <v>3</v>
      </c>
      <c r="F90" s="23" t="s">
        <v>11</v>
      </c>
    </row>
    <row r="91" spans="1:6" outlineLevel="1">
      <c r="A91" s="24" t="s">
        <v>1865</v>
      </c>
      <c r="B91" s="22">
        <f>SUBTOTAL(3,B87:B90)</f>
        <v>4</v>
      </c>
      <c r="C91" s="22"/>
      <c r="D91" s="22"/>
      <c r="E91" s="22"/>
      <c r="F91" s="23"/>
    </row>
    <row r="92" spans="1:6" outlineLevel="2">
      <c r="A92" s="21" t="s">
        <v>1135</v>
      </c>
      <c r="B92" s="22" t="s">
        <v>1136</v>
      </c>
      <c r="C92" s="22" t="s">
        <v>10</v>
      </c>
      <c r="D92" s="22">
        <v>52</v>
      </c>
      <c r="E92" s="22">
        <v>3</v>
      </c>
      <c r="F92" s="23" t="s">
        <v>11</v>
      </c>
    </row>
    <row r="93" spans="1:6" outlineLevel="2">
      <c r="A93" s="21" t="s">
        <v>1135</v>
      </c>
      <c r="B93" s="22" t="s">
        <v>1138</v>
      </c>
      <c r="C93" s="22" t="s">
        <v>10</v>
      </c>
      <c r="D93" s="22">
        <v>52</v>
      </c>
      <c r="E93" s="22">
        <v>3</v>
      </c>
      <c r="F93" s="23" t="s">
        <v>11</v>
      </c>
    </row>
    <row r="94" spans="1:6" outlineLevel="2">
      <c r="A94" s="21" t="s">
        <v>1135</v>
      </c>
      <c r="B94" s="22" t="s">
        <v>1138</v>
      </c>
      <c r="C94" s="22" t="s">
        <v>340</v>
      </c>
      <c r="D94" s="22">
        <v>42</v>
      </c>
      <c r="E94" s="22">
        <v>2</v>
      </c>
      <c r="F94" s="23" t="s">
        <v>11</v>
      </c>
    </row>
    <row r="95" spans="1:6" outlineLevel="2">
      <c r="A95" s="21" t="s">
        <v>1135</v>
      </c>
      <c r="B95" s="22" t="s">
        <v>1339</v>
      </c>
      <c r="C95" s="22" t="s">
        <v>340</v>
      </c>
      <c r="D95" s="22">
        <v>55</v>
      </c>
      <c r="E95" s="22">
        <v>2</v>
      </c>
      <c r="F95" s="23" t="s">
        <v>11</v>
      </c>
    </row>
    <row r="96" spans="1:6" outlineLevel="2">
      <c r="A96" s="21" t="s">
        <v>1135</v>
      </c>
      <c r="B96" s="22" t="s">
        <v>1563</v>
      </c>
      <c r="C96" s="22" t="s">
        <v>636</v>
      </c>
      <c r="D96" s="22">
        <v>52</v>
      </c>
      <c r="E96" s="22">
        <v>3</v>
      </c>
      <c r="F96" s="23" t="s">
        <v>11</v>
      </c>
    </row>
    <row r="97" spans="1:6" outlineLevel="2">
      <c r="A97" s="21" t="s">
        <v>1135</v>
      </c>
      <c r="B97" s="22" t="s">
        <v>1341</v>
      </c>
      <c r="C97" s="22" t="s">
        <v>636</v>
      </c>
      <c r="D97" s="22">
        <v>46</v>
      </c>
      <c r="E97" s="22">
        <v>3</v>
      </c>
      <c r="F97" s="23" t="s">
        <v>11</v>
      </c>
    </row>
    <row r="98" spans="1:6" outlineLevel="2">
      <c r="A98" s="21" t="s">
        <v>1135</v>
      </c>
      <c r="B98" s="22" t="s">
        <v>1341</v>
      </c>
      <c r="C98" s="22" t="s">
        <v>340</v>
      </c>
      <c r="D98" s="22">
        <v>49</v>
      </c>
      <c r="E98" s="22">
        <v>2</v>
      </c>
      <c r="F98" s="23" t="s">
        <v>11</v>
      </c>
    </row>
    <row r="99" spans="1:6" outlineLevel="2">
      <c r="A99" s="21" t="s">
        <v>1135</v>
      </c>
      <c r="B99" s="22" t="s">
        <v>1140</v>
      </c>
      <c r="C99" s="22" t="s">
        <v>10</v>
      </c>
      <c r="D99" s="22">
        <v>58</v>
      </c>
      <c r="E99" s="22">
        <v>3</v>
      </c>
      <c r="F99" s="23" t="s">
        <v>11</v>
      </c>
    </row>
    <row r="100" spans="1:6" outlineLevel="2">
      <c r="A100" s="21" t="s">
        <v>1135</v>
      </c>
      <c r="B100" s="22" t="s">
        <v>1343</v>
      </c>
      <c r="C100" s="22" t="s">
        <v>340</v>
      </c>
      <c r="D100" s="22">
        <v>52</v>
      </c>
      <c r="E100" s="22">
        <v>2</v>
      </c>
      <c r="F100" s="23" t="s">
        <v>11</v>
      </c>
    </row>
    <row r="101" spans="1:6" outlineLevel="2">
      <c r="A101" s="21" t="s">
        <v>1135</v>
      </c>
      <c r="B101" s="22" t="s">
        <v>1345</v>
      </c>
      <c r="C101" s="22" t="s">
        <v>340</v>
      </c>
      <c r="D101" s="22">
        <v>43</v>
      </c>
      <c r="E101" s="22">
        <v>2</v>
      </c>
      <c r="F101" s="23" t="s">
        <v>11</v>
      </c>
    </row>
    <row r="102" spans="1:6" outlineLevel="2">
      <c r="A102" s="21" t="s">
        <v>1135</v>
      </c>
      <c r="B102" s="22" t="s">
        <v>1142</v>
      </c>
      <c r="C102" s="22" t="s">
        <v>636</v>
      </c>
      <c r="D102" s="22">
        <v>58</v>
      </c>
      <c r="E102" s="22">
        <v>3</v>
      </c>
      <c r="F102" s="23" t="s">
        <v>11</v>
      </c>
    </row>
    <row r="103" spans="1:6" outlineLevel="2">
      <c r="A103" s="21" t="s">
        <v>1135</v>
      </c>
      <c r="B103" s="22" t="s">
        <v>1142</v>
      </c>
      <c r="C103" s="22" t="s">
        <v>10</v>
      </c>
      <c r="D103" s="22">
        <v>54</v>
      </c>
      <c r="E103" s="22">
        <v>3</v>
      </c>
      <c r="F103" s="23" t="s">
        <v>11</v>
      </c>
    </row>
    <row r="104" spans="1:6" outlineLevel="2">
      <c r="A104" s="21" t="s">
        <v>1135</v>
      </c>
      <c r="B104" s="22" t="s">
        <v>1347</v>
      </c>
      <c r="C104" s="22" t="s">
        <v>340</v>
      </c>
      <c r="D104" s="22">
        <v>56</v>
      </c>
      <c r="E104" s="22">
        <v>2</v>
      </c>
      <c r="F104" s="23" t="s">
        <v>11</v>
      </c>
    </row>
    <row r="105" spans="1:6" outlineLevel="2">
      <c r="A105" s="21" t="s">
        <v>1135</v>
      </c>
      <c r="B105" s="22" t="s">
        <v>1349</v>
      </c>
      <c r="C105" s="22" t="s">
        <v>636</v>
      </c>
      <c r="D105" s="22">
        <v>56</v>
      </c>
      <c r="E105" s="22">
        <v>3</v>
      </c>
      <c r="F105" s="23" t="s">
        <v>11</v>
      </c>
    </row>
    <row r="106" spans="1:6" outlineLevel="2">
      <c r="A106" s="21" t="s">
        <v>1135</v>
      </c>
      <c r="B106" s="22" t="s">
        <v>1349</v>
      </c>
      <c r="C106" s="22" t="s">
        <v>340</v>
      </c>
      <c r="D106" s="22">
        <v>51</v>
      </c>
      <c r="E106" s="22">
        <v>2</v>
      </c>
      <c r="F106" s="23" t="s">
        <v>11</v>
      </c>
    </row>
    <row r="107" spans="1:6" outlineLevel="1">
      <c r="A107" s="24" t="s">
        <v>1866</v>
      </c>
      <c r="B107" s="22">
        <f>SUBTOTAL(3,B92:B106)</f>
        <v>15</v>
      </c>
      <c r="C107" s="22"/>
      <c r="D107" s="22"/>
      <c r="E107" s="22"/>
      <c r="F107" s="23"/>
    </row>
    <row r="108" spans="1:6" outlineLevel="2">
      <c r="A108" s="21" t="s">
        <v>1200</v>
      </c>
      <c r="B108" s="22" t="s">
        <v>1515</v>
      </c>
      <c r="C108" s="22" t="s">
        <v>636</v>
      </c>
      <c r="D108" s="22">
        <v>46</v>
      </c>
      <c r="E108" s="22">
        <v>4</v>
      </c>
      <c r="F108" s="23" t="s">
        <v>11</v>
      </c>
    </row>
    <row r="109" spans="1:6" outlineLevel="2">
      <c r="A109" s="21" t="s">
        <v>1200</v>
      </c>
      <c r="B109" s="22" t="s">
        <v>1295</v>
      </c>
      <c r="C109" s="22" t="s">
        <v>340</v>
      </c>
      <c r="D109" s="22">
        <v>47</v>
      </c>
      <c r="E109" s="22">
        <v>2</v>
      </c>
      <c r="F109" s="23" t="s">
        <v>11</v>
      </c>
    </row>
    <row r="110" spans="1:6" outlineLevel="2">
      <c r="A110" s="21" t="s">
        <v>1200</v>
      </c>
      <c r="B110" s="22" t="s">
        <v>1595</v>
      </c>
      <c r="C110" s="22" t="s">
        <v>1727</v>
      </c>
      <c r="D110" s="22">
        <v>44</v>
      </c>
      <c r="E110" s="22">
        <v>3</v>
      </c>
      <c r="F110" s="23" t="s">
        <v>11</v>
      </c>
    </row>
    <row r="111" spans="1:6" outlineLevel="2">
      <c r="A111" s="21" t="s">
        <v>1200</v>
      </c>
      <c r="B111" s="22" t="s">
        <v>1595</v>
      </c>
      <c r="C111" s="22" t="s">
        <v>1695</v>
      </c>
      <c r="D111" s="22">
        <v>52</v>
      </c>
      <c r="E111" s="22">
        <v>3</v>
      </c>
      <c r="F111" s="23" t="s">
        <v>11</v>
      </c>
    </row>
    <row r="112" spans="1:6" outlineLevel="2">
      <c r="A112" s="21" t="s">
        <v>1200</v>
      </c>
      <c r="B112" s="22" t="s">
        <v>1441</v>
      </c>
      <c r="C112" s="22" t="s">
        <v>1695</v>
      </c>
      <c r="D112" s="22">
        <v>56</v>
      </c>
      <c r="E112" s="22">
        <v>3</v>
      </c>
      <c r="F112" s="23" t="s">
        <v>11</v>
      </c>
    </row>
    <row r="113" spans="1:6" outlineLevel="2">
      <c r="A113" s="21" t="s">
        <v>1200</v>
      </c>
      <c r="B113" s="22" t="s">
        <v>1297</v>
      </c>
      <c r="C113" s="22" t="s">
        <v>340</v>
      </c>
      <c r="D113" s="22">
        <v>51</v>
      </c>
      <c r="E113" s="22">
        <v>2</v>
      </c>
      <c r="F113" s="23" t="s">
        <v>11</v>
      </c>
    </row>
    <row r="114" spans="1:6" outlineLevel="2">
      <c r="A114" s="21" t="s">
        <v>1200</v>
      </c>
      <c r="B114" s="22" t="s">
        <v>1201</v>
      </c>
      <c r="C114" s="22" t="s">
        <v>636</v>
      </c>
      <c r="D114" s="22">
        <v>42</v>
      </c>
      <c r="E114" s="22">
        <v>4</v>
      </c>
      <c r="F114" s="23" t="s">
        <v>11</v>
      </c>
    </row>
    <row r="115" spans="1:6" outlineLevel="2">
      <c r="A115" s="21" t="s">
        <v>1200</v>
      </c>
      <c r="B115" s="22" t="s">
        <v>1201</v>
      </c>
      <c r="C115" s="22" t="s">
        <v>1695</v>
      </c>
      <c r="D115" s="22">
        <v>46</v>
      </c>
      <c r="E115" s="22">
        <v>3</v>
      </c>
      <c r="F115" s="23" t="s">
        <v>11</v>
      </c>
    </row>
    <row r="116" spans="1:6" outlineLevel="2">
      <c r="A116" s="21" t="s">
        <v>1200</v>
      </c>
      <c r="B116" s="22" t="s">
        <v>1201</v>
      </c>
      <c r="C116" s="22" t="s">
        <v>10</v>
      </c>
      <c r="D116" s="22">
        <v>57</v>
      </c>
      <c r="E116" s="22">
        <v>3</v>
      </c>
      <c r="F116" s="23" t="s">
        <v>11</v>
      </c>
    </row>
    <row r="117" spans="1:6" outlineLevel="2">
      <c r="A117" s="21" t="s">
        <v>1200</v>
      </c>
      <c r="B117" s="22" t="s">
        <v>1201</v>
      </c>
      <c r="C117" s="22" t="s">
        <v>340</v>
      </c>
      <c r="D117" s="22">
        <v>46</v>
      </c>
      <c r="E117" s="22">
        <v>2</v>
      </c>
      <c r="F117" s="23" t="s">
        <v>11</v>
      </c>
    </row>
    <row r="118" spans="1:6" outlineLevel="2">
      <c r="A118" s="21" t="s">
        <v>1200</v>
      </c>
      <c r="B118" s="22" t="s">
        <v>1203</v>
      </c>
      <c r="C118" s="22" t="s">
        <v>636</v>
      </c>
      <c r="D118" s="22">
        <v>40</v>
      </c>
      <c r="E118" s="22">
        <v>4</v>
      </c>
      <c r="F118" s="23" t="s">
        <v>11</v>
      </c>
    </row>
    <row r="119" spans="1:6" outlineLevel="2">
      <c r="A119" s="21" t="s">
        <v>1200</v>
      </c>
      <c r="B119" s="22" t="s">
        <v>1203</v>
      </c>
      <c r="C119" s="22" t="s">
        <v>1695</v>
      </c>
      <c r="D119" s="22">
        <v>49</v>
      </c>
      <c r="E119" s="22">
        <v>3</v>
      </c>
      <c r="F119" s="23" t="s">
        <v>11</v>
      </c>
    </row>
    <row r="120" spans="1:6" outlineLevel="2">
      <c r="A120" s="21" t="s">
        <v>1200</v>
      </c>
      <c r="B120" s="22" t="s">
        <v>1203</v>
      </c>
      <c r="C120" s="22" t="s">
        <v>10</v>
      </c>
      <c r="D120" s="22">
        <v>40</v>
      </c>
      <c r="E120" s="22">
        <v>3</v>
      </c>
      <c r="F120" s="23" t="s">
        <v>11</v>
      </c>
    </row>
    <row r="121" spans="1:6" outlineLevel="2">
      <c r="A121" s="21" t="s">
        <v>1200</v>
      </c>
      <c r="B121" s="22" t="s">
        <v>1203</v>
      </c>
      <c r="C121" s="22" t="s">
        <v>340</v>
      </c>
      <c r="D121" s="22">
        <v>55</v>
      </c>
      <c r="E121" s="22">
        <v>2</v>
      </c>
      <c r="F121" s="23" t="s">
        <v>11</v>
      </c>
    </row>
    <row r="122" spans="1:6" outlineLevel="2">
      <c r="A122" s="21" t="s">
        <v>1200</v>
      </c>
      <c r="B122" s="22" t="s">
        <v>1205</v>
      </c>
      <c r="C122" s="22" t="s">
        <v>1727</v>
      </c>
      <c r="D122" s="22">
        <v>54</v>
      </c>
      <c r="E122" s="22">
        <v>3</v>
      </c>
      <c r="F122" s="23" t="s">
        <v>11</v>
      </c>
    </row>
    <row r="123" spans="1:6" outlineLevel="2">
      <c r="A123" s="21" t="s">
        <v>1200</v>
      </c>
      <c r="B123" s="22" t="s">
        <v>1205</v>
      </c>
      <c r="C123" s="22" t="s">
        <v>10</v>
      </c>
      <c r="D123" s="22">
        <v>55</v>
      </c>
      <c r="E123" s="22">
        <v>3</v>
      </c>
      <c r="F123" s="23" t="s">
        <v>11</v>
      </c>
    </row>
    <row r="124" spans="1:6" outlineLevel="2">
      <c r="A124" s="21" t="s">
        <v>1200</v>
      </c>
      <c r="B124" s="22" t="s">
        <v>1205</v>
      </c>
      <c r="C124" s="22" t="s">
        <v>340</v>
      </c>
      <c r="D124" s="22">
        <v>40</v>
      </c>
      <c r="E124" s="22">
        <v>2</v>
      </c>
      <c r="F124" s="23" t="s">
        <v>11</v>
      </c>
    </row>
    <row r="125" spans="1:6" outlineLevel="2">
      <c r="A125" s="21" t="s">
        <v>1200</v>
      </c>
      <c r="B125" s="22" t="s">
        <v>1207</v>
      </c>
      <c r="C125" s="22" t="s">
        <v>1727</v>
      </c>
      <c r="D125" s="22">
        <v>50</v>
      </c>
      <c r="E125" s="22">
        <v>3</v>
      </c>
      <c r="F125" s="23" t="s">
        <v>11</v>
      </c>
    </row>
    <row r="126" spans="1:6" outlineLevel="2">
      <c r="A126" s="21" t="s">
        <v>1200</v>
      </c>
      <c r="B126" s="22" t="s">
        <v>1207</v>
      </c>
      <c r="C126" s="22" t="s">
        <v>10</v>
      </c>
      <c r="D126" s="22">
        <v>53</v>
      </c>
      <c r="E126" s="22">
        <v>3</v>
      </c>
      <c r="F126" s="23" t="s">
        <v>11</v>
      </c>
    </row>
    <row r="127" spans="1:6" outlineLevel="2">
      <c r="A127" s="21" t="s">
        <v>1200</v>
      </c>
      <c r="B127" s="22" t="s">
        <v>1207</v>
      </c>
      <c r="C127" s="22" t="s">
        <v>340</v>
      </c>
      <c r="D127" s="22">
        <v>43</v>
      </c>
      <c r="E127" s="22">
        <v>2</v>
      </c>
      <c r="F127" s="23" t="s">
        <v>11</v>
      </c>
    </row>
    <row r="128" spans="1:6" outlineLevel="2">
      <c r="A128" s="21" t="s">
        <v>1200</v>
      </c>
      <c r="B128" s="22" t="s">
        <v>1728</v>
      </c>
      <c r="C128" s="22" t="s">
        <v>1727</v>
      </c>
      <c r="D128" s="22">
        <v>53</v>
      </c>
      <c r="E128" s="22">
        <v>3</v>
      </c>
      <c r="F128" s="23" t="s">
        <v>11</v>
      </c>
    </row>
    <row r="129" spans="1:6" outlineLevel="2">
      <c r="A129" s="21" t="s">
        <v>1200</v>
      </c>
      <c r="B129" s="22" t="s">
        <v>1299</v>
      </c>
      <c r="C129" s="22" t="s">
        <v>340</v>
      </c>
      <c r="D129" s="22">
        <v>40</v>
      </c>
      <c r="E129" s="22">
        <v>2</v>
      </c>
      <c r="F129" s="23" t="s">
        <v>11</v>
      </c>
    </row>
    <row r="130" spans="1:6" outlineLevel="2">
      <c r="A130" s="21" t="s">
        <v>1200</v>
      </c>
      <c r="B130" s="22" t="s">
        <v>1209</v>
      </c>
      <c r="C130" s="22" t="s">
        <v>636</v>
      </c>
      <c r="D130" s="22">
        <v>40</v>
      </c>
      <c r="E130" s="22">
        <v>4</v>
      </c>
      <c r="F130" s="23" t="s">
        <v>11</v>
      </c>
    </row>
    <row r="131" spans="1:6" outlineLevel="2">
      <c r="A131" s="21" t="s">
        <v>1200</v>
      </c>
      <c r="B131" s="22" t="s">
        <v>1209</v>
      </c>
      <c r="C131" s="22" t="s">
        <v>10</v>
      </c>
      <c r="D131" s="22">
        <v>56</v>
      </c>
      <c r="E131" s="22">
        <v>3</v>
      </c>
      <c r="F131" s="23" t="s">
        <v>11</v>
      </c>
    </row>
    <row r="132" spans="1:6" outlineLevel="2">
      <c r="A132" s="21" t="s">
        <v>1200</v>
      </c>
      <c r="B132" s="22" t="s">
        <v>1211</v>
      </c>
      <c r="C132" s="22" t="s">
        <v>636</v>
      </c>
      <c r="D132" s="22">
        <v>48</v>
      </c>
      <c r="E132" s="22">
        <v>4</v>
      </c>
      <c r="F132" s="23" t="s">
        <v>11</v>
      </c>
    </row>
    <row r="133" spans="1:6" outlineLevel="2">
      <c r="A133" s="21" t="s">
        <v>1200</v>
      </c>
      <c r="B133" s="22" t="s">
        <v>1211</v>
      </c>
      <c r="C133" s="22" t="s">
        <v>1695</v>
      </c>
      <c r="D133" s="22">
        <v>50</v>
      </c>
      <c r="E133" s="22">
        <v>3</v>
      </c>
      <c r="F133" s="23" t="s">
        <v>11</v>
      </c>
    </row>
    <row r="134" spans="1:6" outlineLevel="2">
      <c r="A134" s="21" t="s">
        <v>1200</v>
      </c>
      <c r="B134" s="22" t="s">
        <v>1211</v>
      </c>
      <c r="C134" s="22" t="s">
        <v>10</v>
      </c>
      <c r="D134" s="22">
        <v>51</v>
      </c>
      <c r="E134" s="22">
        <v>3</v>
      </c>
      <c r="F134" s="23" t="s">
        <v>11</v>
      </c>
    </row>
    <row r="135" spans="1:6" outlineLevel="2">
      <c r="A135" s="21" t="s">
        <v>1200</v>
      </c>
      <c r="B135" s="22" t="s">
        <v>1211</v>
      </c>
      <c r="C135" s="22" t="s">
        <v>340</v>
      </c>
      <c r="D135" s="22">
        <v>47</v>
      </c>
      <c r="E135" s="22">
        <v>2</v>
      </c>
      <c r="F135" s="23" t="s">
        <v>11</v>
      </c>
    </row>
    <row r="136" spans="1:6" outlineLevel="2">
      <c r="A136" s="21" t="s">
        <v>1200</v>
      </c>
      <c r="B136" s="22" t="s">
        <v>1301</v>
      </c>
      <c r="C136" s="22" t="s">
        <v>1727</v>
      </c>
      <c r="D136" s="22">
        <v>52</v>
      </c>
      <c r="E136" s="22">
        <v>3</v>
      </c>
      <c r="F136" s="23" t="s">
        <v>11</v>
      </c>
    </row>
    <row r="137" spans="1:6" outlineLevel="2">
      <c r="A137" s="21" t="s">
        <v>1200</v>
      </c>
      <c r="B137" s="22" t="s">
        <v>1301</v>
      </c>
      <c r="C137" s="22" t="s">
        <v>1695</v>
      </c>
      <c r="D137" s="22">
        <v>55</v>
      </c>
      <c r="E137" s="22">
        <v>3</v>
      </c>
      <c r="F137" s="23" t="s">
        <v>11</v>
      </c>
    </row>
    <row r="138" spans="1:6" outlineLevel="2">
      <c r="A138" s="21" t="s">
        <v>1200</v>
      </c>
      <c r="B138" s="22" t="s">
        <v>1301</v>
      </c>
      <c r="C138" s="22" t="s">
        <v>340</v>
      </c>
      <c r="D138" s="22">
        <v>41</v>
      </c>
      <c r="E138" s="22">
        <v>2</v>
      </c>
      <c r="F138" s="23" t="s">
        <v>11</v>
      </c>
    </row>
    <row r="139" spans="1:6" outlineLevel="2">
      <c r="A139" s="21" t="s">
        <v>1200</v>
      </c>
      <c r="B139" s="22" t="s">
        <v>1730</v>
      </c>
      <c r="C139" s="22" t="s">
        <v>1727</v>
      </c>
      <c r="D139" s="22">
        <v>50</v>
      </c>
      <c r="E139" s="22">
        <v>3</v>
      </c>
      <c r="F139" s="23" t="s">
        <v>11</v>
      </c>
    </row>
    <row r="140" spans="1:6" outlineLevel="2">
      <c r="A140" s="21" t="s">
        <v>1200</v>
      </c>
      <c r="B140" s="22" t="s">
        <v>1213</v>
      </c>
      <c r="C140" s="22" t="s">
        <v>636</v>
      </c>
      <c r="D140" s="22">
        <v>40</v>
      </c>
      <c r="E140" s="22">
        <v>4</v>
      </c>
      <c r="F140" s="23" t="s">
        <v>11</v>
      </c>
    </row>
    <row r="141" spans="1:6" outlineLevel="2">
      <c r="A141" s="21" t="s">
        <v>1200</v>
      </c>
      <c r="B141" s="22" t="s">
        <v>1213</v>
      </c>
      <c r="C141" s="22" t="s">
        <v>10</v>
      </c>
      <c r="D141" s="22">
        <v>45</v>
      </c>
      <c r="E141" s="22">
        <v>3</v>
      </c>
      <c r="F141" s="23" t="s">
        <v>11</v>
      </c>
    </row>
    <row r="142" spans="1:6" outlineLevel="2">
      <c r="A142" s="21" t="s">
        <v>1200</v>
      </c>
      <c r="B142" s="22" t="s">
        <v>1443</v>
      </c>
      <c r="C142" s="22" t="s">
        <v>793</v>
      </c>
      <c r="D142" s="22">
        <v>50</v>
      </c>
      <c r="E142" s="22">
        <v>2</v>
      </c>
      <c r="F142" s="23" t="s">
        <v>11</v>
      </c>
    </row>
    <row r="143" spans="1:6" outlineLevel="2">
      <c r="A143" s="21" t="s">
        <v>1200</v>
      </c>
      <c r="B143" s="22" t="s">
        <v>1215</v>
      </c>
      <c r="C143" s="22" t="s">
        <v>636</v>
      </c>
      <c r="D143" s="22">
        <v>40</v>
      </c>
      <c r="E143" s="22">
        <v>4</v>
      </c>
      <c r="F143" s="23" t="s">
        <v>11</v>
      </c>
    </row>
    <row r="144" spans="1:6" outlineLevel="2">
      <c r="A144" s="21" t="s">
        <v>1200</v>
      </c>
      <c r="B144" s="22" t="s">
        <v>1215</v>
      </c>
      <c r="C144" s="22" t="s">
        <v>10</v>
      </c>
      <c r="D144" s="22">
        <v>57</v>
      </c>
      <c r="E144" s="22">
        <v>3</v>
      </c>
      <c r="F144" s="23" t="s">
        <v>11</v>
      </c>
    </row>
    <row r="145" spans="1:6" outlineLevel="1">
      <c r="A145" s="24" t="s">
        <v>1867</v>
      </c>
      <c r="B145" s="22">
        <f>SUBTOTAL(3,B108:B144)</f>
        <v>37</v>
      </c>
      <c r="C145" s="22"/>
      <c r="D145" s="22"/>
      <c r="E145" s="22"/>
      <c r="F145" s="23"/>
    </row>
    <row r="146" spans="1:6" outlineLevel="2">
      <c r="A146" s="21" t="s">
        <v>1184</v>
      </c>
      <c r="B146" s="22" t="s">
        <v>1704</v>
      </c>
      <c r="C146" s="22" t="s">
        <v>1695</v>
      </c>
      <c r="D146" s="22">
        <v>50</v>
      </c>
      <c r="E146" s="22">
        <v>3</v>
      </c>
      <c r="F146" s="23" t="s">
        <v>11</v>
      </c>
    </row>
    <row r="147" spans="1:6" outlineLevel="2">
      <c r="A147" s="21" t="s">
        <v>1184</v>
      </c>
      <c r="B147" s="22" t="s">
        <v>1570</v>
      </c>
      <c r="C147" s="22" t="s">
        <v>1567</v>
      </c>
      <c r="D147" s="22">
        <v>47</v>
      </c>
      <c r="E147" s="22">
        <v>2</v>
      </c>
      <c r="F147" s="23" t="s">
        <v>11</v>
      </c>
    </row>
    <row r="148" spans="1:6" outlineLevel="2">
      <c r="A148" s="21" t="s">
        <v>1184</v>
      </c>
      <c r="B148" s="22" t="s">
        <v>1570</v>
      </c>
      <c r="C148" s="22" t="s">
        <v>1727</v>
      </c>
      <c r="D148" s="22">
        <v>40</v>
      </c>
      <c r="E148" s="22">
        <v>3</v>
      </c>
      <c r="F148" s="23" t="s">
        <v>11</v>
      </c>
    </row>
    <row r="149" spans="1:6" outlineLevel="2">
      <c r="A149" s="21" t="s">
        <v>1184</v>
      </c>
      <c r="B149" s="22" t="s">
        <v>1570</v>
      </c>
      <c r="C149" s="22" t="s">
        <v>1695</v>
      </c>
      <c r="D149" s="22">
        <v>45</v>
      </c>
      <c r="E149" s="22">
        <v>3</v>
      </c>
      <c r="F149" s="23" t="s">
        <v>11</v>
      </c>
    </row>
    <row r="150" spans="1:6" outlineLevel="2">
      <c r="A150" s="21" t="s">
        <v>1184</v>
      </c>
      <c r="B150" s="22" t="s">
        <v>1387</v>
      </c>
      <c r="C150" s="22" t="s">
        <v>1727</v>
      </c>
      <c r="D150" s="22">
        <v>48</v>
      </c>
      <c r="E150" s="22">
        <v>3</v>
      </c>
      <c r="F150" s="23" t="s">
        <v>11</v>
      </c>
    </row>
    <row r="151" spans="1:6" outlineLevel="2">
      <c r="A151" s="21" t="s">
        <v>1184</v>
      </c>
      <c r="B151" s="22" t="s">
        <v>1387</v>
      </c>
      <c r="C151" s="22" t="s">
        <v>340</v>
      </c>
      <c r="D151" s="22">
        <v>57</v>
      </c>
      <c r="E151" s="22">
        <v>2</v>
      </c>
      <c r="F151" s="23" t="s">
        <v>11</v>
      </c>
    </row>
    <row r="152" spans="1:6" outlineLevel="2">
      <c r="A152" s="21" t="s">
        <v>1184</v>
      </c>
      <c r="B152" s="22" t="s">
        <v>1389</v>
      </c>
      <c r="C152" s="22" t="s">
        <v>1727</v>
      </c>
      <c r="D152" s="22">
        <v>48</v>
      </c>
      <c r="E152" s="22">
        <v>3</v>
      </c>
      <c r="F152" s="23" t="s">
        <v>11</v>
      </c>
    </row>
    <row r="153" spans="1:6" outlineLevel="2">
      <c r="A153" s="21" t="s">
        <v>1184</v>
      </c>
      <c r="B153" s="22" t="s">
        <v>1389</v>
      </c>
      <c r="C153" s="22" t="s">
        <v>340</v>
      </c>
      <c r="D153" s="22">
        <v>43</v>
      </c>
      <c r="E153" s="22">
        <v>2</v>
      </c>
      <c r="F153" s="23" t="s">
        <v>11</v>
      </c>
    </row>
    <row r="154" spans="1:6" outlineLevel="2">
      <c r="A154" s="21" t="s">
        <v>1184</v>
      </c>
      <c r="B154" s="22" t="s">
        <v>1517</v>
      </c>
      <c r="C154" s="22" t="s">
        <v>636</v>
      </c>
      <c r="D154" s="22">
        <v>46</v>
      </c>
      <c r="E154" s="22">
        <v>4</v>
      </c>
      <c r="F154" s="23" t="s">
        <v>11</v>
      </c>
    </row>
    <row r="155" spans="1:6" outlineLevel="2">
      <c r="A155" s="21" t="s">
        <v>1184</v>
      </c>
      <c r="B155" s="22" t="s">
        <v>1517</v>
      </c>
      <c r="C155" s="22" t="s">
        <v>1727</v>
      </c>
      <c r="D155" s="22">
        <v>40</v>
      </c>
      <c r="E155" s="22">
        <v>3</v>
      </c>
      <c r="F155" s="23" t="s">
        <v>11</v>
      </c>
    </row>
    <row r="156" spans="1:6" outlineLevel="2">
      <c r="A156" s="21" t="s">
        <v>1184</v>
      </c>
      <c r="B156" s="22" t="s">
        <v>1519</v>
      </c>
      <c r="C156" s="22" t="s">
        <v>636</v>
      </c>
      <c r="D156" s="22">
        <v>50</v>
      </c>
      <c r="E156" s="22">
        <v>4</v>
      </c>
      <c r="F156" s="23" t="s">
        <v>11</v>
      </c>
    </row>
    <row r="157" spans="1:6" outlineLevel="2">
      <c r="A157" s="21" t="s">
        <v>1184</v>
      </c>
      <c r="B157" s="22" t="s">
        <v>1519</v>
      </c>
      <c r="C157" s="22" t="s">
        <v>1727</v>
      </c>
      <c r="D157" s="22">
        <v>46</v>
      </c>
      <c r="E157" s="22">
        <v>3</v>
      </c>
      <c r="F157" s="23" t="s">
        <v>11</v>
      </c>
    </row>
    <row r="158" spans="1:6" outlineLevel="2">
      <c r="A158" s="21" t="s">
        <v>1184</v>
      </c>
      <c r="B158" s="22" t="s">
        <v>1185</v>
      </c>
      <c r="C158" s="22" t="s">
        <v>1727</v>
      </c>
      <c r="D158" s="22">
        <v>52</v>
      </c>
      <c r="E158" s="22">
        <v>3</v>
      </c>
      <c r="F158" s="23" t="s">
        <v>11</v>
      </c>
    </row>
    <row r="159" spans="1:6" outlineLevel="2">
      <c r="A159" s="21" t="s">
        <v>1184</v>
      </c>
      <c r="B159" s="22" t="s">
        <v>1185</v>
      </c>
      <c r="C159" s="22" t="s">
        <v>1695</v>
      </c>
      <c r="D159" s="22">
        <v>44</v>
      </c>
      <c r="E159" s="22">
        <v>3</v>
      </c>
      <c r="F159" s="23" t="s">
        <v>11</v>
      </c>
    </row>
    <row r="160" spans="1:6" outlineLevel="2">
      <c r="A160" s="21" t="s">
        <v>1184</v>
      </c>
      <c r="B160" s="22" t="s">
        <v>1185</v>
      </c>
      <c r="C160" s="22" t="s">
        <v>10</v>
      </c>
      <c r="D160" s="22">
        <v>51</v>
      </c>
      <c r="E160" s="22">
        <v>3</v>
      </c>
      <c r="F160" s="23" t="s">
        <v>11</v>
      </c>
    </row>
    <row r="161" spans="1:6" outlineLevel="2">
      <c r="A161" s="21" t="s">
        <v>1184</v>
      </c>
      <c r="B161" s="22" t="s">
        <v>1187</v>
      </c>
      <c r="C161" s="22" t="s">
        <v>1567</v>
      </c>
      <c r="D161" s="22">
        <v>49</v>
      </c>
      <c r="E161" s="22">
        <v>2</v>
      </c>
      <c r="F161" s="23" t="s">
        <v>11</v>
      </c>
    </row>
    <row r="162" spans="1:6" outlineLevel="2">
      <c r="A162" s="21" t="s">
        <v>1184</v>
      </c>
      <c r="B162" s="22" t="s">
        <v>1187</v>
      </c>
      <c r="C162" s="22" t="s">
        <v>636</v>
      </c>
      <c r="D162" s="22">
        <v>50</v>
      </c>
      <c r="E162" s="22">
        <v>4</v>
      </c>
      <c r="F162" s="23" t="s">
        <v>11</v>
      </c>
    </row>
    <row r="163" spans="1:6" outlineLevel="2">
      <c r="A163" s="21" t="s">
        <v>1184</v>
      </c>
      <c r="B163" s="22" t="s">
        <v>1187</v>
      </c>
      <c r="C163" s="22" t="s">
        <v>10</v>
      </c>
      <c r="D163" s="22">
        <v>53</v>
      </c>
      <c r="E163" s="22">
        <v>3</v>
      </c>
      <c r="F163" s="23" t="s">
        <v>11</v>
      </c>
    </row>
    <row r="164" spans="1:6" outlineLevel="2">
      <c r="A164" s="21" t="s">
        <v>1184</v>
      </c>
      <c r="B164" s="22" t="s">
        <v>1187</v>
      </c>
      <c r="C164" s="22" t="s">
        <v>340</v>
      </c>
      <c r="D164" s="22">
        <v>57</v>
      </c>
      <c r="E164" s="22">
        <v>2</v>
      </c>
      <c r="F164" s="23" t="s">
        <v>11</v>
      </c>
    </row>
    <row r="165" spans="1:6" outlineLevel="2">
      <c r="A165" s="21" t="s">
        <v>1184</v>
      </c>
      <c r="B165" s="22" t="s">
        <v>1521</v>
      </c>
      <c r="C165" s="22" t="s">
        <v>636</v>
      </c>
      <c r="D165" s="22">
        <v>46</v>
      </c>
      <c r="E165" s="22">
        <v>4</v>
      </c>
      <c r="F165" s="23" t="s">
        <v>11</v>
      </c>
    </row>
    <row r="166" spans="1:6" outlineLevel="2">
      <c r="A166" s="21" t="s">
        <v>1184</v>
      </c>
      <c r="B166" s="22" t="s">
        <v>1521</v>
      </c>
      <c r="C166" s="22" t="s">
        <v>1727</v>
      </c>
      <c r="D166" s="22">
        <v>47</v>
      </c>
      <c r="E166" s="22">
        <v>3</v>
      </c>
      <c r="F166" s="23" t="s">
        <v>11</v>
      </c>
    </row>
    <row r="167" spans="1:6" outlineLevel="2">
      <c r="A167" s="21" t="s">
        <v>1184</v>
      </c>
      <c r="B167" s="22" t="s">
        <v>1521</v>
      </c>
      <c r="C167" s="22" t="s">
        <v>1695</v>
      </c>
      <c r="D167" s="22">
        <v>55</v>
      </c>
      <c r="E167" s="22">
        <v>3</v>
      </c>
      <c r="F167" s="23" t="s">
        <v>11</v>
      </c>
    </row>
    <row r="168" spans="1:6" outlineLevel="2">
      <c r="A168" s="21" t="s">
        <v>1184</v>
      </c>
      <c r="B168" s="22" t="s">
        <v>1706</v>
      </c>
      <c r="C168" s="22" t="s">
        <v>1695</v>
      </c>
      <c r="D168" s="22">
        <v>41</v>
      </c>
      <c r="E168" s="22">
        <v>3</v>
      </c>
      <c r="F168" s="23" t="s">
        <v>11</v>
      </c>
    </row>
    <row r="169" spans="1:6" outlineLevel="2">
      <c r="A169" s="21" t="s">
        <v>1184</v>
      </c>
      <c r="B169" s="22" t="s">
        <v>1189</v>
      </c>
      <c r="C169" s="22" t="s">
        <v>1567</v>
      </c>
      <c r="D169" s="22">
        <v>51</v>
      </c>
      <c r="E169" s="22">
        <v>2</v>
      </c>
      <c r="F169" s="23" t="s">
        <v>11</v>
      </c>
    </row>
    <row r="170" spans="1:6" outlineLevel="2">
      <c r="A170" s="21" t="s">
        <v>1184</v>
      </c>
      <c r="B170" s="22" t="s">
        <v>1189</v>
      </c>
      <c r="C170" s="22" t="s">
        <v>1695</v>
      </c>
      <c r="D170" s="22">
        <v>44</v>
      </c>
      <c r="E170" s="22">
        <v>3</v>
      </c>
      <c r="F170" s="23" t="s">
        <v>11</v>
      </c>
    </row>
    <row r="171" spans="1:6" outlineLevel="2">
      <c r="A171" s="21" t="s">
        <v>1184</v>
      </c>
      <c r="B171" s="22" t="s">
        <v>1189</v>
      </c>
      <c r="C171" s="22" t="s">
        <v>10</v>
      </c>
      <c r="D171" s="22">
        <v>54</v>
      </c>
      <c r="E171" s="22">
        <v>3</v>
      </c>
      <c r="F171" s="23" t="s">
        <v>11</v>
      </c>
    </row>
    <row r="172" spans="1:6" outlineLevel="2">
      <c r="A172" s="21" t="s">
        <v>1184</v>
      </c>
      <c r="B172" s="22" t="s">
        <v>1391</v>
      </c>
      <c r="C172" s="22" t="s">
        <v>1727</v>
      </c>
      <c r="D172" s="22">
        <v>40</v>
      </c>
      <c r="E172" s="22">
        <v>3</v>
      </c>
      <c r="F172" s="23" t="s">
        <v>11</v>
      </c>
    </row>
    <row r="173" spans="1:6" outlineLevel="2">
      <c r="A173" s="21" t="s">
        <v>1184</v>
      </c>
      <c r="B173" s="22" t="s">
        <v>1391</v>
      </c>
      <c r="C173" s="22" t="s">
        <v>340</v>
      </c>
      <c r="D173" s="22">
        <v>40</v>
      </c>
      <c r="E173" s="22">
        <v>2</v>
      </c>
      <c r="F173" s="23" t="s">
        <v>11</v>
      </c>
    </row>
    <row r="174" spans="1:6" outlineLevel="2">
      <c r="A174" s="21" t="s">
        <v>1184</v>
      </c>
      <c r="B174" s="22" t="s">
        <v>1708</v>
      </c>
      <c r="C174" s="22" t="s">
        <v>1695</v>
      </c>
      <c r="D174" s="22">
        <v>55</v>
      </c>
      <c r="E174" s="22">
        <v>3</v>
      </c>
      <c r="F174" s="23" t="s">
        <v>11</v>
      </c>
    </row>
    <row r="175" spans="1:6" outlineLevel="2">
      <c r="A175" s="21" t="s">
        <v>1184</v>
      </c>
      <c r="B175" s="22" t="s">
        <v>1710</v>
      </c>
      <c r="C175" s="22" t="s">
        <v>1695</v>
      </c>
      <c r="D175" s="22">
        <v>58</v>
      </c>
      <c r="E175" s="22">
        <v>3</v>
      </c>
      <c r="F175" s="23" t="s">
        <v>11</v>
      </c>
    </row>
    <row r="176" spans="1:6" outlineLevel="2">
      <c r="A176" s="21" t="s">
        <v>1184</v>
      </c>
      <c r="B176" s="22" t="s">
        <v>1732</v>
      </c>
      <c r="C176" s="22" t="s">
        <v>1727</v>
      </c>
      <c r="D176" s="22">
        <v>49</v>
      </c>
      <c r="E176" s="22">
        <v>3</v>
      </c>
      <c r="F176" s="23" t="s">
        <v>11</v>
      </c>
    </row>
    <row r="177" spans="1:6" outlineLevel="2">
      <c r="A177" s="21" t="s">
        <v>1184</v>
      </c>
      <c r="B177" s="22" t="s">
        <v>1712</v>
      </c>
      <c r="C177" s="22" t="s">
        <v>1695</v>
      </c>
      <c r="D177" s="22">
        <v>50</v>
      </c>
      <c r="E177" s="22">
        <v>3</v>
      </c>
      <c r="F177" s="23" t="s">
        <v>11</v>
      </c>
    </row>
    <row r="178" spans="1:6" outlineLevel="2">
      <c r="A178" s="21" t="s">
        <v>1184</v>
      </c>
      <c r="B178" s="22" t="s">
        <v>1523</v>
      </c>
      <c r="C178" s="22" t="s">
        <v>636</v>
      </c>
      <c r="D178" s="22">
        <v>51</v>
      </c>
      <c r="E178" s="22">
        <v>4</v>
      </c>
      <c r="F178" s="23" t="s">
        <v>11</v>
      </c>
    </row>
    <row r="179" spans="1:6" outlineLevel="2">
      <c r="A179" s="21" t="s">
        <v>1184</v>
      </c>
      <c r="B179" s="22" t="s">
        <v>1523</v>
      </c>
      <c r="C179" s="22" t="s">
        <v>1727</v>
      </c>
      <c r="D179" s="22">
        <v>40</v>
      </c>
      <c r="E179" s="22">
        <v>3</v>
      </c>
      <c r="F179" s="23" t="s">
        <v>11</v>
      </c>
    </row>
    <row r="180" spans="1:6" outlineLevel="2">
      <c r="A180" s="21" t="s">
        <v>1184</v>
      </c>
      <c r="B180" s="22" t="s">
        <v>1714</v>
      </c>
      <c r="C180" s="22" t="s">
        <v>1695</v>
      </c>
      <c r="D180" s="22">
        <v>49</v>
      </c>
      <c r="E180" s="22">
        <v>3</v>
      </c>
      <c r="F180" s="23" t="s">
        <v>11</v>
      </c>
    </row>
    <row r="181" spans="1:6" outlineLevel="2">
      <c r="A181" s="21" t="s">
        <v>1184</v>
      </c>
      <c r="B181" s="22" t="s">
        <v>1716</v>
      </c>
      <c r="C181" s="22" t="s">
        <v>1695</v>
      </c>
      <c r="D181" s="22">
        <v>50</v>
      </c>
      <c r="E181" s="22">
        <v>3</v>
      </c>
      <c r="F181" s="23" t="s">
        <v>11</v>
      </c>
    </row>
    <row r="182" spans="1:6" outlineLevel="2">
      <c r="A182" s="21" t="s">
        <v>1184</v>
      </c>
      <c r="B182" s="22" t="s">
        <v>1393</v>
      </c>
      <c r="C182" s="22" t="s">
        <v>636</v>
      </c>
      <c r="D182" s="22">
        <v>43</v>
      </c>
      <c r="E182" s="22">
        <v>4</v>
      </c>
      <c r="F182" s="23" t="s">
        <v>11</v>
      </c>
    </row>
    <row r="183" spans="1:6" outlineLevel="2">
      <c r="A183" s="21" t="s">
        <v>1184</v>
      </c>
      <c r="B183" s="22" t="s">
        <v>1393</v>
      </c>
      <c r="C183" s="22" t="s">
        <v>1695</v>
      </c>
      <c r="D183" s="22">
        <v>48</v>
      </c>
      <c r="E183" s="22">
        <v>3</v>
      </c>
      <c r="F183" s="23" t="s">
        <v>11</v>
      </c>
    </row>
    <row r="184" spans="1:6" outlineLevel="2">
      <c r="A184" s="21" t="s">
        <v>1184</v>
      </c>
      <c r="B184" s="22" t="s">
        <v>1393</v>
      </c>
      <c r="C184" s="22" t="s">
        <v>340</v>
      </c>
      <c r="D184" s="22">
        <v>55</v>
      </c>
      <c r="E184" s="22">
        <v>2</v>
      </c>
      <c r="F184" s="23" t="s">
        <v>11</v>
      </c>
    </row>
    <row r="185" spans="1:6" outlineLevel="2">
      <c r="A185" s="21" t="s">
        <v>1184</v>
      </c>
      <c r="B185" s="22" t="s">
        <v>1395</v>
      </c>
      <c r="C185" s="22" t="s">
        <v>636</v>
      </c>
      <c r="D185" s="22">
        <v>40</v>
      </c>
      <c r="E185" s="22">
        <v>4</v>
      </c>
      <c r="F185" s="23" t="s">
        <v>11</v>
      </c>
    </row>
    <row r="186" spans="1:6" outlineLevel="2">
      <c r="A186" s="21" t="s">
        <v>1184</v>
      </c>
      <c r="B186" s="22" t="s">
        <v>1395</v>
      </c>
      <c r="C186" s="22" t="s">
        <v>340</v>
      </c>
      <c r="D186" s="22">
        <v>46</v>
      </c>
      <c r="E186" s="22">
        <v>2</v>
      </c>
      <c r="F186" s="23" t="s">
        <v>11</v>
      </c>
    </row>
    <row r="187" spans="1:6" outlineLevel="2">
      <c r="A187" s="21" t="s">
        <v>1184</v>
      </c>
      <c r="B187" s="22" t="s">
        <v>1397</v>
      </c>
      <c r="C187" s="22" t="s">
        <v>340</v>
      </c>
      <c r="D187" s="22">
        <v>48</v>
      </c>
      <c r="E187" s="22">
        <v>2</v>
      </c>
      <c r="F187" s="23" t="s">
        <v>11</v>
      </c>
    </row>
    <row r="188" spans="1:6" outlineLevel="2">
      <c r="A188" s="21" t="s">
        <v>1184</v>
      </c>
      <c r="B188" s="22" t="s">
        <v>1461</v>
      </c>
      <c r="C188" s="22" t="s">
        <v>1727</v>
      </c>
      <c r="D188" s="22">
        <v>50</v>
      </c>
      <c r="E188" s="22">
        <v>3</v>
      </c>
      <c r="F188" s="23" t="s">
        <v>11</v>
      </c>
    </row>
    <row r="189" spans="1:6" outlineLevel="1">
      <c r="A189" s="24" t="s">
        <v>1868</v>
      </c>
      <c r="B189" s="22">
        <f>SUBTOTAL(3,B146:B188)</f>
        <v>43</v>
      </c>
      <c r="C189" s="22"/>
      <c r="D189" s="22"/>
      <c r="E189" s="22"/>
      <c r="F189" s="23"/>
    </row>
    <row r="190" spans="1:6" outlineLevel="2">
      <c r="A190" s="21" t="s">
        <v>1054</v>
      </c>
      <c r="B190" s="22" t="s">
        <v>1483</v>
      </c>
      <c r="C190" s="22" t="s">
        <v>636</v>
      </c>
      <c r="D190" s="22">
        <v>40</v>
      </c>
      <c r="E190" s="22">
        <v>4</v>
      </c>
      <c r="F190" s="23" t="s">
        <v>11</v>
      </c>
    </row>
    <row r="191" spans="1:6" outlineLevel="2">
      <c r="A191" s="21" t="s">
        <v>1054</v>
      </c>
      <c r="B191" s="22" t="s">
        <v>1483</v>
      </c>
      <c r="C191" s="22" t="s">
        <v>1727</v>
      </c>
      <c r="D191" s="22">
        <v>40</v>
      </c>
      <c r="E191" s="22">
        <v>3</v>
      </c>
      <c r="F191" s="23" t="s">
        <v>11</v>
      </c>
    </row>
    <row r="192" spans="1:6" outlineLevel="2">
      <c r="A192" s="21" t="s">
        <v>1054</v>
      </c>
      <c r="B192" s="22" t="s">
        <v>1483</v>
      </c>
      <c r="C192" s="22" t="s">
        <v>1695</v>
      </c>
      <c r="D192" s="22">
        <v>40</v>
      </c>
      <c r="E192" s="22">
        <v>3</v>
      </c>
      <c r="F192" s="23" t="s">
        <v>11</v>
      </c>
    </row>
    <row r="193" spans="1:6" outlineLevel="2">
      <c r="A193" s="21" t="s">
        <v>1054</v>
      </c>
      <c r="B193" s="22" t="s">
        <v>1718</v>
      </c>
      <c r="C193" s="22" t="s">
        <v>1695</v>
      </c>
      <c r="D193" s="22">
        <v>40</v>
      </c>
      <c r="E193" s="22">
        <v>3</v>
      </c>
      <c r="F193" s="23" t="s">
        <v>11</v>
      </c>
    </row>
    <row r="194" spans="1:6" outlineLevel="2">
      <c r="A194" s="21" t="s">
        <v>1054</v>
      </c>
      <c r="B194" s="22" t="s">
        <v>1369</v>
      </c>
      <c r="C194" s="22" t="s">
        <v>1695</v>
      </c>
      <c r="D194" s="22">
        <v>58</v>
      </c>
      <c r="E194" s="22">
        <v>3</v>
      </c>
      <c r="F194" s="23" t="s">
        <v>11</v>
      </c>
    </row>
    <row r="195" spans="1:6" outlineLevel="2">
      <c r="A195" s="21" t="s">
        <v>1054</v>
      </c>
      <c r="B195" s="22" t="s">
        <v>1369</v>
      </c>
      <c r="C195" s="22" t="s">
        <v>340</v>
      </c>
      <c r="D195" s="22">
        <v>40</v>
      </c>
      <c r="E195" s="22">
        <v>2</v>
      </c>
      <c r="F195" s="23" t="s">
        <v>11</v>
      </c>
    </row>
    <row r="196" spans="1:6" outlineLevel="2">
      <c r="A196" s="21" t="s">
        <v>1054</v>
      </c>
      <c r="B196" s="22" t="s">
        <v>1371</v>
      </c>
      <c r="C196" s="22" t="s">
        <v>1695</v>
      </c>
      <c r="D196" s="22">
        <v>41</v>
      </c>
      <c r="E196" s="22">
        <v>3</v>
      </c>
      <c r="F196" s="23" t="s">
        <v>11</v>
      </c>
    </row>
    <row r="197" spans="1:6" outlineLevel="2">
      <c r="A197" s="21" t="s">
        <v>1054</v>
      </c>
      <c r="B197" s="22" t="s">
        <v>1371</v>
      </c>
      <c r="C197" s="22" t="s">
        <v>340</v>
      </c>
      <c r="D197" s="22">
        <v>40</v>
      </c>
      <c r="E197" s="22">
        <v>2</v>
      </c>
      <c r="F197" s="23" t="s">
        <v>11</v>
      </c>
    </row>
    <row r="198" spans="1:6" outlineLevel="2">
      <c r="A198" s="21" t="s">
        <v>1054</v>
      </c>
      <c r="B198" s="22" t="s">
        <v>1373</v>
      </c>
      <c r="C198" s="22" t="s">
        <v>340</v>
      </c>
      <c r="D198" s="22">
        <v>43</v>
      </c>
      <c r="E198" s="22">
        <v>2</v>
      </c>
      <c r="F198" s="23" t="s">
        <v>11</v>
      </c>
    </row>
    <row r="199" spans="1:6" outlineLevel="2">
      <c r="A199" s="21" t="s">
        <v>1054</v>
      </c>
      <c r="B199" s="22" t="s">
        <v>1720</v>
      </c>
      <c r="C199" s="22" t="s">
        <v>1695</v>
      </c>
      <c r="D199" s="22">
        <v>56</v>
      </c>
      <c r="E199" s="22">
        <v>3</v>
      </c>
      <c r="F199" s="23" t="s">
        <v>11</v>
      </c>
    </row>
    <row r="200" spans="1:6" outlineLevel="2">
      <c r="A200" s="21" t="s">
        <v>1054</v>
      </c>
      <c r="B200" s="22" t="s">
        <v>1375</v>
      </c>
      <c r="C200" s="22" t="s">
        <v>1727</v>
      </c>
      <c r="D200" s="22">
        <v>50</v>
      </c>
      <c r="E200" s="22">
        <v>3</v>
      </c>
      <c r="F200" s="23" t="s">
        <v>11</v>
      </c>
    </row>
    <row r="201" spans="1:6" outlineLevel="2">
      <c r="A201" s="21" t="s">
        <v>1054</v>
      </c>
      <c r="B201" s="22" t="s">
        <v>1375</v>
      </c>
      <c r="C201" s="22" t="s">
        <v>1695</v>
      </c>
      <c r="D201" s="22">
        <v>53</v>
      </c>
      <c r="E201" s="22">
        <v>3</v>
      </c>
      <c r="F201" s="23" t="s">
        <v>11</v>
      </c>
    </row>
    <row r="202" spans="1:6" outlineLevel="2">
      <c r="A202" s="21" t="s">
        <v>1054</v>
      </c>
      <c r="B202" s="22" t="s">
        <v>1375</v>
      </c>
      <c r="C202" s="22" t="s">
        <v>340</v>
      </c>
      <c r="D202" s="22">
        <v>49</v>
      </c>
      <c r="E202" s="22">
        <v>2</v>
      </c>
      <c r="F202" s="23" t="s">
        <v>11</v>
      </c>
    </row>
    <row r="203" spans="1:6" outlineLevel="2">
      <c r="A203" s="21" t="s">
        <v>1054</v>
      </c>
      <c r="B203" s="22" t="s">
        <v>1721</v>
      </c>
      <c r="C203" s="22" t="s">
        <v>1695</v>
      </c>
      <c r="D203" s="22">
        <v>47</v>
      </c>
      <c r="E203" s="22">
        <v>3</v>
      </c>
      <c r="F203" s="23" t="s">
        <v>11</v>
      </c>
    </row>
    <row r="204" spans="1:6" outlineLevel="2">
      <c r="A204" s="21" t="s">
        <v>1054</v>
      </c>
      <c r="B204" s="22" t="s">
        <v>1580</v>
      </c>
      <c r="C204" s="22" t="s">
        <v>793</v>
      </c>
      <c r="D204" s="22">
        <v>52</v>
      </c>
      <c r="E204" s="22">
        <v>2</v>
      </c>
      <c r="F204" s="23" t="s">
        <v>11</v>
      </c>
    </row>
    <row r="205" spans="1:6" outlineLevel="2">
      <c r="A205" s="21" t="s">
        <v>1054</v>
      </c>
      <c r="B205" s="22" t="s">
        <v>1593</v>
      </c>
      <c r="C205" s="22" t="s">
        <v>1727</v>
      </c>
      <c r="D205" s="22">
        <v>46</v>
      </c>
      <c r="E205" s="22">
        <v>3</v>
      </c>
      <c r="F205" s="23" t="s">
        <v>11</v>
      </c>
    </row>
    <row r="206" spans="1:6" outlineLevel="2">
      <c r="A206" s="21" t="s">
        <v>1054</v>
      </c>
      <c r="B206" s="22" t="s">
        <v>1377</v>
      </c>
      <c r="C206" s="22" t="s">
        <v>1695</v>
      </c>
      <c r="D206" s="22">
        <v>56</v>
      </c>
      <c r="E206" s="22">
        <v>3</v>
      </c>
      <c r="F206" s="23" t="s">
        <v>11</v>
      </c>
    </row>
    <row r="207" spans="1:6" outlineLevel="2">
      <c r="A207" s="21" t="s">
        <v>1054</v>
      </c>
      <c r="B207" s="22" t="s">
        <v>1377</v>
      </c>
      <c r="C207" s="22" t="s">
        <v>340</v>
      </c>
      <c r="D207" s="22">
        <v>54</v>
      </c>
      <c r="E207" s="22">
        <v>2</v>
      </c>
      <c r="F207" s="23" t="s">
        <v>11</v>
      </c>
    </row>
    <row r="208" spans="1:6" outlineLevel="2">
      <c r="A208" s="21" t="s">
        <v>1054</v>
      </c>
      <c r="B208" s="22" t="s">
        <v>1379</v>
      </c>
      <c r="C208" s="22" t="s">
        <v>1727</v>
      </c>
      <c r="D208" s="22">
        <v>40</v>
      </c>
      <c r="E208" s="22">
        <v>3</v>
      </c>
      <c r="F208" s="23" t="s">
        <v>11</v>
      </c>
    </row>
    <row r="209" spans="1:6" outlineLevel="2">
      <c r="A209" s="21" t="s">
        <v>1054</v>
      </c>
      <c r="B209" s="22" t="s">
        <v>1379</v>
      </c>
      <c r="C209" s="22" t="s">
        <v>340</v>
      </c>
      <c r="D209" s="22">
        <v>45</v>
      </c>
      <c r="E209" s="22">
        <v>2</v>
      </c>
      <c r="F209" s="23" t="s">
        <v>11</v>
      </c>
    </row>
    <row r="210" spans="1:6" outlineLevel="2">
      <c r="A210" s="21" t="s">
        <v>1054</v>
      </c>
      <c r="B210" s="22" t="s">
        <v>1055</v>
      </c>
      <c r="C210" s="22" t="s">
        <v>1567</v>
      </c>
      <c r="D210" s="22">
        <v>42</v>
      </c>
      <c r="E210" s="22">
        <v>2</v>
      </c>
      <c r="F210" s="23" t="s">
        <v>11</v>
      </c>
    </row>
    <row r="211" spans="1:6" outlineLevel="2">
      <c r="A211" s="21" t="s">
        <v>1054</v>
      </c>
      <c r="B211" s="22" t="s">
        <v>1055</v>
      </c>
      <c r="C211" s="22" t="s">
        <v>10</v>
      </c>
      <c r="D211" s="22">
        <v>50</v>
      </c>
      <c r="E211" s="22">
        <v>3</v>
      </c>
      <c r="F211" s="23" t="s">
        <v>11</v>
      </c>
    </row>
    <row r="212" spans="1:6" outlineLevel="2">
      <c r="A212" s="21" t="s">
        <v>1054</v>
      </c>
      <c r="B212" s="22" t="s">
        <v>1057</v>
      </c>
      <c r="C212" s="22" t="s">
        <v>1695</v>
      </c>
      <c r="D212" s="22">
        <v>51</v>
      </c>
      <c r="E212" s="22">
        <v>3</v>
      </c>
      <c r="F212" s="23" t="s">
        <v>11</v>
      </c>
    </row>
    <row r="213" spans="1:6" outlineLevel="2">
      <c r="A213" s="21" t="s">
        <v>1054</v>
      </c>
      <c r="B213" s="22" t="s">
        <v>1057</v>
      </c>
      <c r="C213" s="22" t="s">
        <v>10</v>
      </c>
      <c r="D213" s="22">
        <v>48</v>
      </c>
      <c r="E213" s="22">
        <v>3</v>
      </c>
      <c r="F213" s="23" t="s">
        <v>11</v>
      </c>
    </row>
    <row r="214" spans="1:6" outlineLevel="2">
      <c r="A214" s="21" t="s">
        <v>1054</v>
      </c>
      <c r="B214" s="22" t="s">
        <v>1723</v>
      </c>
      <c r="C214" s="22" t="s">
        <v>1695</v>
      </c>
      <c r="D214" s="22">
        <v>41</v>
      </c>
      <c r="E214" s="22">
        <v>3</v>
      </c>
      <c r="F214" s="23" t="s">
        <v>11</v>
      </c>
    </row>
    <row r="215" spans="1:6" outlineLevel="2">
      <c r="A215" s="21" t="s">
        <v>1054</v>
      </c>
      <c r="B215" s="22" t="s">
        <v>1381</v>
      </c>
      <c r="C215" s="22" t="s">
        <v>1695</v>
      </c>
      <c r="D215" s="22">
        <v>46</v>
      </c>
      <c r="E215" s="22">
        <v>3</v>
      </c>
      <c r="F215" s="23" t="s">
        <v>11</v>
      </c>
    </row>
    <row r="216" spans="1:6" outlineLevel="2">
      <c r="A216" s="21" t="s">
        <v>1054</v>
      </c>
      <c r="B216" s="22" t="s">
        <v>1381</v>
      </c>
      <c r="C216" s="22" t="s">
        <v>340</v>
      </c>
      <c r="D216" s="22">
        <v>48</v>
      </c>
      <c r="E216" s="22">
        <v>2</v>
      </c>
      <c r="F216" s="23" t="s">
        <v>11</v>
      </c>
    </row>
    <row r="217" spans="1:6" outlineLevel="2">
      <c r="A217" s="21" t="s">
        <v>1054</v>
      </c>
      <c r="B217" s="22" t="s">
        <v>1725</v>
      </c>
      <c r="C217" s="22" t="s">
        <v>1695</v>
      </c>
      <c r="D217" s="22">
        <v>45</v>
      </c>
      <c r="E217" s="22">
        <v>3</v>
      </c>
      <c r="F217" s="23" t="s">
        <v>11</v>
      </c>
    </row>
    <row r="218" spans="1:6" outlineLevel="2">
      <c r="A218" s="21" t="s">
        <v>1054</v>
      </c>
      <c r="B218" s="22" t="s">
        <v>1383</v>
      </c>
      <c r="C218" s="22" t="s">
        <v>1695</v>
      </c>
      <c r="D218" s="22">
        <v>51</v>
      </c>
      <c r="E218" s="22">
        <v>3</v>
      </c>
      <c r="F218" s="23" t="s">
        <v>11</v>
      </c>
    </row>
    <row r="219" spans="1:6" outlineLevel="2">
      <c r="A219" s="21" t="s">
        <v>1054</v>
      </c>
      <c r="B219" s="22" t="s">
        <v>1383</v>
      </c>
      <c r="C219" s="22" t="s">
        <v>340</v>
      </c>
      <c r="D219" s="22">
        <v>42</v>
      </c>
      <c r="E219" s="22">
        <v>2</v>
      </c>
      <c r="F219" s="23" t="s">
        <v>11</v>
      </c>
    </row>
    <row r="220" spans="1:6" outlineLevel="2">
      <c r="A220" s="21" t="s">
        <v>1054</v>
      </c>
      <c r="B220" s="22" t="s">
        <v>1459</v>
      </c>
      <c r="C220" s="22" t="s">
        <v>1727</v>
      </c>
      <c r="D220" s="22">
        <v>55</v>
      </c>
      <c r="E220" s="22">
        <v>3</v>
      </c>
      <c r="F220" s="23" t="s">
        <v>11</v>
      </c>
    </row>
    <row r="221" spans="1:6" outlineLevel="2">
      <c r="A221" s="21" t="s">
        <v>1054</v>
      </c>
      <c r="B221" s="22" t="s">
        <v>1459</v>
      </c>
      <c r="C221" s="22" t="s">
        <v>1695</v>
      </c>
      <c r="D221" s="22">
        <v>49</v>
      </c>
      <c r="E221" s="22">
        <v>3</v>
      </c>
      <c r="F221" s="23" t="s">
        <v>11</v>
      </c>
    </row>
    <row r="222" spans="1:6" outlineLevel="2">
      <c r="A222" s="21" t="s">
        <v>1054</v>
      </c>
      <c r="B222" s="22" t="s">
        <v>1385</v>
      </c>
      <c r="C222" s="22" t="s">
        <v>1567</v>
      </c>
      <c r="D222" s="22">
        <v>40</v>
      </c>
      <c r="E222" s="22">
        <v>2</v>
      </c>
      <c r="F222" s="23" t="s">
        <v>11</v>
      </c>
    </row>
    <row r="223" spans="1:6" outlineLevel="2">
      <c r="A223" s="21" t="s">
        <v>1054</v>
      </c>
      <c r="B223" s="22" t="s">
        <v>1385</v>
      </c>
      <c r="C223" s="22" t="s">
        <v>1727</v>
      </c>
      <c r="D223" s="22">
        <v>40</v>
      </c>
      <c r="E223" s="22">
        <v>3</v>
      </c>
      <c r="F223" s="23" t="s">
        <v>11</v>
      </c>
    </row>
    <row r="224" spans="1:6" outlineLevel="2">
      <c r="A224" s="21" t="s">
        <v>1054</v>
      </c>
      <c r="B224" s="22" t="s">
        <v>1385</v>
      </c>
      <c r="C224" s="22" t="s">
        <v>340</v>
      </c>
      <c r="D224" s="22">
        <v>50</v>
      </c>
      <c r="E224" s="22">
        <v>2</v>
      </c>
      <c r="F224" s="23" t="s">
        <v>11</v>
      </c>
    </row>
    <row r="225" spans="1:6" outlineLevel="1">
      <c r="A225" s="24" t="s">
        <v>1869</v>
      </c>
      <c r="B225" s="22">
        <f>SUBTOTAL(3,B190:B224)</f>
        <v>35</v>
      </c>
      <c r="C225" s="22"/>
      <c r="D225" s="22"/>
      <c r="E225" s="22"/>
      <c r="F225" s="23"/>
    </row>
    <row r="226" spans="1:6" outlineLevel="2">
      <c r="A226" s="21" t="s">
        <v>1231</v>
      </c>
      <c r="B226" s="22" t="s">
        <v>1232</v>
      </c>
      <c r="C226" s="22" t="s">
        <v>636</v>
      </c>
      <c r="D226" s="22">
        <v>46</v>
      </c>
      <c r="E226" s="22">
        <v>4</v>
      </c>
      <c r="F226" s="23" t="s">
        <v>11</v>
      </c>
    </row>
    <row r="227" spans="1:6" outlineLevel="2">
      <c r="A227" s="21" t="s">
        <v>1231</v>
      </c>
      <c r="B227" s="22" t="s">
        <v>1232</v>
      </c>
      <c r="C227" s="22" t="s">
        <v>10</v>
      </c>
      <c r="D227" s="22">
        <v>55</v>
      </c>
      <c r="E227" s="22">
        <v>3</v>
      </c>
      <c r="F227" s="23" t="s">
        <v>11</v>
      </c>
    </row>
    <row r="228" spans="1:6" outlineLevel="2">
      <c r="A228" s="21" t="s">
        <v>1231</v>
      </c>
      <c r="B228" s="22" t="s">
        <v>1232</v>
      </c>
      <c r="C228" s="22" t="s">
        <v>709</v>
      </c>
      <c r="D228" s="22">
        <v>53</v>
      </c>
      <c r="E228" s="22">
        <v>2</v>
      </c>
      <c r="F228" s="23" t="s">
        <v>11</v>
      </c>
    </row>
    <row r="229" spans="1:6" outlineLevel="2">
      <c r="A229" s="21" t="s">
        <v>1231</v>
      </c>
      <c r="B229" s="22" t="s">
        <v>1412</v>
      </c>
      <c r="C229" s="22" t="s">
        <v>636</v>
      </c>
      <c r="D229" s="22">
        <v>41</v>
      </c>
      <c r="E229" s="22">
        <v>4</v>
      </c>
      <c r="F229" s="23" t="s">
        <v>11</v>
      </c>
    </row>
    <row r="230" spans="1:6" outlineLevel="2">
      <c r="A230" s="21" t="s">
        <v>1231</v>
      </c>
      <c r="B230" s="22" t="s">
        <v>1412</v>
      </c>
      <c r="C230" s="22" t="s">
        <v>340</v>
      </c>
      <c r="D230" s="22">
        <v>51</v>
      </c>
      <c r="E230" s="22">
        <v>2</v>
      </c>
      <c r="F230" s="23" t="s">
        <v>11</v>
      </c>
    </row>
    <row r="231" spans="1:6" outlineLevel="2">
      <c r="A231" s="21" t="s">
        <v>1231</v>
      </c>
      <c r="B231" s="22" t="s">
        <v>1414</v>
      </c>
      <c r="C231" s="22" t="s">
        <v>636</v>
      </c>
      <c r="D231" s="22">
        <v>54</v>
      </c>
      <c r="E231" s="22">
        <v>4</v>
      </c>
      <c r="F231" s="23" t="s">
        <v>11</v>
      </c>
    </row>
    <row r="232" spans="1:6" outlineLevel="2">
      <c r="A232" s="21" t="s">
        <v>1231</v>
      </c>
      <c r="B232" s="22" t="s">
        <v>1414</v>
      </c>
      <c r="C232" s="22" t="s">
        <v>340</v>
      </c>
      <c r="D232" s="22">
        <v>52</v>
      </c>
      <c r="E232" s="22">
        <v>2</v>
      </c>
      <c r="F232" s="23" t="s">
        <v>11</v>
      </c>
    </row>
    <row r="233" spans="1:6" outlineLevel="2">
      <c r="A233" s="21" t="s">
        <v>1231</v>
      </c>
      <c r="B233" s="22" t="s">
        <v>1465</v>
      </c>
      <c r="C233" s="22" t="s">
        <v>636</v>
      </c>
      <c r="D233" s="22">
        <v>46</v>
      </c>
      <c r="E233" s="22">
        <v>4</v>
      </c>
      <c r="F233" s="23" t="s">
        <v>11</v>
      </c>
    </row>
    <row r="234" spans="1:6" outlineLevel="2">
      <c r="A234" s="21" t="s">
        <v>1231</v>
      </c>
      <c r="B234" s="22" t="s">
        <v>1416</v>
      </c>
      <c r="C234" s="22" t="s">
        <v>340</v>
      </c>
      <c r="D234" s="22">
        <v>50</v>
      </c>
      <c r="E234" s="22">
        <v>2</v>
      </c>
      <c r="F234" s="23" t="s">
        <v>11</v>
      </c>
    </row>
    <row r="235" spans="1:6" outlineLevel="2">
      <c r="A235" s="21" t="s">
        <v>1231</v>
      </c>
      <c r="B235" s="22" t="s">
        <v>1467</v>
      </c>
      <c r="C235" s="22" t="s">
        <v>636</v>
      </c>
      <c r="D235" s="22">
        <v>47</v>
      </c>
      <c r="E235" s="22">
        <v>4</v>
      </c>
      <c r="F235" s="23" t="s">
        <v>11</v>
      </c>
    </row>
    <row r="236" spans="1:6" outlineLevel="2">
      <c r="A236" s="21" t="s">
        <v>1231</v>
      </c>
      <c r="B236" s="22" t="s">
        <v>1234</v>
      </c>
      <c r="C236" s="22" t="s">
        <v>10</v>
      </c>
      <c r="D236" s="22">
        <v>55</v>
      </c>
      <c r="E236" s="22">
        <v>3</v>
      </c>
      <c r="F236" s="23" t="s">
        <v>11</v>
      </c>
    </row>
    <row r="237" spans="1:6" outlineLevel="2">
      <c r="A237" s="21" t="s">
        <v>1231</v>
      </c>
      <c r="B237" s="22" t="s">
        <v>1234</v>
      </c>
      <c r="C237" s="22" t="s">
        <v>340</v>
      </c>
      <c r="D237" s="22">
        <v>54</v>
      </c>
      <c r="E237" s="22">
        <v>2</v>
      </c>
      <c r="F237" s="23" t="s">
        <v>11</v>
      </c>
    </row>
    <row r="238" spans="1:6" outlineLevel="2">
      <c r="A238" s="21" t="s">
        <v>1231</v>
      </c>
      <c r="B238" s="22" t="s">
        <v>1418</v>
      </c>
      <c r="C238" s="22" t="s">
        <v>636</v>
      </c>
      <c r="D238" s="22">
        <v>48</v>
      </c>
      <c r="E238" s="22">
        <v>4</v>
      </c>
      <c r="F238" s="23" t="s">
        <v>11</v>
      </c>
    </row>
    <row r="239" spans="1:6" outlineLevel="2">
      <c r="A239" s="21" t="s">
        <v>1231</v>
      </c>
      <c r="B239" s="22" t="s">
        <v>1418</v>
      </c>
      <c r="C239" s="22" t="s">
        <v>340</v>
      </c>
      <c r="D239" s="22">
        <v>48</v>
      </c>
      <c r="E239" s="22">
        <v>2</v>
      </c>
      <c r="F239" s="23" t="s">
        <v>11</v>
      </c>
    </row>
    <row r="240" spans="1:6" outlineLevel="2">
      <c r="A240" s="21" t="s">
        <v>1231</v>
      </c>
      <c r="B240" s="22" t="s">
        <v>1420</v>
      </c>
      <c r="C240" s="22" t="s">
        <v>340</v>
      </c>
      <c r="D240" s="22">
        <v>55</v>
      </c>
      <c r="E240" s="22">
        <v>2</v>
      </c>
      <c r="F240" s="23" t="s">
        <v>11</v>
      </c>
    </row>
    <row r="241" spans="1:6" outlineLevel="2">
      <c r="A241" s="21" t="s">
        <v>1231</v>
      </c>
      <c r="B241" s="22" t="s">
        <v>1422</v>
      </c>
      <c r="C241" s="22" t="s">
        <v>340</v>
      </c>
      <c r="D241" s="22">
        <v>50</v>
      </c>
      <c r="E241" s="22">
        <v>2</v>
      </c>
      <c r="F241" s="23" t="s">
        <v>11</v>
      </c>
    </row>
    <row r="242" spans="1:6" outlineLevel="2">
      <c r="A242" s="21" t="s">
        <v>1231</v>
      </c>
      <c r="B242" s="22" t="s">
        <v>1236</v>
      </c>
      <c r="C242" s="22" t="s">
        <v>10</v>
      </c>
      <c r="D242" s="22">
        <v>54</v>
      </c>
      <c r="E242" s="22">
        <v>3</v>
      </c>
      <c r="F242" s="23" t="s">
        <v>11</v>
      </c>
    </row>
    <row r="243" spans="1:6" outlineLevel="2">
      <c r="A243" s="21" t="s">
        <v>1231</v>
      </c>
      <c r="B243" s="22" t="s">
        <v>1236</v>
      </c>
      <c r="C243" s="22" t="s">
        <v>340</v>
      </c>
      <c r="D243" s="22">
        <v>40</v>
      </c>
      <c r="E243" s="22">
        <v>2</v>
      </c>
      <c r="F243" s="23" t="s">
        <v>11</v>
      </c>
    </row>
    <row r="244" spans="1:6" outlineLevel="2">
      <c r="A244" s="21" t="s">
        <v>1231</v>
      </c>
      <c r="B244" s="22" t="s">
        <v>1525</v>
      </c>
      <c r="C244" s="22" t="s">
        <v>636</v>
      </c>
      <c r="D244" s="22">
        <v>55</v>
      </c>
      <c r="E244" s="22">
        <v>4</v>
      </c>
      <c r="F244" s="23" t="s">
        <v>11</v>
      </c>
    </row>
    <row r="245" spans="1:6" outlineLevel="2">
      <c r="A245" s="21" t="s">
        <v>1231</v>
      </c>
      <c r="B245" s="22" t="s">
        <v>1238</v>
      </c>
      <c r="C245" s="22" t="s">
        <v>636</v>
      </c>
      <c r="D245" s="22">
        <v>40</v>
      </c>
      <c r="E245" s="22">
        <v>4</v>
      </c>
      <c r="F245" s="23" t="s">
        <v>11</v>
      </c>
    </row>
    <row r="246" spans="1:6" outlineLevel="2">
      <c r="A246" s="21" t="s">
        <v>1231</v>
      </c>
      <c r="B246" s="22" t="s">
        <v>1238</v>
      </c>
      <c r="C246" s="22" t="s">
        <v>10</v>
      </c>
      <c r="D246" s="22">
        <v>44</v>
      </c>
      <c r="E246" s="22">
        <v>3</v>
      </c>
      <c r="F246" s="23" t="s">
        <v>11</v>
      </c>
    </row>
    <row r="247" spans="1:6" outlineLevel="2">
      <c r="A247" s="21" t="s">
        <v>1231</v>
      </c>
      <c r="B247" s="22" t="s">
        <v>1238</v>
      </c>
      <c r="C247" s="22" t="s">
        <v>340</v>
      </c>
      <c r="D247" s="22">
        <v>43</v>
      </c>
      <c r="E247" s="22">
        <v>2</v>
      </c>
      <c r="F247" s="23" t="s">
        <v>11</v>
      </c>
    </row>
    <row r="248" spans="1:6" outlineLevel="2">
      <c r="A248" s="21" t="s">
        <v>1231</v>
      </c>
      <c r="B248" s="22" t="s">
        <v>1240</v>
      </c>
      <c r="C248" s="22" t="s">
        <v>1640</v>
      </c>
      <c r="D248" s="22">
        <v>49</v>
      </c>
      <c r="E248" s="22">
        <v>2</v>
      </c>
      <c r="F248" s="23" t="s">
        <v>11</v>
      </c>
    </row>
    <row r="249" spans="1:6" outlineLevel="2">
      <c r="A249" s="21" t="s">
        <v>1231</v>
      </c>
      <c r="B249" s="22" t="s">
        <v>1240</v>
      </c>
      <c r="C249" s="22" t="s">
        <v>636</v>
      </c>
      <c r="D249" s="22">
        <v>44</v>
      </c>
      <c r="E249" s="22">
        <v>4</v>
      </c>
      <c r="F249" s="23" t="s">
        <v>11</v>
      </c>
    </row>
    <row r="250" spans="1:6" outlineLevel="2">
      <c r="A250" s="21" t="s">
        <v>1231</v>
      </c>
      <c r="B250" s="22" t="s">
        <v>1240</v>
      </c>
      <c r="C250" s="22" t="s">
        <v>10</v>
      </c>
      <c r="D250" s="22">
        <v>55</v>
      </c>
      <c r="E250" s="22">
        <v>3</v>
      </c>
      <c r="F250" s="23" t="s">
        <v>11</v>
      </c>
    </row>
    <row r="251" spans="1:6" outlineLevel="2">
      <c r="A251" s="21" t="s">
        <v>1231</v>
      </c>
      <c r="B251" s="22" t="s">
        <v>1240</v>
      </c>
      <c r="C251" s="22" t="s">
        <v>340</v>
      </c>
      <c r="D251" s="22">
        <v>40</v>
      </c>
      <c r="E251" s="22">
        <v>2</v>
      </c>
      <c r="F251" s="23" t="s">
        <v>11</v>
      </c>
    </row>
    <row r="252" spans="1:6" outlineLevel="2">
      <c r="A252" s="21" t="s">
        <v>1231</v>
      </c>
      <c r="B252" s="22" t="s">
        <v>1424</v>
      </c>
      <c r="C252" s="22" t="s">
        <v>340</v>
      </c>
      <c r="D252" s="22">
        <v>40</v>
      </c>
      <c r="E252" s="22">
        <v>2</v>
      </c>
      <c r="F252" s="23" t="s">
        <v>11</v>
      </c>
    </row>
    <row r="253" spans="1:6" outlineLevel="2">
      <c r="A253" s="21" t="s">
        <v>1231</v>
      </c>
      <c r="B253" s="22" t="s">
        <v>1426</v>
      </c>
      <c r="C253" s="22" t="s">
        <v>1640</v>
      </c>
      <c r="D253" s="22">
        <v>45</v>
      </c>
      <c r="E253" s="22">
        <v>2</v>
      </c>
      <c r="F253" s="23" t="s">
        <v>11</v>
      </c>
    </row>
    <row r="254" spans="1:6" outlineLevel="2">
      <c r="A254" s="21" t="s">
        <v>1231</v>
      </c>
      <c r="B254" s="22" t="s">
        <v>1426</v>
      </c>
      <c r="C254" s="22" t="s">
        <v>1627</v>
      </c>
      <c r="D254" s="22">
        <v>50</v>
      </c>
      <c r="E254" s="22">
        <v>2</v>
      </c>
      <c r="F254" s="23" t="s">
        <v>11</v>
      </c>
    </row>
    <row r="255" spans="1:6" outlineLevel="2">
      <c r="A255" s="21" t="s">
        <v>1231</v>
      </c>
      <c r="B255" s="22" t="s">
        <v>1426</v>
      </c>
      <c r="C255" s="22" t="s">
        <v>340</v>
      </c>
      <c r="D255" s="22">
        <v>44</v>
      </c>
      <c r="E255" s="22">
        <v>2</v>
      </c>
      <c r="F255" s="23" t="s">
        <v>11</v>
      </c>
    </row>
    <row r="256" spans="1:6" outlineLevel="2">
      <c r="A256" s="21" t="s">
        <v>1231</v>
      </c>
      <c r="B256" s="22" t="s">
        <v>1426</v>
      </c>
      <c r="C256" s="22" t="s">
        <v>709</v>
      </c>
      <c r="D256" s="22">
        <v>41</v>
      </c>
      <c r="E256" s="22">
        <v>2</v>
      </c>
      <c r="F256" s="23" t="s">
        <v>11</v>
      </c>
    </row>
    <row r="257" spans="1:6" outlineLevel="2">
      <c r="A257" s="21" t="s">
        <v>1231</v>
      </c>
      <c r="B257" s="22" t="s">
        <v>1426</v>
      </c>
      <c r="C257" s="22" t="s">
        <v>1586</v>
      </c>
      <c r="D257" s="22">
        <v>53</v>
      </c>
      <c r="E257" s="22">
        <v>2</v>
      </c>
      <c r="F257" s="23" t="s">
        <v>11</v>
      </c>
    </row>
    <row r="258" spans="1:6" outlineLevel="2">
      <c r="A258" s="21" t="s">
        <v>1231</v>
      </c>
      <c r="B258" s="22" t="s">
        <v>1527</v>
      </c>
      <c r="C258" s="22" t="s">
        <v>636</v>
      </c>
      <c r="D258" s="22">
        <v>48</v>
      </c>
      <c r="E258" s="22">
        <v>4</v>
      </c>
      <c r="F258" s="23" t="s">
        <v>11</v>
      </c>
    </row>
    <row r="259" spans="1:6" outlineLevel="2">
      <c r="A259" s="21" t="s">
        <v>1231</v>
      </c>
      <c r="B259" s="22" t="s">
        <v>1529</v>
      </c>
      <c r="C259" s="22" t="s">
        <v>636</v>
      </c>
      <c r="D259" s="22">
        <v>49</v>
      </c>
      <c r="E259" s="22">
        <v>4</v>
      </c>
      <c r="F259" s="23" t="s">
        <v>11</v>
      </c>
    </row>
    <row r="260" spans="1:6" outlineLevel="2">
      <c r="A260" s="21" t="s">
        <v>1231</v>
      </c>
      <c r="B260" s="22" t="s">
        <v>1241</v>
      </c>
      <c r="C260" s="22" t="s">
        <v>636</v>
      </c>
      <c r="D260" s="22">
        <v>54</v>
      </c>
      <c r="E260" s="22">
        <v>4</v>
      </c>
      <c r="F260" s="23" t="s">
        <v>11</v>
      </c>
    </row>
    <row r="261" spans="1:6" outlineLevel="2">
      <c r="A261" s="21" t="s">
        <v>1231</v>
      </c>
      <c r="B261" s="22" t="s">
        <v>1241</v>
      </c>
      <c r="C261" s="22" t="s">
        <v>10</v>
      </c>
      <c r="D261" s="22">
        <v>44</v>
      </c>
      <c r="E261" s="22">
        <v>3</v>
      </c>
      <c r="F261" s="23" t="s">
        <v>11</v>
      </c>
    </row>
    <row r="262" spans="1:6" outlineLevel="2">
      <c r="A262" s="21" t="s">
        <v>1231</v>
      </c>
      <c r="B262" s="22" t="s">
        <v>1241</v>
      </c>
      <c r="C262" s="22" t="s">
        <v>340</v>
      </c>
      <c r="D262" s="22">
        <v>40</v>
      </c>
      <c r="E262" s="22">
        <v>2</v>
      </c>
      <c r="F262" s="23" t="s">
        <v>11</v>
      </c>
    </row>
    <row r="263" spans="1:6" outlineLevel="2">
      <c r="A263" s="21" t="s">
        <v>1231</v>
      </c>
      <c r="B263" s="22" t="s">
        <v>1531</v>
      </c>
      <c r="C263" s="22" t="s">
        <v>636</v>
      </c>
      <c r="D263" s="22">
        <v>54</v>
      </c>
      <c r="E263" s="22">
        <v>4</v>
      </c>
      <c r="F263" s="23" t="s">
        <v>11</v>
      </c>
    </row>
    <row r="264" spans="1:6" outlineLevel="1">
      <c r="A264" s="24" t="s">
        <v>1870</v>
      </c>
      <c r="B264" s="22">
        <f>SUBTOTAL(3,B226:B263)</f>
        <v>38</v>
      </c>
      <c r="C264" s="22"/>
      <c r="D264" s="22"/>
      <c r="E264" s="22"/>
      <c r="F264" s="23"/>
    </row>
    <row r="265" spans="1:6" outlineLevel="2">
      <c r="A265" s="21" t="s">
        <v>1102</v>
      </c>
      <c r="B265" s="22" t="s">
        <v>1103</v>
      </c>
      <c r="C265" s="22" t="s">
        <v>10</v>
      </c>
      <c r="D265" s="22">
        <v>58</v>
      </c>
      <c r="E265" s="22">
        <v>3</v>
      </c>
      <c r="F265" s="23" t="s">
        <v>11</v>
      </c>
    </row>
    <row r="266" spans="1:6" outlineLevel="2">
      <c r="A266" s="21" t="s">
        <v>1102</v>
      </c>
      <c r="B266" s="22" t="s">
        <v>1105</v>
      </c>
      <c r="C266" s="22" t="s">
        <v>1627</v>
      </c>
      <c r="D266" s="22">
        <v>53</v>
      </c>
      <c r="E266" s="22">
        <v>2</v>
      </c>
      <c r="F266" s="23" t="s">
        <v>11</v>
      </c>
    </row>
    <row r="267" spans="1:6" outlineLevel="2">
      <c r="A267" s="21" t="s">
        <v>1102</v>
      </c>
      <c r="B267" s="22" t="s">
        <v>1105</v>
      </c>
      <c r="C267" s="22" t="s">
        <v>10</v>
      </c>
      <c r="D267" s="22">
        <v>45</v>
      </c>
      <c r="E267" s="22">
        <v>3</v>
      </c>
      <c r="F267" s="23" t="s">
        <v>11</v>
      </c>
    </row>
    <row r="268" spans="1:6" outlineLevel="2">
      <c r="A268" s="21" t="s">
        <v>1102</v>
      </c>
      <c r="B268" s="22" t="s">
        <v>1105</v>
      </c>
      <c r="C268" s="22" t="s">
        <v>340</v>
      </c>
      <c r="D268" s="22">
        <v>49</v>
      </c>
      <c r="E268" s="22">
        <v>2</v>
      </c>
      <c r="F268" s="23" t="s">
        <v>11</v>
      </c>
    </row>
    <row r="269" spans="1:6" outlineLevel="2">
      <c r="A269" s="21" t="s">
        <v>1102</v>
      </c>
      <c r="B269" s="22" t="s">
        <v>1107</v>
      </c>
      <c r="C269" s="22" t="s">
        <v>1640</v>
      </c>
      <c r="D269" s="22">
        <v>46</v>
      </c>
      <c r="E269" s="22">
        <v>2</v>
      </c>
      <c r="F269" s="23" t="s">
        <v>11</v>
      </c>
    </row>
    <row r="270" spans="1:6" outlineLevel="2">
      <c r="A270" s="21" t="s">
        <v>1102</v>
      </c>
      <c r="B270" s="22" t="s">
        <v>1107</v>
      </c>
      <c r="C270" s="22" t="s">
        <v>636</v>
      </c>
      <c r="D270" s="22">
        <v>40</v>
      </c>
      <c r="E270" s="22">
        <v>4</v>
      </c>
      <c r="F270" s="23" t="s">
        <v>11</v>
      </c>
    </row>
    <row r="271" spans="1:6" outlineLevel="2">
      <c r="A271" s="21" t="s">
        <v>1102</v>
      </c>
      <c r="B271" s="22" t="s">
        <v>1107</v>
      </c>
      <c r="C271" s="22" t="s">
        <v>10</v>
      </c>
      <c r="D271" s="22">
        <v>49</v>
      </c>
      <c r="E271" s="22">
        <v>3</v>
      </c>
      <c r="F271" s="23" t="s">
        <v>11</v>
      </c>
    </row>
    <row r="272" spans="1:6" outlineLevel="2">
      <c r="A272" s="21" t="s">
        <v>1102</v>
      </c>
      <c r="B272" s="22" t="s">
        <v>1107</v>
      </c>
      <c r="C272" s="22" t="s">
        <v>340</v>
      </c>
      <c r="D272" s="22">
        <v>45</v>
      </c>
      <c r="E272" s="22">
        <v>2</v>
      </c>
      <c r="F272" s="23" t="s">
        <v>11</v>
      </c>
    </row>
    <row r="273" spans="1:6" outlineLevel="2">
      <c r="A273" s="21" t="s">
        <v>1102</v>
      </c>
      <c r="B273" s="22" t="s">
        <v>1109</v>
      </c>
      <c r="C273" s="22" t="s">
        <v>10</v>
      </c>
      <c r="D273" s="22">
        <v>52</v>
      </c>
      <c r="E273" s="22">
        <v>3</v>
      </c>
      <c r="F273" s="23" t="s">
        <v>11</v>
      </c>
    </row>
    <row r="274" spans="1:6" outlineLevel="2">
      <c r="A274" s="21" t="s">
        <v>1102</v>
      </c>
      <c r="B274" s="22" t="s">
        <v>1111</v>
      </c>
      <c r="C274" s="22" t="s">
        <v>1627</v>
      </c>
      <c r="D274" s="22">
        <v>58</v>
      </c>
      <c r="E274" s="22">
        <v>2</v>
      </c>
      <c r="F274" s="23" t="s">
        <v>11</v>
      </c>
    </row>
    <row r="275" spans="1:6" outlineLevel="2">
      <c r="A275" s="21" t="s">
        <v>1102</v>
      </c>
      <c r="B275" s="22" t="s">
        <v>1111</v>
      </c>
      <c r="C275" s="22" t="s">
        <v>10</v>
      </c>
      <c r="D275" s="22">
        <v>58</v>
      </c>
      <c r="E275" s="22">
        <v>3</v>
      </c>
      <c r="F275" s="23" t="s">
        <v>11</v>
      </c>
    </row>
    <row r="276" spans="1:6" outlineLevel="2">
      <c r="A276" s="21" t="s">
        <v>1102</v>
      </c>
      <c r="B276" s="22" t="s">
        <v>1663</v>
      </c>
      <c r="C276" s="22" t="s">
        <v>1640</v>
      </c>
      <c r="D276" s="22">
        <v>41</v>
      </c>
      <c r="E276" s="22">
        <v>2</v>
      </c>
      <c r="F276" s="23" t="s">
        <v>11</v>
      </c>
    </row>
    <row r="277" spans="1:6" outlineLevel="2">
      <c r="A277" s="21" t="s">
        <v>1102</v>
      </c>
      <c r="B277" s="22" t="s">
        <v>1445</v>
      </c>
      <c r="C277" s="22" t="s">
        <v>1627</v>
      </c>
      <c r="D277" s="22">
        <v>49</v>
      </c>
      <c r="E277" s="22">
        <v>2</v>
      </c>
      <c r="F277" s="23" t="s">
        <v>11</v>
      </c>
    </row>
    <row r="278" spans="1:6" outlineLevel="2">
      <c r="A278" s="21" t="s">
        <v>1102</v>
      </c>
      <c r="B278" s="22" t="s">
        <v>1445</v>
      </c>
      <c r="C278" s="22" t="s">
        <v>636</v>
      </c>
      <c r="D278" s="22">
        <v>49</v>
      </c>
      <c r="E278" s="22">
        <v>4</v>
      </c>
      <c r="F278" s="23" t="s">
        <v>11</v>
      </c>
    </row>
    <row r="279" spans="1:6" outlineLevel="2">
      <c r="A279" s="21" t="s">
        <v>1102</v>
      </c>
      <c r="B279" s="22" t="s">
        <v>1445</v>
      </c>
      <c r="C279" s="22" t="s">
        <v>709</v>
      </c>
      <c r="D279" s="22">
        <v>55</v>
      </c>
      <c r="E279" s="22">
        <v>2</v>
      </c>
      <c r="F279" s="23" t="s">
        <v>11</v>
      </c>
    </row>
    <row r="280" spans="1:6" outlineLevel="2">
      <c r="A280" s="21" t="s">
        <v>1102</v>
      </c>
      <c r="B280" s="22" t="s">
        <v>1445</v>
      </c>
      <c r="C280" s="22" t="s">
        <v>1586</v>
      </c>
      <c r="D280" s="22">
        <v>50</v>
      </c>
      <c r="E280" s="22">
        <v>2</v>
      </c>
      <c r="F280" s="23" t="s">
        <v>11</v>
      </c>
    </row>
    <row r="281" spans="1:6" outlineLevel="2">
      <c r="A281" s="21" t="s">
        <v>1102</v>
      </c>
      <c r="B281" s="22" t="s">
        <v>1638</v>
      </c>
      <c r="C281" s="22" t="s">
        <v>1640</v>
      </c>
      <c r="D281" s="22">
        <v>51</v>
      </c>
      <c r="E281" s="22">
        <v>2</v>
      </c>
      <c r="F281" s="23" t="s">
        <v>11</v>
      </c>
    </row>
    <row r="282" spans="1:6" outlineLevel="2">
      <c r="A282" s="21" t="s">
        <v>1102</v>
      </c>
      <c r="B282" s="22" t="s">
        <v>1638</v>
      </c>
      <c r="C282" s="22" t="s">
        <v>1627</v>
      </c>
      <c r="D282" s="22">
        <v>54</v>
      </c>
      <c r="E282" s="22">
        <v>2</v>
      </c>
      <c r="F282" s="23" t="s">
        <v>11</v>
      </c>
    </row>
    <row r="283" spans="1:6" outlineLevel="2">
      <c r="A283" s="21" t="s">
        <v>1102</v>
      </c>
      <c r="B283" s="22" t="s">
        <v>1113</v>
      </c>
      <c r="C283" s="22" t="s">
        <v>1640</v>
      </c>
      <c r="D283" s="22">
        <v>58</v>
      </c>
      <c r="E283" s="22">
        <v>2</v>
      </c>
      <c r="F283" s="23" t="s">
        <v>11</v>
      </c>
    </row>
    <row r="284" spans="1:6" outlineLevel="2">
      <c r="A284" s="21" t="s">
        <v>1102</v>
      </c>
      <c r="B284" s="22" t="s">
        <v>1113</v>
      </c>
      <c r="C284" s="22" t="s">
        <v>1627</v>
      </c>
      <c r="D284" s="22">
        <v>56</v>
      </c>
      <c r="E284" s="22">
        <v>2</v>
      </c>
      <c r="F284" s="23" t="s">
        <v>11</v>
      </c>
    </row>
    <row r="285" spans="1:6" outlineLevel="2">
      <c r="A285" s="21" t="s">
        <v>1102</v>
      </c>
      <c r="B285" s="22" t="s">
        <v>1113</v>
      </c>
      <c r="C285" s="22" t="s">
        <v>10</v>
      </c>
      <c r="D285" s="22">
        <v>53</v>
      </c>
      <c r="E285" s="22">
        <v>3</v>
      </c>
      <c r="F285" s="23" t="s">
        <v>11</v>
      </c>
    </row>
    <row r="286" spans="1:6" outlineLevel="2">
      <c r="A286" s="21" t="s">
        <v>1102</v>
      </c>
      <c r="B286" s="22" t="s">
        <v>1115</v>
      </c>
      <c r="C286" s="22" t="s">
        <v>1640</v>
      </c>
      <c r="D286" s="22">
        <v>50</v>
      </c>
      <c r="E286" s="22">
        <v>2</v>
      </c>
      <c r="F286" s="23" t="s">
        <v>11</v>
      </c>
    </row>
    <row r="287" spans="1:6" outlineLevel="2">
      <c r="A287" s="21" t="s">
        <v>1102</v>
      </c>
      <c r="B287" s="22" t="s">
        <v>1115</v>
      </c>
      <c r="C287" s="22" t="s">
        <v>10</v>
      </c>
      <c r="D287" s="22">
        <v>43</v>
      </c>
      <c r="E287" s="22">
        <v>3</v>
      </c>
      <c r="F287" s="23" t="s">
        <v>11</v>
      </c>
    </row>
    <row r="288" spans="1:6" outlineLevel="2">
      <c r="A288" s="21" t="s">
        <v>1102</v>
      </c>
      <c r="B288" s="22" t="s">
        <v>1117</v>
      </c>
      <c r="C288" s="22" t="s">
        <v>636</v>
      </c>
      <c r="D288" s="22">
        <v>40</v>
      </c>
      <c r="E288" s="22">
        <v>4</v>
      </c>
      <c r="F288" s="23" t="s">
        <v>11</v>
      </c>
    </row>
    <row r="289" spans="1:6" outlineLevel="2">
      <c r="A289" s="21" t="s">
        <v>1102</v>
      </c>
      <c r="B289" s="22" t="s">
        <v>1117</v>
      </c>
      <c r="C289" s="22" t="s">
        <v>10</v>
      </c>
      <c r="D289" s="22">
        <v>40</v>
      </c>
      <c r="E289" s="22">
        <v>3</v>
      </c>
      <c r="F289" s="23" t="s">
        <v>11</v>
      </c>
    </row>
    <row r="290" spans="1:6" outlineLevel="2">
      <c r="A290" s="21" t="s">
        <v>1102</v>
      </c>
      <c r="B290" s="22" t="s">
        <v>1117</v>
      </c>
      <c r="C290" s="22" t="s">
        <v>340</v>
      </c>
      <c r="D290" s="22">
        <v>44</v>
      </c>
      <c r="E290" s="22">
        <v>2</v>
      </c>
      <c r="F290" s="23" t="s">
        <v>11</v>
      </c>
    </row>
    <row r="291" spans="1:6" outlineLevel="2">
      <c r="A291" s="21" t="s">
        <v>1102</v>
      </c>
      <c r="B291" s="22" t="s">
        <v>1119</v>
      </c>
      <c r="C291" s="22" t="s">
        <v>1640</v>
      </c>
      <c r="D291" s="22">
        <v>53</v>
      </c>
      <c r="E291" s="22">
        <v>2</v>
      </c>
      <c r="F291" s="23" t="s">
        <v>11</v>
      </c>
    </row>
    <row r="292" spans="1:6" outlineLevel="2">
      <c r="A292" s="21" t="s">
        <v>1102</v>
      </c>
      <c r="B292" s="22" t="s">
        <v>1119</v>
      </c>
      <c r="C292" s="22" t="s">
        <v>1627</v>
      </c>
      <c r="D292" s="22">
        <v>59</v>
      </c>
      <c r="E292" s="22">
        <v>2</v>
      </c>
      <c r="F292" s="23" t="s">
        <v>11</v>
      </c>
    </row>
    <row r="293" spans="1:6" outlineLevel="2">
      <c r="A293" s="21" t="s">
        <v>1102</v>
      </c>
      <c r="B293" s="22" t="s">
        <v>1119</v>
      </c>
      <c r="C293" s="22" t="s">
        <v>10</v>
      </c>
      <c r="D293" s="22">
        <v>45</v>
      </c>
      <c r="E293" s="22">
        <v>3</v>
      </c>
      <c r="F293" s="23" t="s">
        <v>11</v>
      </c>
    </row>
    <row r="294" spans="1:6" outlineLevel="2">
      <c r="A294" s="21" t="s">
        <v>1102</v>
      </c>
      <c r="B294" s="22" t="s">
        <v>1121</v>
      </c>
      <c r="C294" s="22" t="s">
        <v>636</v>
      </c>
      <c r="D294" s="22">
        <v>52</v>
      </c>
      <c r="E294" s="22">
        <v>4</v>
      </c>
      <c r="F294" s="23" t="s">
        <v>11</v>
      </c>
    </row>
    <row r="295" spans="1:6" outlineLevel="2">
      <c r="A295" s="21" t="s">
        <v>1102</v>
      </c>
      <c r="B295" s="22" t="s">
        <v>1121</v>
      </c>
      <c r="C295" s="22" t="s">
        <v>10</v>
      </c>
      <c r="D295" s="22">
        <v>50</v>
      </c>
      <c r="E295" s="22">
        <v>3</v>
      </c>
      <c r="F295" s="23" t="s">
        <v>11</v>
      </c>
    </row>
    <row r="296" spans="1:6" outlineLevel="2">
      <c r="A296" s="21" t="s">
        <v>1102</v>
      </c>
      <c r="B296" s="22" t="s">
        <v>1447</v>
      </c>
      <c r="C296" s="22" t="s">
        <v>1640</v>
      </c>
      <c r="D296" s="22">
        <v>52</v>
      </c>
      <c r="E296" s="22">
        <v>2</v>
      </c>
      <c r="F296" s="23" t="s">
        <v>11</v>
      </c>
    </row>
    <row r="297" spans="1:6" outlineLevel="2">
      <c r="A297" s="21" t="s">
        <v>1102</v>
      </c>
      <c r="B297" s="22" t="s">
        <v>1123</v>
      </c>
      <c r="C297" s="22" t="s">
        <v>1627</v>
      </c>
      <c r="D297" s="22">
        <v>57</v>
      </c>
      <c r="E297" s="22">
        <v>2</v>
      </c>
      <c r="F297" s="23" t="s">
        <v>11</v>
      </c>
    </row>
    <row r="298" spans="1:6" outlineLevel="2">
      <c r="A298" s="21" t="s">
        <v>1102</v>
      </c>
      <c r="B298" s="22" t="s">
        <v>1123</v>
      </c>
      <c r="C298" s="22" t="s">
        <v>10</v>
      </c>
      <c r="D298" s="22">
        <v>43</v>
      </c>
      <c r="E298" s="22">
        <v>3</v>
      </c>
      <c r="F298" s="23" t="s">
        <v>11</v>
      </c>
    </row>
    <row r="299" spans="1:6" outlineLevel="2">
      <c r="A299" s="21" t="s">
        <v>1102</v>
      </c>
      <c r="B299" s="22" t="s">
        <v>1123</v>
      </c>
      <c r="C299" s="22" t="s">
        <v>709</v>
      </c>
      <c r="D299" s="22">
        <v>52</v>
      </c>
      <c r="E299" s="22">
        <v>2</v>
      </c>
      <c r="F299" s="23" t="s">
        <v>11</v>
      </c>
    </row>
    <row r="300" spans="1:6" outlineLevel="2">
      <c r="A300" s="21" t="s">
        <v>1102</v>
      </c>
      <c r="B300" s="22" t="s">
        <v>1125</v>
      </c>
      <c r="C300" s="22" t="s">
        <v>636</v>
      </c>
      <c r="D300" s="22">
        <v>55</v>
      </c>
      <c r="E300" s="22">
        <v>4</v>
      </c>
      <c r="F300" s="23" t="s">
        <v>11</v>
      </c>
    </row>
    <row r="301" spans="1:6" outlineLevel="2">
      <c r="A301" s="21" t="s">
        <v>1102</v>
      </c>
      <c r="B301" s="22" t="s">
        <v>1125</v>
      </c>
      <c r="C301" s="22" t="s">
        <v>10</v>
      </c>
      <c r="D301" s="22">
        <v>56</v>
      </c>
      <c r="E301" s="22">
        <v>3</v>
      </c>
      <c r="F301" s="23" t="s">
        <v>11</v>
      </c>
    </row>
    <row r="302" spans="1:6" outlineLevel="2">
      <c r="A302" s="21" t="s">
        <v>1102</v>
      </c>
      <c r="B302" s="22" t="s">
        <v>1303</v>
      </c>
      <c r="C302" s="22" t="s">
        <v>340</v>
      </c>
      <c r="D302" s="22">
        <v>40</v>
      </c>
      <c r="E302" s="22">
        <v>2</v>
      </c>
      <c r="F302" s="23" t="s">
        <v>11</v>
      </c>
    </row>
    <row r="303" spans="1:6" outlineLevel="2">
      <c r="A303" s="21" t="s">
        <v>1102</v>
      </c>
      <c r="B303" s="22" t="s">
        <v>1499</v>
      </c>
      <c r="C303" s="22" t="s">
        <v>636</v>
      </c>
      <c r="D303" s="22">
        <v>49</v>
      </c>
      <c r="E303" s="22">
        <v>4</v>
      </c>
      <c r="F303" s="23" t="s">
        <v>11</v>
      </c>
    </row>
    <row r="304" spans="1:6" outlineLevel="2">
      <c r="A304" s="21" t="s">
        <v>1102</v>
      </c>
      <c r="B304" s="22" t="s">
        <v>1127</v>
      </c>
      <c r="C304" s="22" t="s">
        <v>10</v>
      </c>
      <c r="D304" s="22">
        <v>52</v>
      </c>
      <c r="E304" s="22">
        <v>3</v>
      </c>
      <c r="F304" s="23" t="s">
        <v>11</v>
      </c>
    </row>
    <row r="305" spans="1:6" outlineLevel="2">
      <c r="A305" s="21" t="s">
        <v>1102</v>
      </c>
      <c r="B305" s="22" t="s">
        <v>1129</v>
      </c>
      <c r="C305" s="22" t="s">
        <v>1627</v>
      </c>
      <c r="D305" s="22">
        <v>53</v>
      </c>
      <c r="E305" s="22">
        <v>2</v>
      </c>
      <c r="F305" s="23" t="s">
        <v>11</v>
      </c>
    </row>
    <row r="306" spans="1:6" outlineLevel="2">
      <c r="A306" s="21" t="s">
        <v>1102</v>
      </c>
      <c r="B306" s="22" t="s">
        <v>1129</v>
      </c>
      <c r="C306" s="22" t="s">
        <v>636</v>
      </c>
      <c r="D306" s="22">
        <v>46</v>
      </c>
      <c r="E306" s="22">
        <v>4</v>
      </c>
      <c r="F306" s="23" t="s">
        <v>11</v>
      </c>
    </row>
    <row r="307" spans="1:6" outlineLevel="2">
      <c r="A307" s="21" t="s">
        <v>1102</v>
      </c>
      <c r="B307" s="22" t="s">
        <v>1129</v>
      </c>
      <c r="C307" s="22" t="s">
        <v>10</v>
      </c>
      <c r="D307" s="22">
        <v>43</v>
      </c>
      <c r="E307" s="22">
        <v>3</v>
      </c>
      <c r="F307" s="23" t="s">
        <v>11</v>
      </c>
    </row>
    <row r="308" spans="1:6" outlineLevel="2">
      <c r="A308" s="21" t="s">
        <v>1102</v>
      </c>
      <c r="B308" s="22" t="s">
        <v>1129</v>
      </c>
      <c r="C308" s="22" t="s">
        <v>340</v>
      </c>
      <c r="D308" s="22">
        <v>43</v>
      </c>
      <c r="E308" s="22">
        <v>2</v>
      </c>
      <c r="F308" s="23" t="s">
        <v>11</v>
      </c>
    </row>
    <row r="309" spans="1:6" outlineLevel="2">
      <c r="A309" s="21" t="s">
        <v>1102</v>
      </c>
      <c r="B309" s="22" t="s">
        <v>1131</v>
      </c>
      <c r="C309" s="22" t="s">
        <v>1627</v>
      </c>
      <c r="D309" s="22">
        <v>59</v>
      </c>
      <c r="E309" s="22">
        <v>2</v>
      </c>
      <c r="F309" s="23" t="s">
        <v>11</v>
      </c>
    </row>
    <row r="310" spans="1:6" outlineLevel="2">
      <c r="A310" s="21" t="s">
        <v>1102</v>
      </c>
      <c r="B310" s="22" t="s">
        <v>1131</v>
      </c>
      <c r="C310" s="22" t="s">
        <v>10</v>
      </c>
      <c r="D310" s="22">
        <v>53</v>
      </c>
      <c r="E310" s="22">
        <v>3</v>
      </c>
      <c r="F310" s="23" t="s">
        <v>11</v>
      </c>
    </row>
    <row r="311" spans="1:6" outlineLevel="2">
      <c r="A311" s="21" t="s">
        <v>1102</v>
      </c>
      <c r="B311" s="22" t="s">
        <v>1131</v>
      </c>
      <c r="C311" s="22" t="s">
        <v>340</v>
      </c>
      <c r="D311" s="22">
        <v>52</v>
      </c>
      <c r="E311" s="22">
        <v>2</v>
      </c>
      <c r="F311" s="23" t="s">
        <v>11</v>
      </c>
    </row>
    <row r="312" spans="1:6" outlineLevel="2">
      <c r="A312" s="21" t="s">
        <v>1102</v>
      </c>
      <c r="B312" s="22" t="s">
        <v>1133</v>
      </c>
      <c r="C312" s="22" t="s">
        <v>1640</v>
      </c>
      <c r="D312" s="22">
        <v>56</v>
      </c>
      <c r="E312" s="22">
        <v>2</v>
      </c>
      <c r="F312" s="23" t="s">
        <v>11</v>
      </c>
    </row>
    <row r="313" spans="1:6" outlineLevel="2">
      <c r="A313" s="21" t="s">
        <v>1102</v>
      </c>
      <c r="B313" s="22" t="s">
        <v>1133</v>
      </c>
      <c r="C313" s="22" t="s">
        <v>636</v>
      </c>
      <c r="D313" s="22">
        <v>55</v>
      </c>
      <c r="E313" s="22">
        <v>4</v>
      </c>
      <c r="F313" s="23" t="s">
        <v>11</v>
      </c>
    </row>
    <row r="314" spans="1:6" outlineLevel="2">
      <c r="A314" s="21" t="s">
        <v>1102</v>
      </c>
      <c r="B314" s="22" t="s">
        <v>1133</v>
      </c>
      <c r="C314" s="22" t="s">
        <v>10</v>
      </c>
      <c r="D314" s="22">
        <v>55</v>
      </c>
      <c r="E314" s="22">
        <v>3</v>
      </c>
      <c r="F314" s="23" t="s">
        <v>11</v>
      </c>
    </row>
    <row r="315" spans="1:6" outlineLevel="1">
      <c r="A315" s="24" t="s">
        <v>1871</v>
      </c>
      <c r="B315" s="22">
        <f>SUBTOTAL(3,B265:B314)</f>
        <v>50</v>
      </c>
      <c r="C315" s="22"/>
      <c r="D315" s="22"/>
      <c r="E315" s="22"/>
      <c r="F315" s="23"/>
    </row>
    <row r="316" spans="1:6" outlineLevel="2">
      <c r="A316" s="21" t="s">
        <v>1191</v>
      </c>
      <c r="B316" s="22" t="s">
        <v>1501</v>
      </c>
      <c r="C316" s="22" t="s">
        <v>1640</v>
      </c>
      <c r="D316" s="22">
        <v>56</v>
      </c>
      <c r="E316" s="22">
        <v>2</v>
      </c>
      <c r="F316" s="23" t="s">
        <v>11</v>
      </c>
    </row>
    <row r="317" spans="1:6" outlineLevel="2">
      <c r="A317" s="21" t="s">
        <v>1191</v>
      </c>
      <c r="B317" s="22" t="s">
        <v>1501</v>
      </c>
      <c r="C317" s="22" t="s">
        <v>1627</v>
      </c>
      <c r="D317" s="22">
        <v>54</v>
      </c>
      <c r="E317" s="22">
        <v>2</v>
      </c>
      <c r="F317" s="23" t="s">
        <v>11</v>
      </c>
    </row>
    <row r="318" spans="1:6" outlineLevel="2">
      <c r="A318" s="21" t="s">
        <v>1191</v>
      </c>
      <c r="B318" s="22" t="s">
        <v>1501</v>
      </c>
      <c r="C318" s="22" t="s">
        <v>636</v>
      </c>
      <c r="D318" s="22">
        <v>50</v>
      </c>
      <c r="E318" s="22">
        <v>4</v>
      </c>
      <c r="F318" s="23" t="s">
        <v>11</v>
      </c>
    </row>
    <row r="319" spans="1:6" outlineLevel="2">
      <c r="A319" s="21" t="s">
        <v>1191</v>
      </c>
      <c r="B319" s="22" t="s">
        <v>1319</v>
      </c>
      <c r="C319" s="22" t="s">
        <v>1627</v>
      </c>
      <c r="D319" s="22">
        <v>55</v>
      </c>
      <c r="E319" s="22">
        <v>2</v>
      </c>
      <c r="F319" s="23" t="s">
        <v>11</v>
      </c>
    </row>
    <row r="320" spans="1:6" outlineLevel="2">
      <c r="A320" s="21" t="s">
        <v>1191</v>
      </c>
      <c r="B320" s="22" t="s">
        <v>1319</v>
      </c>
      <c r="C320" s="22" t="s">
        <v>340</v>
      </c>
      <c r="D320" s="22">
        <v>48</v>
      </c>
      <c r="E320" s="22">
        <v>2</v>
      </c>
      <c r="F320" s="23" t="s">
        <v>11</v>
      </c>
    </row>
    <row r="321" spans="1:6" outlineLevel="2">
      <c r="A321" s="21" t="s">
        <v>1191</v>
      </c>
      <c r="B321" s="22" t="s">
        <v>1321</v>
      </c>
      <c r="C321" s="22" t="s">
        <v>340</v>
      </c>
      <c r="D321" s="22">
        <v>45</v>
      </c>
      <c r="E321" s="22">
        <v>2</v>
      </c>
      <c r="F321" s="23" t="s">
        <v>11</v>
      </c>
    </row>
    <row r="322" spans="1:6" outlineLevel="2">
      <c r="A322" s="21" t="s">
        <v>1191</v>
      </c>
      <c r="B322" s="22" t="s">
        <v>1323</v>
      </c>
      <c r="C322" s="22" t="s">
        <v>1627</v>
      </c>
      <c r="D322" s="22">
        <v>57</v>
      </c>
      <c r="E322" s="22">
        <v>2</v>
      </c>
      <c r="F322" s="23" t="s">
        <v>11</v>
      </c>
    </row>
    <row r="323" spans="1:6" outlineLevel="2">
      <c r="A323" s="21" t="s">
        <v>1191</v>
      </c>
      <c r="B323" s="22" t="s">
        <v>1323</v>
      </c>
      <c r="C323" s="22" t="s">
        <v>340</v>
      </c>
      <c r="D323" s="22">
        <v>54</v>
      </c>
      <c r="E323" s="22">
        <v>2</v>
      </c>
      <c r="F323" s="23" t="s">
        <v>11</v>
      </c>
    </row>
    <row r="324" spans="1:6" outlineLevel="2">
      <c r="A324" s="21" t="s">
        <v>1191</v>
      </c>
      <c r="B324" s="22" t="s">
        <v>1453</v>
      </c>
      <c r="C324" s="22" t="s">
        <v>636</v>
      </c>
      <c r="D324" s="22">
        <v>55</v>
      </c>
      <c r="E324" s="22">
        <v>4</v>
      </c>
      <c r="F324" s="23" t="s">
        <v>11</v>
      </c>
    </row>
    <row r="325" spans="1:6" outlineLevel="2">
      <c r="A325" s="21" t="s">
        <v>1191</v>
      </c>
      <c r="B325" s="22" t="s">
        <v>1634</v>
      </c>
      <c r="C325" s="22" t="s">
        <v>1640</v>
      </c>
      <c r="D325" s="22">
        <v>50</v>
      </c>
      <c r="E325" s="22">
        <v>2</v>
      </c>
      <c r="F325" s="23" t="s">
        <v>11</v>
      </c>
    </row>
    <row r="326" spans="1:6" outlineLevel="2">
      <c r="A326" s="21" t="s">
        <v>1191</v>
      </c>
      <c r="B326" s="22" t="s">
        <v>1634</v>
      </c>
      <c r="C326" s="22" t="s">
        <v>1627</v>
      </c>
      <c r="D326" s="22">
        <v>53</v>
      </c>
      <c r="E326" s="22">
        <v>2</v>
      </c>
      <c r="F326" s="23" t="s">
        <v>11</v>
      </c>
    </row>
    <row r="327" spans="1:6" outlineLevel="2">
      <c r="A327" s="21" t="s">
        <v>1191</v>
      </c>
      <c r="B327" s="22" t="s">
        <v>1192</v>
      </c>
      <c r="C327" s="22" t="s">
        <v>1640</v>
      </c>
      <c r="D327" s="22">
        <v>45</v>
      </c>
      <c r="E327" s="22">
        <v>2</v>
      </c>
      <c r="F327" s="23" t="s">
        <v>11</v>
      </c>
    </row>
    <row r="328" spans="1:6" outlineLevel="2">
      <c r="A328" s="21" t="s">
        <v>1191</v>
      </c>
      <c r="B328" s="22" t="s">
        <v>1192</v>
      </c>
      <c r="C328" s="22" t="s">
        <v>1627</v>
      </c>
      <c r="D328" s="22">
        <v>51</v>
      </c>
      <c r="E328" s="22">
        <v>2</v>
      </c>
      <c r="F328" s="23" t="s">
        <v>11</v>
      </c>
    </row>
    <row r="329" spans="1:6" outlineLevel="2">
      <c r="A329" s="21" t="s">
        <v>1191</v>
      </c>
      <c r="B329" s="22" t="s">
        <v>1192</v>
      </c>
      <c r="C329" s="22" t="s">
        <v>636</v>
      </c>
      <c r="D329" s="22">
        <v>49</v>
      </c>
      <c r="E329" s="22">
        <v>4</v>
      </c>
      <c r="F329" s="23" t="s">
        <v>11</v>
      </c>
    </row>
    <row r="330" spans="1:6" outlineLevel="2">
      <c r="A330" s="21" t="s">
        <v>1191</v>
      </c>
      <c r="B330" s="22" t="s">
        <v>1192</v>
      </c>
      <c r="C330" s="22" t="s">
        <v>10</v>
      </c>
      <c r="D330" s="22">
        <v>55</v>
      </c>
      <c r="E330" s="22">
        <v>3</v>
      </c>
      <c r="F330" s="23" t="s">
        <v>11</v>
      </c>
    </row>
    <row r="331" spans="1:6" outlineLevel="2">
      <c r="A331" s="21" t="s">
        <v>1191</v>
      </c>
      <c r="B331" s="22" t="s">
        <v>1587</v>
      </c>
      <c r="C331" s="22" t="s">
        <v>1640</v>
      </c>
      <c r="D331" s="22">
        <v>57</v>
      </c>
      <c r="E331" s="22">
        <v>2</v>
      </c>
      <c r="F331" s="23" t="s">
        <v>11</v>
      </c>
    </row>
    <row r="332" spans="1:6" outlineLevel="2">
      <c r="A332" s="21" t="s">
        <v>1191</v>
      </c>
      <c r="B332" s="22" t="s">
        <v>1587</v>
      </c>
      <c r="C332" s="22" t="s">
        <v>1586</v>
      </c>
      <c r="D332" s="22">
        <v>55</v>
      </c>
      <c r="E332" s="22">
        <v>2</v>
      </c>
      <c r="F332" s="23" t="s">
        <v>11</v>
      </c>
    </row>
    <row r="333" spans="1:6" outlineLevel="2">
      <c r="A333" s="21" t="s">
        <v>1191</v>
      </c>
      <c r="B333" s="22" t="s">
        <v>1325</v>
      </c>
      <c r="C333" s="22" t="s">
        <v>636</v>
      </c>
      <c r="D333" s="22">
        <v>48</v>
      </c>
      <c r="E333" s="22">
        <v>4</v>
      </c>
      <c r="F333" s="23" t="s">
        <v>11</v>
      </c>
    </row>
    <row r="334" spans="1:6" outlineLevel="2">
      <c r="A334" s="21" t="s">
        <v>1191</v>
      </c>
      <c r="B334" s="22" t="s">
        <v>1325</v>
      </c>
      <c r="C334" s="22" t="s">
        <v>340</v>
      </c>
      <c r="D334" s="22">
        <v>41</v>
      </c>
      <c r="E334" s="22">
        <v>2</v>
      </c>
      <c r="F334" s="23" t="s">
        <v>11</v>
      </c>
    </row>
    <row r="335" spans="1:6" outlineLevel="2">
      <c r="A335" s="21" t="s">
        <v>1191</v>
      </c>
      <c r="B335" s="22" t="s">
        <v>1194</v>
      </c>
      <c r="C335" s="22" t="s">
        <v>1640</v>
      </c>
      <c r="D335" s="22">
        <v>46</v>
      </c>
      <c r="E335" s="22">
        <v>2</v>
      </c>
      <c r="F335" s="23" t="s">
        <v>11</v>
      </c>
    </row>
    <row r="336" spans="1:6" outlineLevel="2">
      <c r="A336" s="21" t="s">
        <v>1191</v>
      </c>
      <c r="B336" s="22" t="s">
        <v>1194</v>
      </c>
      <c r="C336" s="22" t="s">
        <v>636</v>
      </c>
      <c r="D336" s="22">
        <v>51</v>
      </c>
      <c r="E336" s="22">
        <v>4</v>
      </c>
      <c r="F336" s="23" t="s">
        <v>11</v>
      </c>
    </row>
    <row r="337" spans="1:6" outlineLevel="2">
      <c r="A337" s="21" t="s">
        <v>1191</v>
      </c>
      <c r="B337" s="22" t="s">
        <v>1194</v>
      </c>
      <c r="C337" s="22" t="s">
        <v>10</v>
      </c>
      <c r="D337" s="22">
        <v>41</v>
      </c>
      <c r="E337" s="22">
        <v>3</v>
      </c>
      <c r="F337" s="23" t="s">
        <v>11</v>
      </c>
    </row>
    <row r="338" spans="1:6" outlineLevel="2">
      <c r="A338" s="21" t="s">
        <v>1191</v>
      </c>
      <c r="B338" s="22" t="s">
        <v>1194</v>
      </c>
      <c r="C338" s="22" t="s">
        <v>1586</v>
      </c>
      <c r="D338" s="22">
        <v>42</v>
      </c>
      <c r="E338" s="22">
        <v>2</v>
      </c>
      <c r="F338" s="23" t="s">
        <v>11</v>
      </c>
    </row>
    <row r="339" spans="1:6" outlineLevel="2">
      <c r="A339" s="21" t="s">
        <v>1191</v>
      </c>
      <c r="B339" s="22" t="s">
        <v>1327</v>
      </c>
      <c r="C339" s="22" t="s">
        <v>1627</v>
      </c>
      <c r="D339" s="22">
        <v>58</v>
      </c>
      <c r="E339" s="22">
        <v>2</v>
      </c>
      <c r="F339" s="23" t="s">
        <v>11</v>
      </c>
    </row>
    <row r="340" spans="1:6" outlineLevel="2">
      <c r="A340" s="21" t="s">
        <v>1191</v>
      </c>
      <c r="B340" s="22" t="s">
        <v>1327</v>
      </c>
      <c r="C340" s="22" t="s">
        <v>636</v>
      </c>
      <c r="D340" s="22">
        <v>51</v>
      </c>
      <c r="E340" s="22">
        <v>4</v>
      </c>
      <c r="F340" s="23" t="s">
        <v>11</v>
      </c>
    </row>
    <row r="341" spans="1:6" outlineLevel="2">
      <c r="A341" s="21" t="s">
        <v>1191</v>
      </c>
      <c r="B341" s="22" t="s">
        <v>1327</v>
      </c>
      <c r="C341" s="22" t="s">
        <v>340</v>
      </c>
      <c r="D341" s="22">
        <v>46</v>
      </c>
      <c r="E341" s="22">
        <v>2</v>
      </c>
      <c r="F341" s="23" t="s">
        <v>11</v>
      </c>
    </row>
    <row r="342" spans="1:6" outlineLevel="2">
      <c r="A342" s="21" t="s">
        <v>1191</v>
      </c>
      <c r="B342" s="22" t="s">
        <v>1329</v>
      </c>
      <c r="C342" s="22" t="s">
        <v>340</v>
      </c>
      <c r="D342" s="22">
        <v>53</v>
      </c>
      <c r="E342" s="22">
        <v>2</v>
      </c>
      <c r="F342" s="23" t="s">
        <v>11</v>
      </c>
    </row>
    <row r="343" spans="1:6" outlineLevel="2">
      <c r="A343" s="21" t="s">
        <v>1191</v>
      </c>
      <c r="B343" s="22" t="s">
        <v>1331</v>
      </c>
      <c r="C343" s="22" t="s">
        <v>636</v>
      </c>
      <c r="D343" s="22">
        <v>44</v>
      </c>
      <c r="E343" s="22">
        <v>4</v>
      </c>
      <c r="F343" s="23" t="s">
        <v>11</v>
      </c>
    </row>
    <row r="344" spans="1:6" outlineLevel="2">
      <c r="A344" s="21" t="s">
        <v>1191</v>
      </c>
      <c r="B344" s="22" t="s">
        <v>1331</v>
      </c>
      <c r="C344" s="22" t="s">
        <v>340</v>
      </c>
      <c r="D344" s="22">
        <v>40</v>
      </c>
      <c r="E344" s="22">
        <v>2</v>
      </c>
      <c r="F344" s="23" t="s">
        <v>11</v>
      </c>
    </row>
    <row r="345" spans="1:6" outlineLevel="2">
      <c r="A345" s="21" t="s">
        <v>1191</v>
      </c>
      <c r="B345" s="22" t="s">
        <v>1333</v>
      </c>
      <c r="C345" s="22" t="s">
        <v>1627</v>
      </c>
      <c r="D345" s="22">
        <v>57</v>
      </c>
      <c r="E345" s="22">
        <v>2</v>
      </c>
      <c r="F345" s="23" t="s">
        <v>11</v>
      </c>
    </row>
    <row r="346" spans="1:6" outlineLevel="2">
      <c r="A346" s="21" t="s">
        <v>1191</v>
      </c>
      <c r="B346" s="22" t="s">
        <v>1333</v>
      </c>
      <c r="C346" s="22" t="s">
        <v>340</v>
      </c>
      <c r="D346" s="22">
        <v>40</v>
      </c>
      <c r="E346" s="22">
        <v>2</v>
      </c>
      <c r="F346" s="23" t="s">
        <v>11</v>
      </c>
    </row>
    <row r="347" spans="1:6" outlineLevel="2">
      <c r="A347" s="21" t="s">
        <v>1191</v>
      </c>
      <c r="B347" s="22" t="s">
        <v>1503</v>
      </c>
      <c r="C347" s="22" t="s">
        <v>1640</v>
      </c>
      <c r="D347" s="22">
        <v>57</v>
      </c>
      <c r="E347" s="22">
        <v>2</v>
      </c>
      <c r="F347" s="23" t="s">
        <v>11</v>
      </c>
    </row>
    <row r="348" spans="1:6" outlineLevel="2">
      <c r="A348" s="21" t="s">
        <v>1191</v>
      </c>
      <c r="B348" s="22" t="s">
        <v>1503</v>
      </c>
      <c r="C348" s="22" t="s">
        <v>1627</v>
      </c>
      <c r="D348" s="22">
        <v>56</v>
      </c>
      <c r="E348" s="22">
        <v>2</v>
      </c>
      <c r="F348" s="23" t="s">
        <v>11</v>
      </c>
    </row>
    <row r="349" spans="1:6" outlineLevel="2">
      <c r="A349" s="21" t="s">
        <v>1191</v>
      </c>
      <c r="B349" s="22" t="s">
        <v>1503</v>
      </c>
      <c r="C349" s="22" t="s">
        <v>636</v>
      </c>
      <c r="D349" s="22">
        <v>51</v>
      </c>
      <c r="E349" s="22">
        <v>4</v>
      </c>
      <c r="F349" s="23" t="s">
        <v>11</v>
      </c>
    </row>
    <row r="350" spans="1:6" outlineLevel="2">
      <c r="A350" s="21" t="s">
        <v>1191</v>
      </c>
      <c r="B350" s="22" t="s">
        <v>1503</v>
      </c>
      <c r="C350" s="22" t="s">
        <v>709</v>
      </c>
      <c r="D350" s="22">
        <v>50</v>
      </c>
      <c r="E350" s="22">
        <v>2</v>
      </c>
      <c r="F350" s="23" t="s">
        <v>11</v>
      </c>
    </row>
    <row r="351" spans="1:6" outlineLevel="2">
      <c r="A351" s="21" t="s">
        <v>1191</v>
      </c>
      <c r="B351" s="22" t="s">
        <v>1636</v>
      </c>
      <c r="C351" s="22" t="s">
        <v>1627</v>
      </c>
      <c r="D351" s="22">
        <v>51</v>
      </c>
      <c r="E351" s="22">
        <v>2</v>
      </c>
      <c r="F351" s="23" t="s">
        <v>11</v>
      </c>
    </row>
    <row r="352" spans="1:6" outlineLevel="2">
      <c r="A352" s="21" t="s">
        <v>1191</v>
      </c>
      <c r="B352" s="22" t="s">
        <v>1196</v>
      </c>
      <c r="C352" s="22" t="s">
        <v>1627</v>
      </c>
      <c r="D352" s="22">
        <v>50</v>
      </c>
      <c r="E352" s="22">
        <v>2</v>
      </c>
      <c r="F352" s="23" t="s">
        <v>11</v>
      </c>
    </row>
    <row r="353" spans="1:6" outlineLevel="2">
      <c r="A353" s="21" t="s">
        <v>1191</v>
      </c>
      <c r="B353" s="22" t="s">
        <v>1196</v>
      </c>
      <c r="C353" s="22" t="s">
        <v>636</v>
      </c>
      <c r="D353" s="22">
        <v>55</v>
      </c>
      <c r="E353" s="22">
        <v>4</v>
      </c>
      <c r="F353" s="23" t="s">
        <v>11</v>
      </c>
    </row>
    <row r="354" spans="1:6" outlineLevel="2">
      <c r="A354" s="21" t="s">
        <v>1191</v>
      </c>
      <c r="B354" s="22" t="s">
        <v>1196</v>
      </c>
      <c r="C354" s="22" t="s">
        <v>10</v>
      </c>
      <c r="D354" s="22">
        <v>49</v>
      </c>
      <c r="E354" s="22">
        <v>3</v>
      </c>
      <c r="F354" s="23" t="s">
        <v>11</v>
      </c>
    </row>
    <row r="355" spans="1:6" outlineLevel="2">
      <c r="A355" s="21" t="s">
        <v>1191</v>
      </c>
      <c r="B355" s="22" t="s">
        <v>1335</v>
      </c>
      <c r="C355" s="22" t="s">
        <v>1627</v>
      </c>
      <c r="D355" s="22">
        <v>53</v>
      </c>
      <c r="E355" s="22">
        <v>2</v>
      </c>
      <c r="F355" s="23" t="s">
        <v>11</v>
      </c>
    </row>
    <row r="356" spans="1:6" outlineLevel="2">
      <c r="A356" s="21" t="s">
        <v>1191</v>
      </c>
      <c r="B356" s="22" t="s">
        <v>1335</v>
      </c>
      <c r="C356" s="22" t="s">
        <v>636</v>
      </c>
      <c r="D356" s="22">
        <v>47</v>
      </c>
      <c r="E356" s="22">
        <v>4</v>
      </c>
      <c r="F356" s="23" t="s">
        <v>11</v>
      </c>
    </row>
    <row r="357" spans="1:6" outlineLevel="2">
      <c r="A357" s="21" t="s">
        <v>1191</v>
      </c>
      <c r="B357" s="22" t="s">
        <v>1335</v>
      </c>
      <c r="C357" s="22" t="s">
        <v>340</v>
      </c>
      <c r="D357" s="22">
        <v>42</v>
      </c>
      <c r="E357" s="22">
        <v>2</v>
      </c>
      <c r="F357" s="23" t="s">
        <v>11</v>
      </c>
    </row>
    <row r="358" spans="1:6" outlineLevel="2">
      <c r="A358" s="21" t="s">
        <v>1191</v>
      </c>
      <c r="B358" s="22" t="s">
        <v>1505</v>
      </c>
      <c r="C358" s="22" t="s">
        <v>1640</v>
      </c>
      <c r="D358" s="22">
        <v>55</v>
      </c>
      <c r="E358" s="22">
        <v>2</v>
      </c>
      <c r="F358" s="23" t="s">
        <v>11</v>
      </c>
    </row>
    <row r="359" spans="1:6" outlineLevel="2">
      <c r="A359" s="21" t="s">
        <v>1191</v>
      </c>
      <c r="B359" s="22" t="s">
        <v>1505</v>
      </c>
      <c r="C359" s="22" t="s">
        <v>1627</v>
      </c>
      <c r="D359" s="22">
        <v>55</v>
      </c>
      <c r="E359" s="22">
        <v>2</v>
      </c>
      <c r="F359" s="23" t="s">
        <v>11</v>
      </c>
    </row>
    <row r="360" spans="1:6" outlineLevel="2">
      <c r="A360" s="21" t="s">
        <v>1191</v>
      </c>
      <c r="B360" s="22" t="s">
        <v>1505</v>
      </c>
      <c r="C360" s="22" t="s">
        <v>636</v>
      </c>
      <c r="D360" s="22">
        <v>45</v>
      </c>
      <c r="E360" s="22">
        <v>4</v>
      </c>
      <c r="F360" s="23" t="s">
        <v>11</v>
      </c>
    </row>
    <row r="361" spans="1:6" outlineLevel="2">
      <c r="A361" s="21" t="s">
        <v>1191</v>
      </c>
      <c r="B361" s="22" t="s">
        <v>1337</v>
      </c>
      <c r="C361" s="22" t="s">
        <v>340</v>
      </c>
      <c r="D361" s="22">
        <v>55</v>
      </c>
      <c r="E361" s="22">
        <v>2</v>
      </c>
      <c r="F361" s="23" t="s">
        <v>11</v>
      </c>
    </row>
    <row r="362" spans="1:6" outlineLevel="2">
      <c r="A362" s="21" t="s">
        <v>1191</v>
      </c>
      <c r="B362" s="22" t="s">
        <v>1198</v>
      </c>
      <c r="C362" s="22" t="s">
        <v>1627</v>
      </c>
      <c r="D362" s="22">
        <v>56</v>
      </c>
      <c r="E362" s="22">
        <v>2</v>
      </c>
      <c r="F362" s="23" t="s">
        <v>11</v>
      </c>
    </row>
    <row r="363" spans="1:6" outlineLevel="2">
      <c r="A363" s="21" t="s">
        <v>1191</v>
      </c>
      <c r="B363" s="22" t="s">
        <v>1198</v>
      </c>
      <c r="C363" s="22" t="s">
        <v>10</v>
      </c>
      <c r="D363" s="22">
        <v>42</v>
      </c>
      <c r="E363" s="22">
        <v>3</v>
      </c>
      <c r="F363" s="23" t="s">
        <v>11</v>
      </c>
    </row>
    <row r="364" spans="1:6" outlineLevel="2">
      <c r="A364" s="21" t="s">
        <v>1191</v>
      </c>
      <c r="B364" s="22" t="s">
        <v>1198</v>
      </c>
      <c r="C364" s="22" t="s">
        <v>340</v>
      </c>
      <c r="D364" s="22">
        <v>47</v>
      </c>
      <c r="E364" s="22">
        <v>2</v>
      </c>
      <c r="F364" s="23" t="s">
        <v>11</v>
      </c>
    </row>
    <row r="365" spans="1:6" outlineLevel="2">
      <c r="A365" s="21" t="s">
        <v>1191</v>
      </c>
      <c r="B365" s="22" t="s">
        <v>1198</v>
      </c>
      <c r="C365" s="22" t="s">
        <v>709</v>
      </c>
      <c r="D365" s="22">
        <v>42</v>
      </c>
      <c r="E365" s="22">
        <v>2</v>
      </c>
      <c r="F365" s="23" t="s">
        <v>11</v>
      </c>
    </row>
    <row r="366" spans="1:6" outlineLevel="1">
      <c r="A366" s="24" t="s">
        <v>1872</v>
      </c>
      <c r="B366" s="22">
        <f>SUBTOTAL(3,B316:B365)</f>
        <v>50</v>
      </c>
      <c r="C366" s="22"/>
      <c r="D366" s="22"/>
      <c r="E366" s="22"/>
      <c r="F366" s="23"/>
    </row>
    <row r="367" spans="1:6" outlineLevel="2">
      <c r="A367" s="21" t="s">
        <v>998</v>
      </c>
      <c r="B367" s="22" t="s">
        <v>999</v>
      </c>
      <c r="C367" s="22" t="s">
        <v>636</v>
      </c>
      <c r="D367" s="22">
        <v>55</v>
      </c>
      <c r="E367" s="22">
        <v>4</v>
      </c>
      <c r="F367" s="23" t="s">
        <v>11</v>
      </c>
    </row>
    <row r="368" spans="1:6" outlineLevel="2">
      <c r="A368" s="21" t="s">
        <v>998</v>
      </c>
      <c r="B368" s="22" t="s">
        <v>999</v>
      </c>
      <c r="C368" s="22" t="s">
        <v>10</v>
      </c>
      <c r="D368" s="22">
        <v>41</v>
      </c>
      <c r="E368" s="22">
        <v>3</v>
      </c>
      <c r="F368" s="23" t="s">
        <v>11</v>
      </c>
    </row>
    <row r="369" spans="1:6" outlineLevel="2">
      <c r="A369" s="21" t="s">
        <v>998</v>
      </c>
      <c r="B369" s="22" t="s">
        <v>1657</v>
      </c>
      <c r="C369" s="22" t="s">
        <v>1640</v>
      </c>
      <c r="D369" s="22">
        <v>49</v>
      </c>
      <c r="E369" s="22">
        <v>2</v>
      </c>
      <c r="F369" s="23" t="s">
        <v>11</v>
      </c>
    </row>
    <row r="370" spans="1:6" outlineLevel="2">
      <c r="A370" s="21" t="s">
        <v>998</v>
      </c>
      <c r="B370" s="22" t="s">
        <v>1659</v>
      </c>
      <c r="C370" s="22" t="s">
        <v>1640</v>
      </c>
      <c r="D370" s="22">
        <v>40</v>
      </c>
      <c r="E370" s="22">
        <v>2</v>
      </c>
      <c r="F370" s="23" t="s">
        <v>11</v>
      </c>
    </row>
    <row r="371" spans="1:6" outlineLevel="2">
      <c r="A371" s="21" t="s">
        <v>998</v>
      </c>
      <c r="B371" s="22" t="s">
        <v>1582</v>
      </c>
      <c r="C371" s="22" t="s">
        <v>793</v>
      </c>
      <c r="D371" s="22">
        <v>40</v>
      </c>
      <c r="E371" s="22">
        <v>2</v>
      </c>
      <c r="F371" s="23" t="s">
        <v>11</v>
      </c>
    </row>
    <row r="372" spans="1:6" outlineLevel="2">
      <c r="A372" s="21" t="s">
        <v>998</v>
      </c>
      <c r="B372" s="22" t="s">
        <v>1001</v>
      </c>
      <c r="C372" s="22" t="s">
        <v>10</v>
      </c>
      <c r="D372" s="22">
        <v>53</v>
      </c>
      <c r="E372" s="22">
        <v>3</v>
      </c>
      <c r="F372" s="23" t="s">
        <v>11</v>
      </c>
    </row>
    <row r="373" spans="1:6" outlineLevel="2">
      <c r="A373" s="21" t="s">
        <v>998</v>
      </c>
      <c r="B373" s="22" t="s">
        <v>1003</v>
      </c>
      <c r="C373" s="22" t="s">
        <v>1640</v>
      </c>
      <c r="D373" s="22">
        <v>40</v>
      </c>
      <c r="E373" s="22">
        <v>2</v>
      </c>
      <c r="F373" s="23" t="s">
        <v>11</v>
      </c>
    </row>
    <row r="374" spans="1:6" outlineLevel="2">
      <c r="A374" s="21" t="s">
        <v>998</v>
      </c>
      <c r="B374" s="22" t="s">
        <v>1003</v>
      </c>
      <c r="C374" s="22" t="s">
        <v>636</v>
      </c>
      <c r="D374" s="22">
        <v>50</v>
      </c>
      <c r="E374" s="22">
        <v>4</v>
      </c>
      <c r="F374" s="23" t="s">
        <v>11</v>
      </c>
    </row>
    <row r="375" spans="1:6" outlineLevel="2">
      <c r="A375" s="21" t="s">
        <v>998</v>
      </c>
      <c r="B375" s="22" t="s">
        <v>1003</v>
      </c>
      <c r="C375" s="22" t="s">
        <v>10</v>
      </c>
      <c r="D375" s="22">
        <v>48</v>
      </c>
      <c r="E375" s="22">
        <v>3</v>
      </c>
      <c r="F375" s="23" t="s">
        <v>11</v>
      </c>
    </row>
    <row r="376" spans="1:6" outlineLevel="2">
      <c r="A376" s="21" t="s">
        <v>998</v>
      </c>
      <c r="B376" s="22" t="s">
        <v>1661</v>
      </c>
      <c r="C376" s="22" t="s">
        <v>1640</v>
      </c>
      <c r="D376" s="22">
        <v>43</v>
      </c>
      <c r="E376" s="22">
        <v>2</v>
      </c>
      <c r="F376" s="23" t="s">
        <v>11</v>
      </c>
    </row>
    <row r="377" spans="1:6" outlineLevel="2">
      <c r="A377" s="21" t="s">
        <v>998</v>
      </c>
      <c r="B377" s="22" t="s">
        <v>1005</v>
      </c>
      <c r="C377" s="22" t="s">
        <v>10</v>
      </c>
      <c r="D377" s="22">
        <v>52</v>
      </c>
      <c r="E377" s="22">
        <v>3</v>
      </c>
      <c r="F377" s="23" t="s">
        <v>11</v>
      </c>
    </row>
    <row r="378" spans="1:6" outlineLevel="2">
      <c r="A378" s="21" t="s">
        <v>998</v>
      </c>
      <c r="B378" s="22" t="s">
        <v>1574</v>
      </c>
      <c r="C378" s="22" t="s">
        <v>1567</v>
      </c>
      <c r="D378" s="22">
        <v>44</v>
      </c>
      <c r="E378" s="22">
        <v>2</v>
      </c>
      <c r="F378" s="23" t="s">
        <v>11</v>
      </c>
    </row>
    <row r="379" spans="1:6" outlineLevel="2">
      <c r="A379" s="21" t="s">
        <v>998</v>
      </c>
      <c r="B379" s="22" t="s">
        <v>1584</v>
      </c>
      <c r="C379" s="22" t="s">
        <v>793</v>
      </c>
      <c r="D379" s="22">
        <v>42</v>
      </c>
      <c r="E379" s="22">
        <v>2</v>
      </c>
      <c r="F379" s="23" t="s">
        <v>11</v>
      </c>
    </row>
    <row r="380" spans="1:6" outlineLevel="2">
      <c r="A380" s="21" t="s">
        <v>998</v>
      </c>
      <c r="B380" s="22" t="s">
        <v>1007</v>
      </c>
      <c r="C380" s="22" t="s">
        <v>10</v>
      </c>
      <c r="D380" s="22">
        <v>54</v>
      </c>
      <c r="E380" s="22">
        <v>3</v>
      </c>
      <c r="F380" s="23" t="s">
        <v>11</v>
      </c>
    </row>
    <row r="381" spans="1:6" outlineLevel="2">
      <c r="A381" s="21" t="s">
        <v>998</v>
      </c>
      <c r="B381" s="22" t="s">
        <v>1497</v>
      </c>
      <c r="C381" s="22" t="s">
        <v>636</v>
      </c>
      <c r="D381" s="22">
        <v>47</v>
      </c>
      <c r="E381" s="22">
        <v>4</v>
      </c>
      <c r="F381" s="23" t="s">
        <v>11</v>
      </c>
    </row>
    <row r="382" spans="1:6" outlineLevel="2">
      <c r="A382" s="21" t="s">
        <v>998</v>
      </c>
      <c r="B382" s="22" t="s">
        <v>1497</v>
      </c>
      <c r="C382" s="22" t="s">
        <v>793</v>
      </c>
      <c r="D382" s="22">
        <v>50</v>
      </c>
      <c r="E382" s="22">
        <v>2</v>
      </c>
      <c r="F382" s="23" t="s">
        <v>11</v>
      </c>
    </row>
    <row r="383" spans="1:6" outlineLevel="2">
      <c r="A383" s="21" t="s">
        <v>998</v>
      </c>
      <c r="B383" s="22" t="s">
        <v>1576</v>
      </c>
      <c r="C383" s="22" t="s">
        <v>1567</v>
      </c>
      <c r="D383" s="22">
        <v>41</v>
      </c>
      <c r="E383" s="22">
        <v>2</v>
      </c>
      <c r="F383" s="23" t="s">
        <v>11</v>
      </c>
    </row>
    <row r="384" spans="1:6" outlineLevel="2">
      <c r="A384" s="21" t="s">
        <v>998</v>
      </c>
      <c r="B384" s="22" t="s">
        <v>1576</v>
      </c>
      <c r="C384" s="22" t="s">
        <v>1640</v>
      </c>
      <c r="D384" s="22">
        <v>50</v>
      </c>
      <c r="E384" s="22">
        <v>2</v>
      </c>
      <c r="F384" s="23" t="s">
        <v>11</v>
      </c>
    </row>
    <row r="385" spans="1:6" outlineLevel="2">
      <c r="A385" s="21" t="s">
        <v>998</v>
      </c>
      <c r="B385" s="22" t="s">
        <v>1576</v>
      </c>
      <c r="C385" s="22" t="s">
        <v>793</v>
      </c>
      <c r="D385" s="22">
        <v>46</v>
      </c>
      <c r="E385" s="22">
        <v>2</v>
      </c>
      <c r="F385" s="23" t="s">
        <v>11</v>
      </c>
    </row>
    <row r="386" spans="1:6" outlineLevel="2">
      <c r="A386" s="21" t="s">
        <v>998</v>
      </c>
      <c r="B386" s="22" t="s">
        <v>1367</v>
      </c>
      <c r="C386" s="22" t="s">
        <v>340</v>
      </c>
      <c r="D386" s="22">
        <v>51</v>
      </c>
      <c r="E386" s="22">
        <v>2</v>
      </c>
      <c r="F386" s="23" t="s">
        <v>11</v>
      </c>
    </row>
    <row r="387" spans="1:6" outlineLevel="2">
      <c r="A387" s="21" t="s">
        <v>998</v>
      </c>
      <c r="B387" s="22" t="s">
        <v>1578</v>
      </c>
      <c r="C387" s="22" t="s">
        <v>1567</v>
      </c>
      <c r="D387" s="22">
        <v>46</v>
      </c>
      <c r="E387" s="22">
        <v>2</v>
      </c>
      <c r="F387" s="23" t="s">
        <v>11</v>
      </c>
    </row>
    <row r="388" spans="1:6" outlineLevel="1">
      <c r="A388" s="24" t="s">
        <v>1873</v>
      </c>
      <c r="B388" s="22">
        <f>SUBTOTAL(3,B367:B387)</f>
        <v>21</v>
      </c>
      <c r="C388" s="22"/>
      <c r="D388" s="22"/>
      <c r="E388" s="22"/>
      <c r="F388" s="23"/>
    </row>
    <row r="389" spans="1:6" outlineLevel="2">
      <c r="A389" s="21" t="s">
        <v>1217</v>
      </c>
      <c r="B389" s="22" t="s">
        <v>1643</v>
      </c>
      <c r="C389" s="22" t="s">
        <v>1640</v>
      </c>
      <c r="D389" s="22">
        <v>53</v>
      </c>
      <c r="E389" s="22">
        <v>2</v>
      </c>
      <c r="F389" s="23" t="s">
        <v>11</v>
      </c>
    </row>
    <row r="390" spans="1:6" outlineLevel="2">
      <c r="A390" s="21" t="s">
        <v>1217</v>
      </c>
      <c r="B390" s="22" t="s">
        <v>1645</v>
      </c>
      <c r="C390" s="22" t="s">
        <v>1640</v>
      </c>
      <c r="D390" s="22">
        <v>48</v>
      </c>
      <c r="E390" s="22">
        <v>2</v>
      </c>
      <c r="F390" s="23" t="s">
        <v>11</v>
      </c>
    </row>
    <row r="391" spans="1:6" outlineLevel="2">
      <c r="A391" s="21" t="s">
        <v>1217</v>
      </c>
      <c r="B391" s="22" t="s">
        <v>1404</v>
      </c>
      <c r="C391" s="22" t="s">
        <v>636</v>
      </c>
      <c r="D391" s="22">
        <v>40</v>
      </c>
      <c r="E391" s="22">
        <v>4</v>
      </c>
      <c r="F391" s="23" t="s">
        <v>11</v>
      </c>
    </row>
    <row r="392" spans="1:6" outlineLevel="2">
      <c r="A392" s="21" t="s">
        <v>1217</v>
      </c>
      <c r="B392" s="22" t="s">
        <v>1404</v>
      </c>
      <c r="C392" s="22" t="s">
        <v>340</v>
      </c>
      <c r="D392" s="22">
        <v>40</v>
      </c>
      <c r="E392" s="22">
        <v>2</v>
      </c>
      <c r="F392" s="23" t="s">
        <v>11</v>
      </c>
    </row>
    <row r="393" spans="1:6" outlineLevel="2">
      <c r="A393" s="21" t="s">
        <v>1217</v>
      </c>
      <c r="B393" s="22" t="s">
        <v>1559</v>
      </c>
      <c r="C393" s="22" t="s">
        <v>636</v>
      </c>
      <c r="D393" s="22">
        <v>56</v>
      </c>
      <c r="E393" s="22">
        <v>4</v>
      </c>
      <c r="F393" s="23" t="s">
        <v>11</v>
      </c>
    </row>
    <row r="394" spans="1:6" outlineLevel="2">
      <c r="A394" s="21" t="s">
        <v>1217</v>
      </c>
      <c r="B394" s="22" t="s">
        <v>1647</v>
      </c>
      <c r="C394" s="22" t="s">
        <v>1640</v>
      </c>
      <c r="D394" s="22">
        <v>55</v>
      </c>
      <c r="E394" s="22">
        <v>2</v>
      </c>
      <c r="F394" s="23" t="s">
        <v>11</v>
      </c>
    </row>
    <row r="395" spans="1:6" outlineLevel="2">
      <c r="A395" s="21" t="s">
        <v>1217</v>
      </c>
      <c r="B395" s="22" t="s">
        <v>1218</v>
      </c>
      <c r="C395" s="22" t="s">
        <v>10</v>
      </c>
      <c r="D395" s="22">
        <v>56</v>
      </c>
      <c r="E395" s="22">
        <v>3</v>
      </c>
      <c r="F395" s="23" t="s">
        <v>11</v>
      </c>
    </row>
    <row r="396" spans="1:6" outlineLevel="2">
      <c r="A396" s="21" t="s">
        <v>1217</v>
      </c>
      <c r="B396" s="22" t="s">
        <v>1220</v>
      </c>
      <c r="C396" s="22" t="s">
        <v>1640</v>
      </c>
      <c r="D396" s="22">
        <v>47</v>
      </c>
      <c r="E396" s="22">
        <v>2</v>
      </c>
      <c r="F396" s="23" t="s">
        <v>11</v>
      </c>
    </row>
    <row r="397" spans="1:6" outlineLevel="2">
      <c r="A397" s="21" t="s">
        <v>1217</v>
      </c>
      <c r="B397" s="22" t="s">
        <v>1220</v>
      </c>
      <c r="C397" s="22" t="s">
        <v>10</v>
      </c>
      <c r="D397" s="22">
        <v>54</v>
      </c>
      <c r="E397" s="22">
        <v>3</v>
      </c>
      <c r="F397" s="23" t="s">
        <v>11</v>
      </c>
    </row>
    <row r="398" spans="1:6" outlineLevel="2">
      <c r="A398" s="21" t="s">
        <v>1217</v>
      </c>
      <c r="B398" s="22" t="s">
        <v>1220</v>
      </c>
      <c r="C398" s="22" t="s">
        <v>340</v>
      </c>
      <c r="D398" s="22">
        <v>46</v>
      </c>
      <c r="E398" s="22">
        <v>2</v>
      </c>
      <c r="F398" s="23" t="s">
        <v>11</v>
      </c>
    </row>
    <row r="399" spans="1:6" outlineLevel="2">
      <c r="A399" s="21" t="s">
        <v>1217</v>
      </c>
      <c r="B399" s="22" t="s">
        <v>1561</v>
      </c>
      <c r="C399" s="22" t="s">
        <v>1640</v>
      </c>
      <c r="D399" s="22">
        <v>45</v>
      </c>
      <c r="E399" s="22">
        <v>2</v>
      </c>
      <c r="F399" s="23" t="s">
        <v>11</v>
      </c>
    </row>
    <row r="400" spans="1:6" outlineLevel="2">
      <c r="A400" s="21" t="s">
        <v>1217</v>
      </c>
      <c r="B400" s="22" t="s">
        <v>1561</v>
      </c>
      <c r="C400" s="22" t="s">
        <v>636</v>
      </c>
      <c r="D400" s="22">
        <v>58</v>
      </c>
      <c r="E400" s="22">
        <v>4</v>
      </c>
      <c r="F400" s="23" t="s">
        <v>11</v>
      </c>
    </row>
    <row r="401" spans="1:6" outlineLevel="2">
      <c r="A401" s="21" t="s">
        <v>1217</v>
      </c>
      <c r="B401" s="22" t="s">
        <v>1649</v>
      </c>
      <c r="C401" s="22" t="s">
        <v>1640</v>
      </c>
      <c r="D401" s="22">
        <v>46</v>
      </c>
      <c r="E401" s="22">
        <v>2</v>
      </c>
      <c r="F401" s="23" t="s">
        <v>11</v>
      </c>
    </row>
    <row r="402" spans="1:6" outlineLevel="2">
      <c r="A402" s="21" t="s">
        <v>1217</v>
      </c>
      <c r="B402" s="22" t="s">
        <v>1406</v>
      </c>
      <c r="C402" s="22" t="s">
        <v>340</v>
      </c>
      <c r="D402" s="22">
        <v>50</v>
      </c>
      <c r="E402" s="22">
        <v>2</v>
      </c>
      <c r="F402" s="23" t="s">
        <v>11</v>
      </c>
    </row>
    <row r="403" spans="1:6" outlineLevel="2">
      <c r="A403" s="21" t="s">
        <v>1217</v>
      </c>
      <c r="B403" s="22" t="s">
        <v>1572</v>
      </c>
      <c r="C403" s="22" t="s">
        <v>1567</v>
      </c>
      <c r="D403" s="22">
        <v>40</v>
      </c>
      <c r="E403" s="22">
        <v>2</v>
      </c>
      <c r="F403" s="23" t="s">
        <v>11</v>
      </c>
    </row>
    <row r="404" spans="1:6" outlineLevel="2">
      <c r="A404" s="21" t="s">
        <v>1217</v>
      </c>
      <c r="B404" s="22" t="s">
        <v>1572</v>
      </c>
      <c r="C404" s="22" t="s">
        <v>793</v>
      </c>
      <c r="D404" s="22">
        <v>40</v>
      </c>
      <c r="E404" s="22">
        <v>2</v>
      </c>
      <c r="F404" s="23" t="s">
        <v>11</v>
      </c>
    </row>
    <row r="405" spans="1:6" outlineLevel="2">
      <c r="A405" s="21" t="s">
        <v>1217</v>
      </c>
      <c r="B405" s="22" t="s">
        <v>1222</v>
      </c>
      <c r="C405" s="22" t="s">
        <v>636</v>
      </c>
      <c r="D405" s="22">
        <v>40</v>
      </c>
      <c r="E405" s="22">
        <v>4</v>
      </c>
      <c r="F405" s="23" t="s">
        <v>11</v>
      </c>
    </row>
    <row r="406" spans="1:6" outlineLevel="2">
      <c r="A406" s="21" t="s">
        <v>1217</v>
      </c>
      <c r="B406" s="22" t="s">
        <v>1222</v>
      </c>
      <c r="C406" s="22" t="s">
        <v>10</v>
      </c>
      <c r="D406" s="22">
        <v>40</v>
      </c>
      <c r="E406" s="22">
        <v>3</v>
      </c>
      <c r="F406" s="23" t="s">
        <v>11</v>
      </c>
    </row>
    <row r="407" spans="1:6" outlineLevel="2">
      <c r="A407" s="21" t="s">
        <v>1217</v>
      </c>
      <c r="B407" s="22" t="s">
        <v>1222</v>
      </c>
      <c r="C407" s="22" t="s">
        <v>340</v>
      </c>
      <c r="D407" s="22">
        <v>40</v>
      </c>
      <c r="E407" s="22">
        <v>2</v>
      </c>
      <c r="F407" s="23" t="s">
        <v>11</v>
      </c>
    </row>
    <row r="408" spans="1:6" outlineLevel="2">
      <c r="A408" s="21" t="s">
        <v>1217</v>
      </c>
      <c r="B408" s="22" t="s">
        <v>1651</v>
      </c>
      <c r="C408" s="22" t="s">
        <v>1640</v>
      </c>
      <c r="D408" s="22">
        <v>52</v>
      </c>
      <c r="E408" s="22">
        <v>2</v>
      </c>
      <c r="F408" s="23" t="s">
        <v>11</v>
      </c>
    </row>
    <row r="409" spans="1:6" outlineLevel="2">
      <c r="A409" s="21" t="s">
        <v>1217</v>
      </c>
      <c r="B409" s="22" t="s">
        <v>1653</v>
      </c>
      <c r="C409" s="22" t="s">
        <v>1640</v>
      </c>
      <c r="D409" s="22">
        <v>53</v>
      </c>
      <c r="E409" s="22">
        <v>2</v>
      </c>
      <c r="F409" s="23" t="s">
        <v>11</v>
      </c>
    </row>
    <row r="410" spans="1:6" outlineLevel="2">
      <c r="A410" s="21" t="s">
        <v>1217</v>
      </c>
      <c r="B410" s="22" t="s">
        <v>1655</v>
      </c>
      <c r="C410" s="22" t="s">
        <v>1640</v>
      </c>
      <c r="D410" s="22">
        <v>48</v>
      </c>
      <c r="E410" s="22">
        <v>2</v>
      </c>
      <c r="F410" s="23" t="s">
        <v>11</v>
      </c>
    </row>
    <row r="411" spans="1:6" outlineLevel="2">
      <c r="A411" s="21" t="s">
        <v>1217</v>
      </c>
      <c r="B411" s="22" t="s">
        <v>1224</v>
      </c>
      <c r="C411" s="22" t="s">
        <v>1640</v>
      </c>
      <c r="D411" s="22">
        <v>43</v>
      </c>
      <c r="E411" s="22">
        <v>2</v>
      </c>
      <c r="F411" s="23" t="s">
        <v>11</v>
      </c>
    </row>
    <row r="412" spans="1:6" outlineLevel="2">
      <c r="A412" s="21" t="s">
        <v>1217</v>
      </c>
      <c r="B412" s="22" t="s">
        <v>1224</v>
      </c>
      <c r="C412" s="22" t="s">
        <v>10</v>
      </c>
      <c r="D412" s="22">
        <v>56</v>
      </c>
      <c r="E412" s="22">
        <v>3</v>
      </c>
      <c r="F412" s="23" t="s">
        <v>11</v>
      </c>
    </row>
    <row r="413" spans="1:6" outlineLevel="2">
      <c r="A413" s="21" t="s">
        <v>1217</v>
      </c>
      <c r="B413" s="22" t="s">
        <v>1224</v>
      </c>
      <c r="C413" s="22" t="s">
        <v>340</v>
      </c>
      <c r="D413" s="22">
        <v>46</v>
      </c>
      <c r="E413" s="22">
        <v>2</v>
      </c>
      <c r="F413" s="23" t="s">
        <v>11</v>
      </c>
    </row>
    <row r="414" spans="1:6" outlineLevel="2">
      <c r="A414" s="21" t="s">
        <v>1217</v>
      </c>
      <c r="B414" s="22" t="s">
        <v>1226</v>
      </c>
      <c r="C414" s="22" t="s">
        <v>10</v>
      </c>
      <c r="D414" s="22">
        <v>41</v>
      </c>
      <c r="E414" s="22">
        <v>3</v>
      </c>
      <c r="F414" s="23" t="s">
        <v>11</v>
      </c>
    </row>
    <row r="415" spans="1:6" outlineLevel="2">
      <c r="A415" s="21" t="s">
        <v>1217</v>
      </c>
      <c r="B415" s="22" t="s">
        <v>1408</v>
      </c>
      <c r="C415" s="22" t="s">
        <v>636</v>
      </c>
      <c r="D415" s="22">
        <v>58</v>
      </c>
      <c r="E415" s="22">
        <v>4</v>
      </c>
      <c r="F415" s="23" t="s">
        <v>11</v>
      </c>
    </row>
    <row r="416" spans="1:6" outlineLevel="2">
      <c r="A416" s="21" t="s">
        <v>1217</v>
      </c>
      <c r="B416" s="22" t="s">
        <v>1408</v>
      </c>
      <c r="C416" s="22" t="s">
        <v>340</v>
      </c>
      <c r="D416" s="22">
        <v>51</v>
      </c>
      <c r="E416" s="22">
        <v>2</v>
      </c>
      <c r="F416" s="23" t="s">
        <v>11</v>
      </c>
    </row>
    <row r="417" spans="1:6" outlineLevel="2">
      <c r="A417" s="21" t="s">
        <v>1217</v>
      </c>
      <c r="B417" s="22" t="s">
        <v>1228</v>
      </c>
      <c r="C417" s="22" t="s">
        <v>1567</v>
      </c>
      <c r="D417" s="22">
        <v>52</v>
      </c>
      <c r="E417" s="22">
        <v>2</v>
      </c>
      <c r="F417" s="23" t="s">
        <v>11</v>
      </c>
    </row>
    <row r="418" spans="1:6" outlineLevel="2">
      <c r="A418" s="21" t="s">
        <v>1217</v>
      </c>
      <c r="B418" s="22" t="s">
        <v>1228</v>
      </c>
      <c r="C418" s="22" t="s">
        <v>10</v>
      </c>
      <c r="D418" s="22">
        <v>40</v>
      </c>
      <c r="E418" s="22">
        <v>3</v>
      </c>
      <c r="F418" s="23" t="s">
        <v>11</v>
      </c>
    </row>
    <row r="419" spans="1:6" outlineLevel="2">
      <c r="A419" s="21" t="s">
        <v>1217</v>
      </c>
      <c r="B419" s="22" t="s">
        <v>1410</v>
      </c>
      <c r="C419" s="22" t="s">
        <v>340</v>
      </c>
      <c r="D419" s="22">
        <v>41</v>
      </c>
      <c r="E419" s="22">
        <v>2</v>
      </c>
      <c r="F419" s="23" t="s">
        <v>11</v>
      </c>
    </row>
    <row r="420" spans="1:6" outlineLevel="2">
      <c r="A420" s="21" t="s">
        <v>1217</v>
      </c>
      <c r="B420" s="22" t="s">
        <v>1632</v>
      </c>
      <c r="C420" s="22" t="s">
        <v>1640</v>
      </c>
      <c r="D420" s="22">
        <v>55</v>
      </c>
      <c r="E420" s="22">
        <v>2</v>
      </c>
      <c r="F420" s="23" t="s">
        <v>11</v>
      </c>
    </row>
    <row r="421" spans="1:6" outlineLevel="2">
      <c r="A421" s="21" t="s">
        <v>1217</v>
      </c>
      <c r="B421" s="22" t="s">
        <v>1632</v>
      </c>
      <c r="C421" s="22" t="s">
        <v>1627</v>
      </c>
      <c r="D421" s="22">
        <v>48</v>
      </c>
      <c r="E421" s="22">
        <v>2</v>
      </c>
      <c r="F421" s="23" t="s">
        <v>11</v>
      </c>
    </row>
    <row r="422" spans="1:6" outlineLevel="2">
      <c r="A422" s="21" t="s">
        <v>1217</v>
      </c>
      <c r="B422" s="22" t="s">
        <v>1229</v>
      </c>
      <c r="C422" s="22" t="s">
        <v>10</v>
      </c>
      <c r="D422" s="22">
        <v>50</v>
      </c>
      <c r="E422" s="22">
        <v>3</v>
      </c>
      <c r="F422" s="23" t="s">
        <v>11</v>
      </c>
    </row>
    <row r="423" spans="1:6" outlineLevel="1">
      <c r="A423" s="24" t="s">
        <v>1874</v>
      </c>
      <c r="B423" s="22">
        <f>SUBTOTAL(3,B389:B422)</f>
        <v>34</v>
      </c>
      <c r="C423" s="22"/>
      <c r="D423" s="22"/>
      <c r="E423" s="22"/>
      <c r="F423" s="23"/>
    </row>
    <row r="424" spans="1:6" outlineLevel="2">
      <c r="A424" s="21" t="s">
        <v>1171</v>
      </c>
      <c r="B424" s="22" t="s">
        <v>1243</v>
      </c>
      <c r="C424" s="22" t="s">
        <v>340</v>
      </c>
      <c r="D424" s="22">
        <v>40</v>
      </c>
      <c r="E424" s="22">
        <v>2</v>
      </c>
      <c r="F424" s="23" t="s">
        <v>11</v>
      </c>
    </row>
    <row r="425" spans="1:6" outlineLevel="2">
      <c r="A425" s="21" t="s">
        <v>1171</v>
      </c>
      <c r="B425" s="22" t="s">
        <v>1172</v>
      </c>
      <c r="C425" s="22" t="s">
        <v>10</v>
      </c>
      <c r="D425" s="22">
        <v>54</v>
      </c>
      <c r="E425" s="22">
        <v>3</v>
      </c>
      <c r="F425" s="23" t="s">
        <v>11</v>
      </c>
    </row>
    <row r="426" spans="1:6" outlineLevel="2">
      <c r="A426" s="21" t="s">
        <v>1171</v>
      </c>
      <c r="B426" s="22" t="s">
        <v>1475</v>
      </c>
      <c r="C426" s="22" t="s">
        <v>1640</v>
      </c>
      <c r="D426" s="22">
        <v>53</v>
      </c>
      <c r="E426" s="22">
        <v>2</v>
      </c>
      <c r="F426" s="23" t="s">
        <v>11</v>
      </c>
    </row>
    <row r="427" spans="1:6" outlineLevel="2">
      <c r="A427" s="21" t="s">
        <v>1171</v>
      </c>
      <c r="B427" s="22" t="s">
        <v>1475</v>
      </c>
      <c r="C427" s="22" t="s">
        <v>636</v>
      </c>
      <c r="D427" s="22">
        <v>40</v>
      </c>
      <c r="E427" s="22">
        <v>4</v>
      </c>
      <c r="F427" s="23" t="s">
        <v>11</v>
      </c>
    </row>
    <row r="428" spans="1:6" outlineLevel="2">
      <c r="A428" s="21" t="s">
        <v>1171</v>
      </c>
      <c r="B428" s="22" t="s">
        <v>1174</v>
      </c>
      <c r="C428" s="22" t="s">
        <v>10</v>
      </c>
      <c r="D428" s="22">
        <v>56</v>
      </c>
      <c r="E428" s="22">
        <v>3</v>
      </c>
      <c r="F428" s="23" t="s">
        <v>11</v>
      </c>
    </row>
    <row r="429" spans="1:6" outlineLevel="2">
      <c r="A429" s="21" t="s">
        <v>1171</v>
      </c>
      <c r="B429" s="22" t="s">
        <v>1245</v>
      </c>
      <c r="C429" s="22" t="s">
        <v>340</v>
      </c>
      <c r="D429" s="22">
        <v>40</v>
      </c>
      <c r="E429" s="22">
        <v>2</v>
      </c>
      <c r="F429" s="23" t="s">
        <v>11</v>
      </c>
    </row>
    <row r="430" spans="1:6" outlineLevel="2">
      <c r="A430" s="21" t="s">
        <v>1171</v>
      </c>
      <c r="B430" s="22" t="s">
        <v>1247</v>
      </c>
      <c r="C430" s="22" t="s">
        <v>636</v>
      </c>
      <c r="D430" s="22">
        <v>40</v>
      </c>
      <c r="E430" s="22">
        <v>4</v>
      </c>
      <c r="F430" s="23" t="s">
        <v>11</v>
      </c>
    </row>
    <row r="431" spans="1:6" outlineLevel="2">
      <c r="A431" s="21" t="s">
        <v>1171</v>
      </c>
      <c r="B431" s="22" t="s">
        <v>1247</v>
      </c>
      <c r="C431" s="22" t="s">
        <v>340</v>
      </c>
      <c r="D431" s="22">
        <v>41</v>
      </c>
      <c r="E431" s="22">
        <v>2</v>
      </c>
      <c r="F431" s="23" t="s">
        <v>11</v>
      </c>
    </row>
    <row r="432" spans="1:6" outlineLevel="2">
      <c r="A432" s="21" t="s">
        <v>1171</v>
      </c>
      <c r="B432" s="22" t="s">
        <v>1176</v>
      </c>
      <c r="C432" s="22" t="s">
        <v>10</v>
      </c>
      <c r="D432" s="22">
        <v>53</v>
      </c>
      <c r="E432" s="22">
        <v>3</v>
      </c>
      <c r="F432" s="23" t="s">
        <v>11</v>
      </c>
    </row>
    <row r="433" spans="1:6" outlineLevel="2">
      <c r="A433" s="21" t="s">
        <v>1171</v>
      </c>
      <c r="B433" s="22" t="s">
        <v>1176</v>
      </c>
      <c r="C433" s="22" t="s">
        <v>340</v>
      </c>
      <c r="D433" s="22">
        <v>53</v>
      </c>
      <c r="E433" s="22">
        <v>2</v>
      </c>
      <c r="F433" s="23" t="s">
        <v>11</v>
      </c>
    </row>
    <row r="434" spans="1:6" outlineLevel="2">
      <c r="A434" s="21" t="s">
        <v>1171</v>
      </c>
      <c r="B434" s="22" t="s">
        <v>1249</v>
      </c>
      <c r="C434" s="22" t="s">
        <v>340</v>
      </c>
      <c r="D434" s="22">
        <v>51</v>
      </c>
      <c r="E434" s="22">
        <v>2</v>
      </c>
      <c r="F434" s="23" t="s">
        <v>11</v>
      </c>
    </row>
    <row r="435" spans="1:6" outlineLevel="2">
      <c r="A435" s="21" t="s">
        <v>1171</v>
      </c>
      <c r="B435" s="22" t="s">
        <v>1477</v>
      </c>
      <c r="C435" s="22" t="s">
        <v>1640</v>
      </c>
      <c r="D435" s="22">
        <v>51</v>
      </c>
      <c r="E435" s="22">
        <v>2</v>
      </c>
      <c r="F435" s="23" t="s">
        <v>11</v>
      </c>
    </row>
    <row r="436" spans="1:6" outlineLevel="2">
      <c r="A436" s="21" t="s">
        <v>1171</v>
      </c>
      <c r="B436" s="22" t="s">
        <v>1477</v>
      </c>
      <c r="C436" s="22" t="s">
        <v>636</v>
      </c>
      <c r="D436" s="22">
        <v>44</v>
      </c>
      <c r="E436" s="22">
        <v>4</v>
      </c>
      <c r="F436" s="23" t="s">
        <v>11</v>
      </c>
    </row>
    <row r="437" spans="1:6" outlineLevel="2">
      <c r="A437" s="21" t="s">
        <v>1171</v>
      </c>
      <c r="B437" s="22" t="s">
        <v>1479</v>
      </c>
      <c r="C437" s="22" t="s">
        <v>636</v>
      </c>
      <c r="D437" s="22">
        <v>40</v>
      </c>
      <c r="E437" s="22">
        <v>4</v>
      </c>
      <c r="F437" s="23" t="s">
        <v>11</v>
      </c>
    </row>
    <row r="438" spans="1:6" outlineLevel="2">
      <c r="A438" s="21" t="s">
        <v>1171</v>
      </c>
      <c r="B438" s="22" t="s">
        <v>1251</v>
      </c>
      <c r="C438" s="22" t="s">
        <v>636</v>
      </c>
      <c r="D438" s="22">
        <v>40</v>
      </c>
      <c r="E438" s="22">
        <v>4</v>
      </c>
      <c r="F438" s="23" t="s">
        <v>11</v>
      </c>
    </row>
    <row r="439" spans="1:6" outlineLevel="2">
      <c r="A439" s="21" t="s">
        <v>1171</v>
      </c>
      <c r="B439" s="22" t="s">
        <v>1251</v>
      </c>
      <c r="C439" s="22" t="s">
        <v>340</v>
      </c>
      <c r="D439" s="22">
        <v>40</v>
      </c>
      <c r="E439" s="22">
        <v>2</v>
      </c>
      <c r="F439" s="23" t="s">
        <v>11</v>
      </c>
    </row>
    <row r="440" spans="1:6" outlineLevel="2">
      <c r="A440" s="21" t="s">
        <v>1171</v>
      </c>
      <c r="B440" s="22" t="s">
        <v>1251</v>
      </c>
      <c r="C440" s="22" t="s">
        <v>709</v>
      </c>
      <c r="D440" s="22">
        <v>55</v>
      </c>
      <c r="E440" s="22">
        <v>2</v>
      </c>
      <c r="F440" s="23" t="s">
        <v>11</v>
      </c>
    </row>
    <row r="441" spans="1:6" outlineLevel="2">
      <c r="A441" s="21" t="s">
        <v>1171</v>
      </c>
      <c r="B441" s="22" t="s">
        <v>1178</v>
      </c>
      <c r="C441" s="22" t="s">
        <v>1640</v>
      </c>
      <c r="D441" s="22">
        <v>42</v>
      </c>
      <c r="E441" s="22">
        <v>2</v>
      </c>
      <c r="F441" s="23" t="s">
        <v>11</v>
      </c>
    </row>
    <row r="442" spans="1:6" outlineLevel="2">
      <c r="A442" s="21" t="s">
        <v>1171</v>
      </c>
      <c r="B442" s="22" t="s">
        <v>1178</v>
      </c>
      <c r="C442" s="22" t="s">
        <v>10</v>
      </c>
      <c r="D442" s="22">
        <v>40</v>
      </c>
      <c r="E442" s="22">
        <v>3</v>
      </c>
      <c r="F442" s="23" t="s">
        <v>11</v>
      </c>
    </row>
    <row r="443" spans="1:6" outlineLevel="2">
      <c r="A443" s="21" t="s">
        <v>1171</v>
      </c>
      <c r="B443" s="22" t="s">
        <v>1178</v>
      </c>
      <c r="C443" s="22" t="s">
        <v>709</v>
      </c>
      <c r="D443" s="22">
        <v>51</v>
      </c>
      <c r="E443" s="22">
        <v>2</v>
      </c>
      <c r="F443" s="23" t="s">
        <v>11</v>
      </c>
    </row>
    <row r="444" spans="1:6" outlineLevel="2">
      <c r="A444" s="21" t="s">
        <v>1171</v>
      </c>
      <c r="B444" s="22" t="s">
        <v>1178</v>
      </c>
      <c r="C444" s="22" t="s">
        <v>1586</v>
      </c>
      <c r="D444" s="22">
        <v>47</v>
      </c>
      <c r="E444" s="22">
        <v>2</v>
      </c>
      <c r="F444" s="23" t="s">
        <v>11</v>
      </c>
    </row>
    <row r="445" spans="1:6" outlineLevel="2">
      <c r="A445" s="21" t="s">
        <v>1171</v>
      </c>
      <c r="B445" s="22" t="s">
        <v>1180</v>
      </c>
      <c r="C445" s="22" t="s">
        <v>636</v>
      </c>
      <c r="D445" s="22">
        <v>40</v>
      </c>
      <c r="E445" s="22">
        <v>4</v>
      </c>
      <c r="F445" s="23" t="s">
        <v>11</v>
      </c>
    </row>
    <row r="446" spans="1:6" outlineLevel="2">
      <c r="A446" s="21" t="s">
        <v>1171</v>
      </c>
      <c r="B446" s="22" t="s">
        <v>1180</v>
      </c>
      <c r="C446" s="22" t="s">
        <v>10</v>
      </c>
      <c r="D446" s="22">
        <v>40</v>
      </c>
      <c r="E446" s="22">
        <v>3</v>
      </c>
      <c r="F446" s="23" t="s">
        <v>11</v>
      </c>
    </row>
    <row r="447" spans="1:6" outlineLevel="2">
      <c r="A447" s="21" t="s">
        <v>1171</v>
      </c>
      <c r="B447" s="22" t="s">
        <v>1253</v>
      </c>
      <c r="C447" s="22" t="s">
        <v>1627</v>
      </c>
      <c r="D447" s="22">
        <v>41</v>
      </c>
      <c r="E447" s="22">
        <v>2</v>
      </c>
      <c r="F447" s="23" t="s">
        <v>11</v>
      </c>
    </row>
    <row r="448" spans="1:6" outlineLevel="2">
      <c r="A448" s="21" t="s">
        <v>1171</v>
      </c>
      <c r="B448" s="22" t="s">
        <v>1253</v>
      </c>
      <c r="C448" s="22" t="s">
        <v>636</v>
      </c>
      <c r="D448" s="22">
        <v>40</v>
      </c>
      <c r="E448" s="22">
        <v>4</v>
      </c>
      <c r="F448" s="23" t="s">
        <v>11</v>
      </c>
    </row>
    <row r="449" spans="1:6" outlineLevel="2">
      <c r="A449" s="21" t="s">
        <v>1171</v>
      </c>
      <c r="B449" s="22" t="s">
        <v>1253</v>
      </c>
      <c r="C449" s="22" t="s">
        <v>340</v>
      </c>
      <c r="D449" s="22">
        <v>43</v>
      </c>
      <c r="E449" s="22">
        <v>2</v>
      </c>
      <c r="F449" s="23" t="s">
        <v>11</v>
      </c>
    </row>
    <row r="450" spans="1:6" outlineLevel="2">
      <c r="A450" s="21" t="s">
        <v>1171</v>
      </c>
      <c r="B450" s="22" t="s">
        <v>1253</v>
      </c>
      <c r="C450" s="22" t="s">
        <v>709</v>
      </c>
      <c r="D450" s="22">
        <v>55</v>
      </c>
      <c r="E450" s="22">
        <v>2</v>
      </c>
      <c r="F450" s="23" t="s">
        <v>11</v>
      </c>
    </row>
    <row r="451" spans="1:6" outlineLevel="2">
      <c r="A451" s="21" t="s">
        <v>1171</v>
      </c>
      <c r="B451" s="22" t="s">
        <v>1628</v>
      </c>
      <c r="C451" s="22" t="s">
        <v>1640</v>
      </c>
      <c r="D451" s="22">
        <v>54</v>
      </c>
      <c r="E451" s="22">
        <v>2</v>
      </c>
      <c r="F451" s="23" t="s">
        <v>11</v>
      </c>
    </row>
    <row r="452" spans="1:6" outlineLevel="2">
      <c r="A452" s="21" t="s">
        <v>1171</v>
      </c>
      <c r="B452" s="22" t="s">
        <v>1628</v>
      </c>
      <c r="C452" s="22" t="s">
        <v>1627</v>
      </c>
      <c r="D452" s="22">
        <v>51</v>
      </c>
      <c r="E452" s="22">
        <v>2</v>
      </c>
      <c r="F452" s="23" t="s">
        <v>11</v>
      </c>
    </row>
    <row r="453" spans="1:6" outlineLevel="2">
      <c r="A453" s="21" t="s">
        <v>1171</v>
      </c>
      <c r="B453" s="22" t="s">
        <v>1481</v>
      </c>
      <c r="C453" s="22" t="s">
        <v>636</v>
      </c>
      <c r="D453" s="22">
        <v>52</v>
      </c>
      <c r="E453" s="22">
        <v>4</v>
      </c>
      <c r="F453" s="23" t="s">
        <v>11</v>
      </c>
    </row>
    <row r="454" spans="1:6" outlineLevel="2">
      <c r="A454" s="21" t="s">
        <v>1171</v>
      </c>
      <c r="B454" s="22" t="s">
        <v>1255</v>
      </c>
      <c r="C454" s="22" t="s">
        <v>340</v>
      </c>
      <c r="D454" s="22">
        <v>52</v>
      </c>
      <c r="E454" s="22">
        <v>2</v>
      </c>
      <c r="F454" s="23" t="s">
        <v>11</v>
      </c>
    </row>
    <row r="455" spans="1:6" outlineLevel="2">
      <c r="A455" s="21" t="s">
        <v>1171</v>
      </c>
      <c r="B455" s="22" t="s">
        <v>1182</v>
      </c>
      <c r="C455" s="22" t="s">
        <v>1640</v>
      </c>
      <c r="D455" s="22">
        <v>53</v>
      </c>
      <c r="E455" s="22">
        <v>2</v>
      </c>
      <c r="F455" s="23" t="s">
        <v>11</v>
      </c>
    </row>
    <row r="456" spans="1:6" outlineLevel="2">
      <c r="A456" s="21" t="s">
        <v>1171</v>
      </c>
      <c r="B456" s="22" t="s">
        <v>1182</v>
      </c>
      <c r="C456" s="22" t="s">
        <v>1627</v>
      </c>
      <c r="D456" s="22">
        <v>49</v>
      </c>
      <c r="E456" s="22">
        <v>2</v>
      </c>
      <c r="F456" s="23" t="s">
        <v>11</v>
      </c>
    </row>
    <row r="457" spans="1:6" outlineLevel="2">
      <c r="A457" s="21" t="s">
        <v>1171</v>
      </c>
      <c r="B457" s="22" t="s">
        <v>1182</v>
      </c>
      <c r="C457" s="22" t="s">
        <v>636</v>
      </c>
      <c r="D457" s="22">
        <v>52</v>
      </c>
      <c r="E457" s="22">
        <v>4</v>
      </c>
      <c r="F457" s="23" t="s">
        <v>11</v>
      </c>
    </row>
    <row r="458" spans="1:6" outlineLevel="2">
      <c r="A458" s="21" t="s">
        <v>1171</v>
      </c>
      <c r="B458" s="22" t="s">
        <v>1182</v>
      </c>
      <c r="C458" s="22" t="s">
        <v>10</v>
      </c>
      <c r="D458" s="22">
        <v>52</v>
      </c>
      <c r="E458" s="22">
        <v>3</v>
      </c>
      <c r="F458" s="23" t="s">
        <v>11</v>
      </c>
    </row>
    <row r="459" spans="1:6" outlineLevel="2">
      <c r="A459" s="21" t="s">
        <v>1171</v>
      </c>
      <c r="B459" s="22" t="s">
        <v>1641</v>
      </c>
      <c r="C459" s="22" t="s">
        <v>1640</v>
      </c>
      <c r="D459" s="22">
        <v>52</v>
      </c>
      <c r="E459" s="22">
        <v>2</v>
      </c>
      <c r="F459" s="23" t="s">
        <v>11</v>
      </c>
    </row>
    <row r="460" spans="1:6" outlineLevel="1">
      <c r="A460" s="24" t="s">
        <v>1875</v>
      </c>
      <c r="B460" s="22">
        <f>SUBTOTAL(3,B424:B459)</f>
        <v>36</v>
      </c>
      <c r="C460" s="22"/>
      <c r="D460" s="22"/>
      <c r="E460" s="22"/>
      <c r="F460" s="23"/>
    </row>
    <row r="461" spans="1:6" outlineLevel="2">
      <c r="A461" s="21" t="s">
        <v>971</v>
      </c>
      <c r="B461" s="22" t="s">
        <v>1281</v>
      </c>
      <c r="C461" s="22" t="s">
        <v>636</v>
      </c>
      <c r="D461" s="22">
        <v>40</v>
      </c>
      <c r="E461" s="22">
        <v>4</v>
      </c>
      <c r="F461" s="23" t="s">
        <v>11</v>
      </c>
    </row>
    <row r="462" spans="1:6" outlineLevel="2">
      <c r="A462" s="21" t="s">
        <v>971</v>
      </c>
      <c r="B462" s="22" t="s">
        <v>1281</v>
      </c>
      <c r="C462" s="22" t="s">
        <v>340</v>
      </c>
      <c r="D462" s="22">
        <v>54</v>
      </c>
      <c r="E462" s="22">
        <v>2</v>
      </c>
      <c r="F462" s="23" t="s">
        <v>11</v>
      </c>
    </row>
    <row r="463" spans="1:6" outlineLevel="2">
      <c r="A463" s="21" t="s">
        <v>971</v>
      </c>
      <c r="B463" s="22" t="s">
        <v>972</v>
      </c>
      <c r="C463" s="22" t="s">
        <v>10</v>
      </c>
      <c r="D463" s="22">
        <v>56</v>
      </c>
      <c r="E463" s="22">
        <v>3</v>
      </c>
      <c r="F463" s="23" t="s">
        <v>11</v>
      </c>
    </row>
    <row r="464" spans="1:6" outlineLevel="2">
      <c r="A464" s="21" t="s">
        <v>971</v>
      </c>
      <c r="B464" s="22" t="s">
        <v>974</v>
      </c>
      <c r="C464" s="22" t="s">
        <v>10</v>
      </c>
      <c r="D464" s="22">
        <v>53</v>
      </c>
      <c r="E464" s="22">
        <v>3</v>
      </c>
      <c r="F464" s="23" t="s">
        <v>11</v>
      </c>
    </row>
    <row r="465" spans="1:6" outlineLevel="2">
      <c r="A465" s="21" t="s">
        <v>971</v>
      </c>
      <c r="B465" s="22" t="s">
        <v>976</v>
      </c>
      <c r="C465" s="22" t="s">
        <v>10</v>
      </c>
      <c r="D465" s="22">
        <v>54</v>
      </c>
      <c r="E465" s="22">
        <v>3</v>
      </c>
      <c r="F465" s="23" t="s">
        <v>11</v>
      </c>
    </row>
    <row r="466" spans="1:6" outlineLevel="2">
      <c r="A466" s="21" t="s">
        <v>971</v>
      </c>
      <c r="B466" s="22" t="s">
        <v>1283</v>
      </c>
      <c r="C466" s="22" t="s">
        <v>340</v>
      </c>
      <c r="D466" s="22">
        <v>46</v>
      </c>
      <c r="E466" s="22">
        <v>2</v>
      </c>
      <c r="F466" s="23" t="s">
        <v>11</v>
      </c>
    </row>
    <row r="467" spans="1:6" outlineLevel="2">
      <c r="A467" s="21" t="s">
        <v>971</v>
      </c>
      <c r="B467" s="22" t="s">
        <v>1555</v>
      </c>
      <c r="C467" s="22" t="s">
        <v>636</v>
      </c>
      <c r="D467" s="22">
        <v>40</v>
      </c>
      <c r="E467" s="22">
        <v>4</v>
      </c>
      <c r="F467" s="23" t="s">
        <v>11</v>
      </c>
    </row>
    <row r="468" spans="1:6" outlineLevel="2">
      <c r="A468" s="21" t="s">
        <v>971</v>
      </c>
      <c r="B468" s="22" t="s">
        <v>978</v>
      </c>
      <c r="C468" s="22" t="s">
        <v>10</v>
      </c>
      <c r="D468" s="22">
        <v>40</v>
      </c>
      <c r="E468" s="22">
        <v>3</v>
      </c>
      <c r="F468" s="23" t="s">
        <v>11</v>
      </c>
    </row>
    <row r="469" spans="1:6" outlineLevel="2">
      <c r="A469" s="21" t="s">
        <v>971</v>
      </c>
      <c r="B469" s="22" t="s">
        <v>1285</v>
      </c>
      <c r="C469" s="22" t="s">
        <v>636</v>
      </c>
      <c r="D469" s="22">
        <v>42</v>
      </c>
      <c r="E469" s="22">
        <v>4</v>
      </c>
      <c r="F469" s="23" t="s">
        <v>11</v>
      </c>
    </row>
    <row r="470" spans="1:6" outlineLevel="2">
      <c r="A470" s="21" t="s">
        <v>971</v>
      </c>
      <c r="B470" s="22" t="s">
        <v>1285</v>
      </c>
      <c r="C470" s="22" t="s">
        <v>340</v>
      </c>
      <c r="D470" s="22">
        <v>48</v>
      </c>
      <c r="E470" s="22">
        <v>2</v>
      </c>
      <c r="F470" s="23" t="s">
        <v>11</v>
      </c>
    </row>
    <row r="471" spans="1:6" outlineLevel="2">
      <c r="A471" s="21" t="s">
        <v>971</v>
      </c>
      <c r="B471" s="22" t="s">
        <v>980</v>
      </c>
      <c r="C471" s="22" t="s">
        <v>10</v>
      </c>
      <c r="D471" s="22">
        <v>53</v>
      </c>
      <c r="E471" s="22">
        <v>3</v>
      </c>
      <c r="F471" s="23" t="s">
        <v>11</v>
      </c>
    </row>
    <row r="472" spans="1:6" outlineLevel="2">
      <c r="A472" s="21" t="s">
        <v>971</v>
      </c>
      <c r="B472" s="22" t="s">
        <v>980</v>
      </c>
      <c r="C472" s="22" t="s">
        <v>340</v>
      </c>
      <c r="D472" s="22">
        <v>42</v>
      </c>
      <c r="E472" s="22">
        <v>2</v>
      </c>
      <c r="F472" s="23" t="s">
        <v>11</v>
      </c>
    </row>
    <row r="473" spans="1:6" outlineLevel="2">
      <c r="A473" s="21" t="s">
        <v>971</v>
      </c>
      <c r="B473" s="22" t="s">
        <v>982</v>
      </c>
      <c r="C473" s="22" t="s">
        <v>10</v>
      </c>
      <c r="D473" s="22">
        <v>47</v>
      </c>
      <c r="E473" s="22">
        <v>3</v>
      </c>
      <c r="F473" s="23" t="s">
        <v>11</v>
      </c>
    </row>
    <row r="474" spans="1:6" outlineLevel="2">
      <c r="A474" s="21" t="s">
        <v>971</v>
      </c>
      <c r="B474" s="22" t="s">
        <v>984</v>
      </c>
      <c r="C474" s="22" t="s">
        <v>636</v>
      </c>
      <c r="D474" s="22">
        <v>52</v>
      </c>
      <c r="E474" s="22">
        <v>4</v>
      </c>
      <c r="F474" s="23" t="s">
        <v>11</v>
      </c>
    </row>
    <row r="475" spans="1:6" outlineLevel="2">
      <c r="A475" s="21" t="s">
        <v>971</v>
      </c>
      <c r="B475" s="22" t="s">
        <v>984</v>
      </c>
      <c r="C475" s="22" t="s">
        <v>10</v>
      </c>
      <c r="D475" s="22">
        <v>52</v>
      </c>
      <c r="E475" s="22">
        <v>3</v>
      </c>
      <c r="F475" s="23" t="s">
        <v>11</v>
      </c>
    </row>
    <row r="476" spans="1:6" outlineLevel="2">
      <c r="A476" s="21" t="s">
        <v>971</v>
      </c>
      <c r="B476" s="22" t="s">
        <v>986</v>
      </c>
      <c r="C476" s="22" t="s">
        <v>636</v>
      </c>
      <c r="D476" s="22">
        <v>56</v>
      </c>
      <c r="E476" s="22">
        <v>4</v>
      </c>
      <c r="F476" s="23" t="s">
        <v>11</v>
      </c>
    </row>
    <row r="477" spans="1:6" outlineLevel="2">
      <c r="A477" s="21" t="s">
        <v>971</v>
      </c>
      <c r="B477" s="22" t="s">
        <v>986</v>
      </c>
      <c r="C477" s="22" t="s">
        <v>10</v>
      </c>
      <c r="D477" s="22">
        <v>56</v>
      </c>
      <c r="E477" s="22">
        <v>3</v>
      </c>
      <c r="F477" s="23" t="s">
        <v>11</v>
      </c>
    </row>
    <row r="478" spans="1:6" outlineLevel="2">
      <c r="A478" s="21" t="s">
        <v>971</v>
      </c>
      <c r="B478" s="22" t="s">
        <v>988</v>
      </c>
      <c r="C478" s="22" t="s">
        <v>10</v>
      </c>
      <c r="D478" s="22">
        <v>51</v>
      </c>
      <c r="E478" s="22">
        <v>3</v>
      </c>
      <c r="F478" s="23" t="s">
        <v>11</v>
      </c>
    </row>
    <row r="479" spans="1:6" outlineLevel="2">
      <c r="A479" s="21" t="s">
        <v>971</v>
      </c>
      <c r="B479" s="22" t="s">
        <v>988</v>
      </c>
      <c r="C479" s="22" t="s">
        <v>340</v>
      </c>
      <c r="D479" s="22">
        <v>54</v>
      </c>
      <c r="E479" s="22">
        <v>2</v>
      </c>
      <c r="F479" s="23" t="s">
        <v>11</v>
      </c>
    </row>
    <row r="480" spans="1:6" outlineLevel="2">
      <c r="A480" s="21" t="s">
        <v>971</v>
      </c>
      <c r="B480" s="22" t="s">
        <v>1557</v>
      </c>
      <c r="C480" s="22" t="s">
        <v>636</v>
      </c>
      <c r="D480" s="22">
        <v>52</v>
      </c>
      <c r="E480" s="22">
        <v>4</v>
      </c>
      <c r="F480" s="23" t="s">
        <v>11</v>
      </c>
    </row>
    <row r="481" spans="1:6" outlineLevel="2">
      <c r="A481" s="21" t="s">
        <v>971</v>
      </c>
      <c r="B481" s="22" t="s">
        <v>990</v>
      </c>
      <c r="C481" s="22" t="s">
        <v>10</v>
      </c>
      <c r="D481" s="22">
        <v>52</v>
      </c>
      <c r="E481" s="22">
        <v>3</v>
      </c>
      <c r="F481" s="23" t="s">
        <v>11</v>
      </c>
    </row>
    <row r="482" spans="1:6" outlineLevel="2">
      <c r="A482" s="21" t="s">
        <v>971</v>
      </c>
      <c r="B482" s="22" t="s">
        <v>990</v>
      </c>
      <c r="C482" s="22" t="s">
        <v>340</v>
      </c>
      <c r="D482" s="22">
        <v>47</v>
      </c>
      <c r="E482" s="22">
        <v>2</v>
      </c>
      <c r="F482" s="23" t="s">
        <v>11</v>
      </c>
    </row>
    <row r="483" spans="1:6" outlineLevel="2">
      <c r="A483" s="21" t="s">
        <v>971</v>
      </c>
      <c r="B483" s="22" t="s">
        <v>1287</v>
      </c>
      <c r="C483" s="22" t="s">
        <v>340</v>
      </c>
      <c r="D483" s="22">
        <v>41</v>
      </c>
      <c r="E483" s="22">
        <v>2</v>
      </c>
      <c r="F483" s="23" t="s">
        <v>11</v>
      </c>
    </row>
    <row r="484" spans="1:6" outlineLevel="2">
      <c r="A484" s="21" t="s">
        <v>971</v>
      </c>
      <c r="B484" s="22" t="s">
        <v>1289</v>
      </c>
      <c r="C484" s="22" t="s">
        <v>340</v>
      </c>
      <c r="D484" s="22">
        <v>42</v>
      </c>
      <c r="E484" s="22">
        <v>2</v>
      </c>
      <c r="F484" s="23" t="s">
        <v>11</v>
      </c>
    </row>
    <row r="485" spans="1:6" outlineLevel="2">
      <c r="A485" s="21" t="s">
        <v>971</v>
      </c>
      <c r="B485" s="22" t="s">
        <v>992</v>
      </c>
      <c r="C485" s="22" t="s">
        <v>636</v>
      </c>
      <c r="D485" s="22">
        <v>45</v>
      </c>
      <c r="E485" s="22">
        <v>4</v>
      </c>
      <c r="F485" s="23" t="s">
        <v>11</v>
      </c>
    </row>
    <row r="486" spans="1:6" outlineLevel="2">
      <c r="A486" s="21" t="s">
        <v>971</v>
      </c>
      <c r="B486" s="22" t="s">
        <v>992</v>
      </c>
      <c r="C486" s="22" t="s">
        <v>10</v>
      </c>
      <c r="D486" s="22">
        <v>50</v>
      </c>
      <c r="E486" s="22">
        <v>3</v>
      </c>
      <c r="F486" s="23" t="s">
        <v>11</v>
      </c>
    </row>
    <row r="487" spans="1:6" outlineLevel="2">
      <c r="A487" s="21" t="s">
        <v>971</v>
      </c>
      <c r="B487" s="22" t="s">
        <v>994</v>
      </c>
      <c r="C487" s="22" t="s">
        <v>10</v>
      </c>
      <c r="D487" s="22">
        <v>54</v>
      </c>
      <c r="E487" s="22">
        <v>3</v>
      </c>
      <c r="F487" s="23" t="s">
        <v>11</v>
      </c>
    </row>
    <row r="488" spans="1:6" outlineLevel="2">
      <c r="A488" s="21" t="s">
        <v>971</v>
      </c>
      <c r="B488" s="22" t="s">
        <v>996</v>
      </c>
      <c r="C488" s="22" t="s">
        <v>1627</v>
      </c>
      <c r="D488" s="22">
        <v>40</v>
      </c>
      <c r="E488" s="22">
        <v>2</v>
      </c>
      <c r="F488" s="23" t="s">
        <v>11</v>
      </c>
    </row>
    <row r="489" spans="1:6" outlineLevel="2">
      <c r="A489" s="21" t="s">
        <v>971</v>
      </c>
      <c r="B489" s="22" t="s">
        <v>996</v>
      </c>
      <c r="C489" s="22" t="s">
        <v>636</v>
      </c>
      <c r="D489" s="22">
        <v>45</v>
      </c>
      <c r="E489" s="22">
        <v>4</v>
      </c>
      <c r="F489" s="23" t="s">
        <v>11</v>
      </c>
    </row>
    <row r="490" spans="1:6" outlineLevel="2">
      <c r="A490" s="21" t="s">
        <v>971</v>
      </c>
      <c r="B490" s="22" t="s">
        <v>996</v>
      </c>
      <c r="C490" s="22" t="s">
        <v>10</v>
      </c>
      <c r="D490" s="22">
        <v>47</v>
      </c>
      <c r="E490" s="22">
        <v>3</v>
      </c>
      <c r="F490" s="23" t="s">
        <v>11</v>
      </c>
    </row>
    <row r="491" spans="1:6" outlineLevel="1">
      <c r="A491" s="24" t="s">
        <v>1876</v>
      </c>
      <c r="B491" s="22">
        <f>SUBTOTAL(3,B461:B490)</f>
        <v>30</v>
      </c>
      <c r="C491" s="22"/>
      <c r="D491" s="22"/>
      <c r="E491" s="22"/>
      <c r="F491" s="23"/>
    </row>
    <row r="492" spans="1:6" outlineLevel="2">
      <c r="A492" s="21" t="s">
        <v>1059</v>
      </c>
      <c r="B492" s="22" t="s">
        <v>1487</v>
      </c>
      <c r="C492" s="22" t="s">
        <v>636</v>
      </c>
      <c r="D492" s="22">
        <v>40</v>
      </c>
      <c r="E492" s="22">
        <v>3</v>
      </c>
      <c r="F492" s="23" t="s">
        <v>11</v>
      </c>
    </row>
    <row r="493" spans="1:6" outlineLevel="2">
      <c r="A493" s="21" t="s">
        <v>1059</v>
      </c>
      <c r="B493" s="22" t="s">
        <v>1487</v>
      </c>
      <c r="C493" s="22" t="s">
        <v>1806</v>
      </c>
      <c r="D493" s="22">
        <v>40</v>
      </c>
      <c r="E493" s="22">
        <v>2</v>
      </c>
      <c r="F493" s="23" t="s">
        <v>583</v>
      </c>
    </row>
    <row r="494" spans="1:6" outlineLevel="2">
      <c r="A494" s="21" t="s">
        <v>1059</v>
      </c>
      <c r="B494" s="22" t="s">
        <v>1487</v>
      </c>
      <c r="C494" s="22" t="s">
        <v>1586</v>
      </c>
      <c r="D494" s="22">
        <v>54</v>
      </c>
      <c r="E494" s="22">
        <v>2</v>
      </c>
      <c r="F494" s="23" t="s">
        <v>11</v>
      </c>
    </row>
    <row r="495" spans="1:6" outlineLevel="2">
      <c r="A495" s="21" t="s">
        <v>1059</v>
      </c>
      <c r="B495" s="22" t="s">
        <v>1489</v>
      </c>
      <c r="C495" s="22" t="s">
        <v>636</v>
      </c>
      <c r="D495" s="22">
        <v>40</v>
      </c>
      <c r="E495" s="22">
        <v>3</v>
      </c>
      <c r="F495" s="23" t="s">
        <v>11</v>
      </c>
    </row>
    <row r="496" spans="1:6" outlineLevel="2">
      <c r="A496" s="21" t="s">
        <v>1059</v>
      </c>
      <c r="B496" s="22" t="s">
        <v>1491</v>
      </c>
      <c r="C496" s="22" t="s">
        <v>636</v>
      </c>
      <c r="D496" s="22">
        <v>48</v>
      </c>
      <c r="E496" s="22">
        <v>3</v>
      </c>
      <c r="F496" s="23" t="s">
        <v>11</v>
      </c>
    </row>
    <row r="497" spans="1:6" outlineLevel="2">
      <c r="A497" s="21" t="s">
        <v>1059</v>
      </c>
      <c r="B497" s="22" t="s">
        <v>1060</v>
      </c>
      <c r="C497" s="22" t="s">
        <v>10</v>
      </c>
      <c r="D497" s="22">
        <v>49</v>
      </c>
      <c r="E497" s="22">
        <v>3</v>
      </c>
      <c r="F497" s="23" t="s">
        <v>11</v>
      </c>
    </row>
    <row r="498" spans="1:6" outlineLevel="2">
      <c r="A498" s="21" t="s">
        <v>1059</v>
      </c>
      <c r="B498" s="22" t="s">
        <v>1493</v>
      </c>
      <c r="C498" s="22" t="s">
        <v>636</v>
      </c>
      <c r="D498" s="22">
        <v>55</v>
      </c>
      <c r="E498" s="22">
        <v>3</v>
      </c>
      <c r="F498" s="23" t="s">
        <v>11</v>
      </c>
    </row>
    <row r="499" spans="1:6" outlineLevel="2">
      <c r="A499" s="21" t="s">
        <v>1059</v>
      </c>
      <c r="B499" s="22" t="s">
        <v>1794</v>
      </c>
      <c r="C499" s="22" t="s">
        <v>1806</v>
      </c>
      <c r="D499" s="22">
        <v>46</v>
      </c>
      <c r="E499" s="22">
        <v>2</v>
      </c>
      <c r="F499" s="23" t="s">
        <v>583</v>
      </c>
    </row>
    <row r="500" spans="1:6" outlineLevel="2">
      <c r="A500" s="21" t="s">
        <v>1059</v>
      </c>
      <c r="B500" s="22" t="s">
        <v>1813</v>
      </c>
      <c r="C500" s="22" t="s">
        <v>1806</v>
      </c>
      <c r="D500" s="22">
        <v>49</v>
      </c>
      <c r="E500" s="22">
        <v>2</v>
      </c>
      <c r="F500" s="23" t="s">
        <v>583</v>
      </c>
    </row>
    <row r="501" spans="1:6" outlineLevel="2">
      <c r="A501" s="21" t="s">
        <v>1059</v>
      </c>
      <c r="B501" s="22" t="s">
        <v>1495</v>
      </c>
      <c r="C501" s="22" t="s">
        <v>636</v>
      </c>
      <c r="D501" s="22">
        <v>59</v>
      </c>
      <c r="E501" s="22">
        <v>3</v>
      </c>
      <c r="F501" s="23" t="s">
        <v>11</v>
      </c>
    </row>
    <row r="502" spans="1:6" outlineLevel="2">
      <c r="A502" s="21" t="s">
        <v>1059</v>
      </c>
      <c r="B502" s="22" t="s">
        <v>1495</v>
      </c>
      <c r="C502" s="22" t="s">
        <v>1806</v>
      </c>
      <c r="D502" s="22">
        <v>41</v>
      </c>
      <c r="E502" s="22">
        <v>2</v>
      </c>
      <c r="F502" s="23" t="s">
        <v>583</v>
      </c>
    </row>
    <row r="503" spans="1:6" outlineLevel="2">
      <c r="A503" s="21" t="s">
        <v>1059</v>
      </c>
      <c r="B503" s="22" t="s">
        <v>1062</v>
      </c>
      <c r="C503" s="22" t="s">
        <v>10</v>
      </c>
      <c r="D503" s="22">
        <v>53</v>
      </c>
      <c r="E503" s="22">
        <v>3</v>
      </c>
      <c r="F503" s="23" t="s">
        <v>11</v>
      </c>
    </row>
    <row r="504" spans="1:6" outlineLevel="1">
      <c r="A504" s="24" t="s">
        <v>1877</v>
      </c>
      <c r="B504" s="22">
        <f>SUBTOTAL(3,B492:B503)</f>
        <v>12</v>
      </c>
      <c r="C504" s="22"/>
      <c r="D504" s="22"/>
      <c r="E504" s="22"/>
      <c r="F504" s="23"/>
    </row>
    <row r="505" spans="1:6" outlineLevel="2">
      <c r="A505" s="21" t="s">
        <v>1009</v>
      </c>
      <c r="B505" s="22" t="s">
        <v>1804</v>
      </c>
      <c r="C505" s="22" t="s">
        <v>1806</v>
      </c>
      <c r="D505" s="22">
        <v>44</v>
      </c>
      <c r="E505" s="22">
        <v>2</v>
      </c>
      <c r="F505" s="23" t="s">
        <v>583</v>
      </c>
    </row>
    <row r="506" spans="1:6" outlineLevel="2">
      <c r="A506" s="21" t="s">
        <v>1009</v>
      </c>
      <c r="B506" s="22" t="s">
        <v>1807</v>
      </c>
      <c r="C506" s="22" t="s">
        <v>1806</v>
      </c>
      <c r="D506" s="22">
        <v>47</v>
      </c>
      <c r="E506" s="22">
        <v>2</v>
      </c>
      <c r="F506" s="23" t="s">
        <v>583</v>
      </c>
    </row>
    <row r="507" spans="1:6" outlineLevel="2">
      <c r="A507" s="21" t="s">
        <v>1009</v>
      </c>
      <c r="B507" s="22" t="s">
        <v>1809</v>
      </c>
      <c r="C507" s="22" t="s">
        <v>1806</v>
      </c>
      <c r="D507" s="22">
        <v>48</v>
      </c>
      <c r="E507" s="22">
        <v>2</v>
      </c>
      <c r="F507" s="23" t="s">
        <v>583</v>
      </c>
    </row>
    <row r="508" spans="1:6" outlineLevel="2">
      <c r="A508" s="21" t="s">
        <v>1009</v>
      </c>
      <c r="B508" s="22" t="s">
        <v>1010</v>
      </c>
      <c r="C508" s="22" t="s">
        <v>10</v>
      </c>
      <c r="D508" s="22">
        <v>53</v>
      </c>
      <c r="E508" s="22">
        <v>3</v>
      </c>
      <c r="F508" s="23" t="s">
        <v>11</v>
      </c>
    </row>
    <row r="509" spans="1:6" outlineLevel="2">
      <c r="A509" s="21" t="s">
        <v>1009</v>
      </c>
      <c r="B509" s="22" t="s">
        <v>1012</v>
      </c>
      <c r="C509" s="22" t="s">
        <v>10</v>
      </c>
      <c r="D509" s="22">
        <v>45</v>
      </c>
      <c r="E509" s="22">
        <v>3</v>
      </c>
      <c r="F509" s="23" t="s">
        <v>11</v>
      </c>
    </row>
    <row r="510" spans="1:6" outlineLevel="2">
      <c r="A510" s="21" t="s">
        <v>1009</v>
      </c>
      <c r="B510" s="22" t="s">
        <v>1811</v>
      </c>
      <c r="C510" s="22" t="s">
        <v>1806</v>
      </c>
      <c r="D510" s="22">
        <v>47</v>
      </c>
      <c r="E510" s="22">
        <v>2</v>
      </c>
      <c r="F510" s="23" t="s">
        <v>583</v>
      </c>
    </row>
    <row r="511" spans="1:6" outlineLevel="2">
      <c r="A511" s="21" t="s">
        <v>1009</v>
      </c>
      <c r="B511" s="22" t="s">
        <v>1485</v>
      </c>
      <c r="C511" s="22" t="s">
        <v>636</v>
      </c>
      <c r="D511" s="22">
        <v>42</v>
      </c>
      <c r="E511" s="22">
        <v>3</v>
      </c>
      <c r="F511" s="23" t="s">
        <v>11</v>
      </c>
    </row>
    <row r="512" spans="1:6" outlineLevel="2">
      <c r="A512" s="21" t="s">
        <v>1009</v>
      </c>
      <c r="B512" s="22" t="s">
        <v>1014</v>
      </c>
      <c r="C512" s="22" t="s">
        <v>10</v>
      </c>
      <c r="D512" s="22">
        <v>58</v>
      </c>
      <c r="E512" s="22">
        <v>3</v>
      </c>
      <c r="F512" s="23" t="s">
        <v>11</v>
      </c>
    </row>
    <row r="513" spans="1:6" outlineLevel="2">
      <c r="A513" s="21" t="s">
        <v>1009</v>
      </c>
      <c r="B513" s="22" t="s">
        <v>1014</v>
      </c>
      <c r="C513" s="22" t="s">
        <v>1806</v>
      </c>
      <c r="D513" s="22">
        <v>49</v>
      </c>
      <c r="E513" s="22">
        <v>2</v>
      </c>
      <c r="F513" s="23" t="s">
        <v>583</v>
      </c>
    </row>
    <row r="514" spans="1:6" outlineLevel="2">
      <c r="A514" s="21" t="s">
        <v>1009</v>
      </c>
      <c r="B514" s="22" t="s">
        <v>1016</v>
      </c>
      <c r="C514" s="22" t="s">
        <v>10</v>
      </c>
      <c r="D514" s="22">
        <v>59</v>
      </c>
      <c r="E514" s="22">
        <v>3</v>
      </c>
      <c r="F514" s="23" t="s">
        <v>11</v>
      </c>
    </row>
    <row r="515" spans="1:6" outlineLevel="2">
      <c r="A515" s="21" t="s">
        <v>1009</v>
      </c>
      <c r="B515" s="22" t="s">
        <v>1018</v>
      </c>
      <c r="C515" s="22" t="s">
        <v>10</v>
      </c>
      <c r="D515" s="22">
        <v>54</v>
      </c>
      <c r="E515" s="22">
        <v>3</v>
      </c>
      <c r="F515" s="23" t="s">
        <v>11</v>
      </c>
    </row>
    <row r="516" spans="1:6" outlineLevel="1">
      <c r="A516" s="24" t="s">
        <v>1878</v>
      </c>
      <c r="B516" s="22">
        <f>SUBTOTAL(3,B505:B515)</f>
        <v>11</v>
      </c>
      <c r="C516" s="22"/>
      <c r="D516" s="22"/>
      <c r="E516" s="22"/>
      <c r="F516" s="23"/>
    </row>
    <row r="517" spans="1:6" outlineLevel="2">
      <c r="A517" s="21" t="s">
        <v>1020</v>
      </c>
      <c r="B517" s="22" t="s">
        <v>1541</v>
      </c>
      <c r="C517" s="22" t="s">
        <v>636</v>
      </c>
      <c r="D517" s="22">
        <v>45</v>
      </c>
      <c r="E517" s="22">
        <v>4</v>
      </c>
      <c r="F517" s="23" t="s">
        <v>11</v>
      </c>
    </row>
    <row r="518" spans="1:6" outlineLevel="2">
      <c r="A518" s="21" t="s">
        <v>1020</v>
      </c>
      <c r="B518" s="22" t="s">
        <v>1543</v>
      </c>
      <c r="C518" s="22" t="s">
        <v>1567</v>
      </c>
      <c r="D518" s="22">
        <v>54</v>
      </c>
      <c r="E518" s="22">
        <v>2</v>
      </c>
      <c r="F518" s="23" t="s">
        <v>11</v>
      </c>
    </row>
    <row r="519" spans="1:6" outlineLevel="2">
      <c r="A519" s="21" t="s">
        <v>1020</v>
      </c>
      <c r="B519" s="22" t="s">
        <v>1543</v>
      </c>
      <c r="C519" s="22" t="s">
        <v>636</v>
      </c>
      <c r="D519" s="22">
        <v>40</v>
      </c>
      <c r="E519" s="22">
        <v>4</v>
      </c>
      <c r="F519" s="23" t="s">
        <v>11</v>
      </c>
    </row>
    <row r="520" spans="1:6" outlineLevel="2">
      <c r="A520" s="21" t="s">
        <v>1020</v>
      </c>
      <c r="B520" s="22" t="s">
        <v>1021</v>
      </c>
      <c r="C520" s="22" t="s">
        <v>1567</v>
      </c>
      <c r="D520" s="22">
        <v>53</v>
      </c>
      <c r="E520" s="22">
        <v>2</v>
      </c>
      <c r="F520" s="23" t="s">
        <v>11</v>
      </c>
    </row>
    <row r="521" spans="1:6" outlineLevel="2">
      <c r="A521" s="21" t="s">
        <v>1020</v>
      </c>
      <c r="B521" s="22" t="s">
        <v>1021</v>
      </c>
      <c r="C521" s="22" t="s">
        <v>1640</v>
      </c>
      <c r="D521" s="22">
        <v>48</v>
      </c>
      <c r="E521" s="22">
        <v>2</v>
      </c>
      <c r="F521" s="23" t="s">
        <v>11</v>
      </c>
    </row>
    <row r="522" spans="1:6" outlineLevel="2">
      <c r="A522" s="21" t="s">
        <v>1020</v>
      </c>
      <c r="B522" s="22" t="s">
        <v>1021</v>
      </c>
      <c r="C522" s="22" t="s">
        <v>636</v>
      </c>
      <c r="D522" s="22">
        <v>40</v>
      </c>
      <c r="E522" s="22">
        <v>4</v>
      </c>
      <c r="F522" s="23" t="s">
        <v>11</v>
      </c>
    </row>
    <row r="523" spans="1:6" outlineLevel="2">
      <c r="A523" s="21" t="s">
        <v>1020</v>
      </c>
      <c r="B523" s="22" t="s">
        <v>1021</v>
      </c>
      <c r="C523" s="22" t="s">
        <v>10</v>
      </c>
      <c r="D523" s="22">
        <v>49</v>
      </c>
      <c r="E523" s="22">
        <v>3</v>
      </c>
      <c r="F523" s="23" t="s">
        <v>11</v>
      </c>
    </row>
    <row r="524" spans="1:6" outlineLevel="2">
      <c r="A524" s="21" t="s">
        <v>1020</v>
      </c>
      <c r="B524" s="22" t="s">
        <v>1257</v>
      </c>
      <c r="C524" s="22" t="s">
        <v>340</v>
      </c>
      <c r="D524" s="22">
        <v>48</v>
      </c>
      <c r="E524" s="22">
        <v>2</v>
      </c>
      <c r="F524" s="23" t="s">
        <v>11</v>
      </c>
    </row>
    <row r="525" spans="1:6" outlineLevel="2">
      <c r="A525" s="21" t="s">
        <v>1020</v>
      </c>
      <c r="B525" s="22" t="s">
        <v>1630</v>
      </c>
      <c r="C525" s="22" t="s">
        <v>1640</v>
      </c>
      <c r="D525" s="22">
        <v>47</v>
      </c>
      <c r="E525" s="22">
        <v>2</v>
      </c>
      <c r="F525" s="23" t="s">
        <v>11</v>
      </c>
    </row>
    <row r="526" spans="1:6" outlineLevel="2">
      <c r="A526" s="21" t="s">
        <v>1020</v>
      </c>
      <c r="B526" s="22" t="s">
        <v>1630</v>
      </c>
      <c r="C526" s="22" t="s">
        <v>1627</v>
      </c>
      <c r="D526" s="22">
        <v>54</v>
      </c>
      <c r="E526" s="22">
        <v>2</v>
      </c>
      <c r="F526" s="23" t="s">
        <v>11</v>
      </c>
    </row>
    <row r="527" spans="1:6" outlineLevel="2">
      <c r="A527" s="21" t="s">
        <v>1020</v>
      </c>
      <c r="B527" s="22" t="s">
        <v>1437</v>
      </c>
      <c r="C527" s="22" t="s">
        <v>636</v>
      </c>
      <c r="D527" s="22">
        <v>52</v>
      </c>
      <c r="E527" s="22">
        <v>4</v>
      </c>
      <c r="F527" s="23" t="s">
        <v>11</v>
      </c>
    </row>
    <row r="528" spans="1:6" outlineLevel="2">
      <c r="A528" s="21" t="s">
        <v>1020</v>
      </c>
      <c r="B528" s="22" t="s">
        <v>1259</v>
      </c>
      <c r="C528" s="22" t="s">
        <v>1640</v>
      </c>
      <c r="D528" s="22">
        <v>56</v>
      </c>
      <c r="E528" s="22">
        <v>2</v>
      </c>
      <c r="F528" s="23" t="s">
        <v>11</v>
      </c>
    </row>
    <row r="529" spans="1:6" outlineLevel="2">
      <c r="A529" s="21" t="s">
        <v>1020</v>
      </c>
      <c r="B529" s="22" t="s">
        <v>1259</v>
      </c>
      <c r="C529" s="22" t="s">
        <v>636</v>
      </c>
      <c r="D529" s="22">
        <v>41</v>
      </c>
      <c r="E529" s="22">
        <v>4</v>
      </c>
      <c r="F529" s="23" t="s">
        <v>11</v>
      </c>
    </row>
    <row r="530" spans="1:6" outlineLevel="2">
      <c r="A530" s="21" t="s">
        <v>1020</v>
      </c>
      <c r="B530" s="22" t="s">
        <v>1259</v>
      </c>
      <c r="C530" s="22" t="s">
        <v>340</v>
      </c>
      <c r="D530" s="22">
        <v>40</v>
      </c>
      <c r="E530" s="22">
        <v>2</v>
      </c>
      <c r="F530" s="23" t="s">
        <v>11</v>
      </c>
    </row>
    <row r="531" spans="1:6" outlineLevel="2">
      <c r="A531" s="21" t="s">
        <v>1020</v>
      </c>
      <c r="B531" s="22" t="s">
        <v>1023</v>
      </c>
      <c r="C531" s="22" t="s">
        <v>1567</v>
      </c>
      <c r="D531" s="22">
        <v>50</v>
      </c>
      <c r="E531" s="22">
        <v>2</v>
      </c>
      <c r="F531" s="23" t="s">
        <v>11</v>
      </c>
    </row>
    <row r="532" spans="1:6" outlineLevel="2">
      <c r="A532" s="21" t="s">
        <v>1020</v>
      </c>
      <c r="B532" s="22" t="s">
        <v>1023</v>
      </c>
      <c r="C532" s="22" t="s">
        <v>636</v>
      </c>
      <c r="D532" s="22">
        <v>50</v>
      </c>
      <c r="E532" s="22">
        <v>4</v>
      </c>
      <c r="F532" s="23" t="s">
        <v>11</v>
      </c>
    </row>
    <row r="533" spans="1:6" outlineLevel="2">
      <c r="A533" s="21" t="s">
        <v>1020</v>
      </c>
      <c r="B533" s="22" t="s">
        <v>1023</v>
      </c>
      <c r="C533" s="22" t="s">
        <v>10</v>
      </c>
      <c r="D533" s="22">
        <v>49</v>
      </c>
      <c r="E533" s="22">
        <v>3</v>
      </c>
      <c r="F533" s="23" t="s">
        <v>11</v>
      </c>
    </row>
    <row r="534" spans="1:6" outlineLevel="2">
      <c r="A534" s="21" t="s">
        <v>1020</v>
      </c>
      <c r="B534" s="22" t="s">
        <v>1261</v>
      </c>
      <c r="C534" s="22" t="s">
        <v>1640</v>
      </c>
      <c r="D534" s="22">
        <v>55</v>
      </c>
      <c r="E534" s="22">
        <v>2</v>
      </c>
      <c r="F534" s="23" t="s">
        <v>11</v>
      </c>
    </row>
    <row r="535" spans="1:6" outlineLevel="2">
      <c r="A535" s="21" t="s">
        <v>1020</v>
      </c>
      <c r="B535" s="22" t="s">
        <v>1261</v>
      </c>
      <c r="C535" s="22" t="s">
        <v>636</v>
      </c>
      <c r="D535" s="22">
        <v>40</v>
      </c>
      <c r="E535" s="22">
        <v>4</v>
      </c>
      <c r="F535" s="23" t="s">
        <v>11</v>
      </c>
    </row>
    <row r="536" spans="1:6" outlineLevel="2">
      <c r="A536" s="21" t="s">
        <v>1020</v>
      </c>
      <c r="B536" s="22" t="s">
        <v>1261</v>
      </c>
      <c r="C536" s="22" t="s">
        <v>340</v>
      </c>
      <c r="D536" s="22">
        <v>50</v>
      </c>
      <c r="E536" s="22">
        <v>2</v>
      </c>
      <c r="F536" s="23" t="s">
        <v>11</v>
      </c>
    </row>
    <row r="537" spans="1:6" outlineLevel="2">
      <c r="A537" s="21" t="s">
        <v>1020</v>
      </c>
      <c r="B537" s="22" t="s">
        <v>1261</v>
      </c>
      <c r="C537" s="22" t="s">
        <v>1589</v>
      </c>
      <c r="D537" s="22">
        <v>40</v>
      </c>
      <c r="E537" s="22">
        <v>1</v>
      </c>
      <c r="F537" s="23" t="s">
        <v>11</v>
      </c>
    </row>
    <row r="538" spans="1:6" outlineLevel="2">
      <c r="A538" s="21" t="s">
        <v>1020</v>
      </c>
      <c r="B538" s="22" t="s">
        <v>1545</v>
      </c>
      <c r="C538" s="22" t="s">
        <v>1567</v>
      </c>
      <c r="D538" s="22">
        <v>54</v>
      </c>
      <c r="E538" s="22">
        <v>2</v>
      </c>
      <c r="F538" s="23" t="s">
        <v>11</v>
      </c>
    </row>
    <row r="539" spans="1:6" outlineLevel="2">
      <c r="A539" s="21" t="s">
        <v>1020</v>
      </c>
      <c r="B539" s="22" t="s">
        <v>1545</v>
      </c>
      <c r="C539" s="22" t="s">
        <v>1640</v>
      </c>
      <c r="D539" s="22">
        <v>40</v>
      </c>
      <c r="E539" s="22">
        <v>2</v>
      </c>
      <c r="F539" s="23" t="s">
        <v>11</v>
      </c>
    </row>
    <row r="540" spans="1:6" outlineLevel="2">
      <c r="A540" s="21" t="s">
        <v>1020</v>
      </c>
      <c r="B540" s="22" t="s">
        <v>1545</v>
      </c>
      <c r="C540" s="22" t="s">
        <v>636</v>
      </c>
      <c r="D540" s="22">
        <v>40</v>
      </c>
      <c r="E540" s="22">
        <v>4</v>
      </c>
      <c r="F540" s="23" t="s">
        <v>11</v>
      </c>
    </row>
    <row r="541" spans="1:6" outlineLevel="2">
      <c r="A541" s="21" t="s">
        <v>1020</v>
      </c>
      <c r="B541" s="22" t="s">
        <v>1545</v>
      </c>
      <c r="C541" s="22" t="s">
        <v>702</v>
      </c>
      <c r="D541" s="22">
        <v>51</v>
      </c>
      <c r="E541" s="22">
        <v>2</v>
      </c>
      <c r="F541" s="23" t="s">
        <v>11</v>
      </c>
    </row>
    <row r="542" spans="1:6" outlineLevel="2">
      <c r="A542" s="21" t="s">
        <v>1020</v>
      </c>
      <c r="B542" s="22" t="s">
        <v>1263</v>
      </c>
      <c r="C542" s="22" t="s">
        <v>1640</v>
      </c>
      <c r="D542" s="22">
        <v>45</v>
      </c>
      <c r="E542" s="22">
        <v>2</v>
      </c>
      <c r="F542" s="23" t="s">
        <v>11</v>
      </c>
    </row>
    <row r="543" spans="1:6" outlineLevel="2">
      <c r="A543" s="21" t="s">
        <v>1020</v>
      </c>
      <c r="B543" s="22" t="s">
        <v>1263</v>
      </c>
      <c r="C543" s="22" t="s">
        <v>1627</v>
      </c>
      <c r="D543" s="22">
        <v>41</v>
      </c>
      <c r="E543" s="22">
        <v>2</v>
      </c>
      <c r="F543" s="23" t="s">
        <v>11</v>
      </c>
    </row>
    <row r="544" spans="1:6" outlineLevel="2">
      <c r="A544" s="21" t="s">
        <v>1020</v>
      </c>
      <c r="B544" s="22" t="s">
        <v>1263</v>
      </c>
      <c r="C544" s="22" t="s">
        <v>636</v>
      </c>
      <c r="D544" s="22">
        <v>44</v>
      </c>
      <c r="E544" s="22">
        <v>4</v>
      </c>
      <c r="F544" s="23" t="s">
        <v>11</v>
      </c>
    </row>
    <row r="545" spans="1:6" outlineLevel="2">
      <c r="A545" s="21" t="s">
        <v>1020</v>
      </c>
      <c r="B545" s="22" t="s">
        <v>1263</v>
      </c>
      <c r="C545" s="22" t="s">
        <v>340</v>
      </c>
      <c r="D545" s="22">
        <v>49</v>
      </c>
      <c r="E545" s="22">
        <v>2</v>
      </c>
      <c r="F545" s="23" t="s">
        <v>11</v>
      </c>
    </row>
    <row r="546" spans="1:6" outlineLevel="2">
      <c r="A546" s="21" t="s">
        <v>1020</v>
      </c>
      <c r="B546" s="22" t="s">
        <v>1265</v>
      </c>
      <c r="C546" s="22" t="s">
        <v>340</v>
      </c>
      <c r="D546" s="22">
        <v>33</v>
      </c>
      <c r="E546" s="22">
        <v>2</v>
      </c>
      <c r="F546" s="23" t="s">
        <v>11</v>
      </c>
    </row>
    <row r="547" spans="1:6" outlineLevel="2">
      <c r="A547" s="21" t="s">
        <v>1020</v>
      </c>
      <c r="B547" s="22" t="s">
        <v>1025</v>
      </c>
      <c r="C547" s="22" t="s">
        <v>636</v>
      </c>
      <c r="D547" s="22">
        <v>45</v>
      </c>
      <c r="E547" s="22">
        <v>4</v>
      </c>
      <c r="F547" s="23" t="s">
        <v>11</v>
      </c>
    </row>
    <row r="548" spans="1:6" outlineLevel="2">
      <c r="A548" s="21" t="s">
        <v>1020</v>
      </c>
      <c r="B548" s="22" t="s">
        <v>1025</v>
      </c>
      <c r="C548" s="22" t="s">
        <v>10</v>
      </c>
      <c r="D548" s="22">
        <v>50</v>
      </c>
      <c r="E548" s="22">
        <v>3</v>
      </c>
      <c r="F548" s="23" t="s">
        <v>11</v>
      </c>
    </row>
    <row r="549" spans="1:6" outlineLevel="2">
      <c r="A549" s="21" t="s">
        <v>1020</v>
      </c>
      <c r="B549" s="22" t="s">
        <v>1025</v>
      </c>
      <c r="C549" s="22" t="s">
        <v>340</v>
      </c>
      <c r="D549" s="22">
        <v>40</v>
      </c>
      <c r="E549" s="22">
        <v>2</v>
      </c>
      <c r="F549" s="23" t="s">
        <v>11</v>
      </c>
    </row>
    <row r="550" spans="1:6" outlineLevel="2">
      <c r="A550" s="21" t="s">
        <v>1020</v>
      </c>
      <c r="B550" s="22" t="s">
        <v>1025</v>
      </c>
      <c r="C550" s="22" t="s">
        <v>702</v>
      </c>
      <c r="D550" s="22">
        <v>55</v>
      </c>
      <c r="E550" s="22">
        <v>2</v>
      </c>
      <c r="F550" s="23" t="s">
        <v>11</v>
      </c>
    </row>
    <row r="551" spans="1:6" outlineLevel="2">
      <c r="A551" s="21" t="s">
        <v>1020</v>
      </c>
      <c r="B551" s="22" t="s">
        <v>1547</v>
      </c>
      <c r="C551" s="22" t="s">
        <v>636</v>
      </c>
      <c r="D551" s="22">
        <v>52</v>
      </c>
      <c r="E551" s="22">
        <v>4</v>
      </c>
      <c r="F551" s="23" t="s">
        <v>11</v>
      </c>
    </row>
    <row r="552" spans="1:6" outlineLevel="2">
      <c r="A552" s="21" t="s">
        <v>1020</v>
      </c>
      <c r="B552" s="22" t="s">
        <v>1267</v>
      </c>
      <c r="C552" s="22" t="s">
        <v>636</v>
      </c>
      <c r="D552" s="22">
        <v>45</v>
      </c>
      <c r="E552" s="22">
        <v>4</v>
      </c>
      <c r="F552" s="23" t="s">
        <v>11</v>
      </c>
    </row>
    <row r="553" spans="1:6" outlineLevel="2">
      <c r="A553" s="21" t="s">
        <v>1020</v>
      </c>
      <c r="B553" s="22" t="s">
        <v>1267</v>
      </c>
      <c r="C553" s="22" t="s">
        <v>340</v>
      </c>
      <c r="D553" s="22">
        <v>47</v>
      </c>
      <c r="E553" s="22">
        <v>2</v>
      </c>
      <c r="F553" s="23" t="s">
        <v>11</v>
      </c>
    </row>
    <row r="554" spans="1:6" outlineLevel="2">
      <c r="A554" s="21" t="s">
        <v>1020</v>
      </c>
      <c r="B554" s="22" t="s">
        <v>1027</v>
      </c>
      <c r="C554" s="22" t="s">
        <v>10</v>
      </c>
      <c r="D554" s="22">
        <v>54</v>
      </c>
      <c r="E554" s="22">
        <v>3</v>
      </c>
      <c r="F554" s="23" t="s">
        <v>11</v>
      </c>
    </row>
    <row r="555" spans="1:6" outlineLevel="2">
      <c r="A555" s="21" t="s">
        <v>1020</v>
      </c>
      <c r="B555" s="22" t="s">
        <v>1027</v>
      </c>
      <c r="C555" s="22" t="s">
        <v>340</v>
      </c>
      <c r="D555" s="22">
        <v>53</v>
      </c>
      <c r="E555" s="22">
        <v>2</v>
      </c>
      <c r="F555" s="23" t="s">
        <v>11</v>
      </c>
    </row>
    <row r="556" spans="1:6" outlineLevel="2">
      <c r="A556" s="21" t="s">
        <v>1020</v>
      </c>
      <c r="B556" s="22" t="s">
        <v>1269</v>
      </c>
      <c r="C556" s="22" t="s">
        <v>340</v>
      </c>
      <c r="D556" s="22">
        <v>48</v>
      </c>
      <c r="E556" s="22">
        <v>2</v>
      </c>
      <c r="F556" s="23" t="s">
        <v>11</v>
      </c>
    </row>
    <row r="557" spans="1:6" outlineLevel="2">
      <c r="A557" s="21" t="s">
        <v>1020</v>
      </c>
      <c r="B557" s="22" t="s">
        <v>1029</v>
      </c>
      <c r="C557" s="22" t="s">
        <v>1567</v>
      </c>
      <c r="D557" s="22">
        <v>53</v>
      </c>
      <c r="E557" s="22">
        <v>2</v>
      </c>
      <c r="F557" s="23" t="s">
        <v>11</v>
      </c>
    </row>
    <row r="558" spans="1:6" outlineLevel="2">
      <c r="A558" s="21" t="s">
        <v>1020</v>
      </c>
      <c r="B558" s="22" t="s">
        <v>1029</v>
      </c>
      <c r="C558" s="22" t="s">
        <v>10</v>
      </c>
      <c r="D558" s="22">
        <v>49</v>
      </c>
      <c r="E558" s="22">
        <v>3</v>
      </c>
      <c r="F558" s="23" t="s">
        <v>11</v>
      </c>
    </row>
    <row r="559" spans="1:6" outlineLevel="2">
      <c r="A559" s="21" t="s">
        <v>1020</v>
      </c>
      <c r="B559" s="22" t="s">
        <v>1029</v>
      </c>
      <c r="C559" s="22" t="s">
        <v>340</v>
      </c>
      <c r="D559" s="22">
        <v>52</v>
      </c>
      <c r="E559" s="22">
        <v>2</v>
      </c>
      <c r="F559" s="23" t="s">
        <v>11</v>
      </c>
    </row>
    <row r="560" spans="1:6" outlineLevel="2">
      <c r="A560" s="21" t="s">
        <v>1020</v>
      </c>
      <c r="B560" s="22" t="s">
        <v>1031</v>
      </c>
      <c r="C560" s="22" t="s">
        <v>10</v>
      </c>
      <c r="D560" s="22">
        <v>51</v>
      </c>
      <c r="E560" s="22">
        <v>3</v>
      </c>
      <c r="F560" s="23" t="s">
        <v>11</v>
      </c>
    </row>
    <row r="561" spans="1:6" outlineLevel="2">
      <c r="A561" s="21" t="s">
        <v>1020</v>
      </c>
      <c r="B561" s="22" t="s">
        <v>1033</v>
      </c>
      <c r="C561" s="22" t="s">
        <v>636</v>
      </c>
      <c r="D561" s="22">
        <v>53</v>
      </c>
      <c r="E561" s="22">
        <v>4</v>
      </c>
      <c r="F561" s="23" t="s">
        <v>11</v>
      </c>
    </row>
    <row r="562" spans="1:6" outlineLevel="2">
      <c r="A562" s="21" t="s">
        <v>1020</v>
      </c>
      <c r="B562" s="22" t="s">
        <v>1033</v>
      </c>
      <c r="C562" s="22" t="s">
        <v>10</v>
      </c>
      <c r="D562" s="22">
        <v>40</v>
      </c>
      <c r="E562" s="22">
        <v>3</v>
      </c>
      <c r="F562" s="23" t="s">
        <v>11</v>
      </c>
    </row>
    <row r="563" spans="1:6" outlineLevel="2">
      <c r="A563" s="21" t="s">
        <v>1020</v>
      </c>
      <c r="B563" s="22" t="s">
        <v>1033</v>
      </c>
      <c r="C563" s="22" t="s">
        <v>340</v>
      </c>
      <c r="D563" s="22">
        <v>44</v>
      </c>
      <c r="E563" s="22">
        <v>2</v>
      </c>
      <c r="F563" s="23" t="s">
        <v>11</v>
      </c>
    </row>
    <row r="564" spans="1:6" outlineLevel="1">
      <c r="A564" s="24" t="s">
        <v>1879</v>
      </c>
      <c r="B564" s="22">
        <f>SUBTOTAL(3,B517:B563)</f>
        <v>47</v>
      </c>
      <c r="C564" s="22"/>
      <c r="D564" s="22"/>
      <c r="E564" s="22"/>
      <c r="F564" s="23"/>
    </row>
    <row r="565" spans="1:6" outlineLevel="2">
      <c r="A565" s="21" t="s">
        <v>1064</v>
      </c>
      <c r="B565" s="22" t="s">
        <v>1065</v>
      </c>
      <c r="C565" s="22" t="s">
        <v>1567</v>
      </c>
      <c r="D565" s="22">
        <v>45</v>
      </c>
      <c r="E565" s="22">
        <v>2</v>
      </c>
      <c r="F565" s="23" t="s">
        <v>11</v>
      </c>
    </row>
    <row r="566" spans="1:6" outlineLevel="2">
      <c r="A566" s="21" t="s">
        <v>1064</v>
      </c>
      <c r="B566" s="22" t="s">
        <v>1065</v>
      </c>
      <c r="C566" s="22" t="s">
        <v>1640</v>
      </c>
      <c r="D566" s="22">
        <v>44</v>
      </c>
      <c r="E566" s="22">
        <v>2</v>
      </c>
      <c r="F566" s="23" t="s">
        <v>11</v>
      </c>
    </row>
    <row r="567" spans="1:6" outlineLevel="2">
      <c r="A567" s="21" t="s">
        <v>1064</v>
      </c>
      <c r="B567" s="22" t="s">
        <v>1065</v>
      </c>
      <c r="C567" s="22" t="s">
        <v>1627</v>
      </c>
      <c r="D567" s="22">
        <v>40</v>
      </c>
      <c r="E567" s="22">
        <v>2</v>
      </c>
      <c r="F567" s="23" t="s">
        <v>11</v>
      </c>
    </row>
    <row r="568" spans="1:6" outlineLevel="2">
      <c r="A568" s="21" t="s">
        <v>1064</v>
      </c>
      <c r="B568" s="22" t="s">
        <v>1065</v>
      </c>
      <c r="C568" s="22" t="s">
        <v>636</v>
      </c>
      <c r="D568" s="22">
        <v>48</v>
      </c>
      <c r="E568" s="22">
        <v>4</v>
      </c>
      <c r="F568" s="23" t="s">
        <v>11</v>
      </c>
    </row>
    <row r="569" spans="1:6" outlineLevel="2">
      <c r="A569" s="21" t="s">
        <v>1064</v>
      </c>
      <c r="B569" s="22" t="s">
        <v>1065</v>
      </c>
      <c r="C569" s="22" t="s">
        <v>10</v>
      </c>
      <c r="D569" s="22">
        <v>40</v>
      </c>
      <c r="E569" s="22">
        <v>3</v>
      </c>
      <c r="F569" s="23" t="s">
        <v>11</v>
      </c>
    </row>
    <row r="570" spans="1:6" outlineLevel="2">
      <c r="A570" s="21" t="s">
        <v>1064</v>
      </c>
      <c r="B570" s="22" t="s">
        <v>1305</v>
      </c>
      <c r="C570" s="22" t="s">
        <v>1567</v>
      </c>
      <c r="D570" s="22">
        <v>40</v>
      </c>
      <c r="E570" s="22">
        <v>2</v>
      </c>
      <c r="F570" s="23" t="s">
        <v>11</v>
      </c>
    </row>
    <row r="571" spans="1:6" outlineLevel="2">
      <c r="A571" s="21" t="s">
        <v>1064</v>
      </c>
      <c r="B571" s="22" t="s">
        <v>1305</v>
      </c>
      <c r="C571" s="22" t="s">
        <v>1627</v>
      </c>
      <c r="D571" s="22">
        <v>50</v>
      </c>
      <c r="E571" s="22">
        <v>2</v>
      </c>
      <c r="F571" s="23" t="s">
        <v>11</v>
      </c>
    </row>
    <row r="572" spans="1:6" outlineLevel="2">
      <c r="A572" s="21" t="s">
        <v>1064</v>
      </c>
      <c r="B572" s="22" t="s">
        <v>1305</v>
      </c>
      <c r="C572" s="22" t="s">
        <v>636</v>
      </c>
      <c r="D572" s="22">
        <v>51</v>
      </c>
      <c r="E572" s="22">
        <v>4</v>
      </c>
      <c r="F572" s="23" t="s">
        <v>11</v>
      </c>
    </row>
    <row r="573" spans="1:6" outlineLevel="2">
      <c r="A573" s="21" t="s">
        <v>1064</v>
      </c>
      <c r="B573" s="22" t="s">
        <v>1305</v>
      </c>
      <c r="C573" s="22" t="s">
        <v>340</v>
      </c>
      <c r="D573" s="22">
        <v>40</v>
      </c>
      <c r="E573" s="22">
        <v>2</v>
      </c>
      <c r="F573" s="23" t="s">
        <v>11</v>
      </c>
    </row>
    <row r="574" spans="1:6" outlineLevel="2">
      <c r="A574" s="21" t="s">
        <v>1064</v>
      </c>
      <c r="B574" s="22" t="s">
        <v>1067</v>
      </c>
      <c r="C574" s="22" t="s">
        <v>10</v>
      </c>
      <c r="D574" s="22">
        <v>57</v>
      </c>
      <c r="E574" s="22">
        <v>3</v>
      </c>
      <c r="F574" s="23" t="s">
        <v>11</v>
      </c>
    </row>
    <row r="575" spans="1:6" outlineLevel="2">
      <c r="A575" s="21" t="s">
        <v>1064</v>
      </c>
      <c r="B575" s="22" t="s">
        <v>1507</v>
      </c>
      <c r="C575" s="22" t="s">
        <v>636</v>
      </c>
      <c r="D575" s="22">
        <v>50</v>
      </c>
      <c r="E575" s="22">
        <v>4</v>
      </c>
      <c r="F575" s="23" t="s">
        <v>11</v>
      </c>
    </row>
    <row r="576" spans="1:6" outlineLevel="2">
      <c r="A576" s="21" t="s">
        <v>1064</v>
      </c>
      <c r="B576" s="22" t="s">
        <v>1509</v>
      </c>
      <c r="C576" s="22" t="s">
        <v>636</v>
      </c>
      <c r="D576" s="22">
        <v>45</v>
      </c>
      <c r="E576" s="22">
        <v>4</v>
      </c>
      <c r="F576" s="23" t="s">
        <v>11</v>
      </c>
    </row>
    <row r="577" spans="1:6" outlineLevel="2">
      <c r="A577" s="21" t="s">
        <v>1064</v>
      </c>
      <c r="B577" s="22" t="s">
        <v>1568</v>
      </c>
      <c r="C577" s="22" t="s">
        <v>1567</v>
      </c>
      <c r="D577" s="22">
        <v>42</v>
      </c>
      <c r="E577" s="22">
        <v>2</v>
      </c>
      <c r="F577" s="23" t="s">
        <v>11</v>
      </c>
    </row>
    <row r="578" spans="1:6" outlineLevel="2">
      <c r="A578" s="21" t="s">
        <v>1064</v>
      </c>
      <c r="B578" s="22" t="s">
        <v>1307</v>
      </c>
      <c r="C578" s="22" t="s">
        <v>636</v>
      </c>
      <c r="D578" s="22">
        <v>52</v>
      </c>
      <c r="E578" s="22">
        <v>4</v>
      </c>
      <c r="F578" s="23" t="s">
        <v>11</v>
      </c>
    </row>
    <row r="579" spans="1:6" outlineLevel="2">
      <c r="A579" s="21" t="s">
        <v>1064</v>
      </c>
      <c r="B579" s="22" t="s">
        <v>1307</v>
      </c>
      <c r="C579" s="22" t="s">
        <v>340</v>
      </c>
      <c r="D579" s="22">
        <v>47</v>
      </c>
      <c r="E579" s="22">
        <v>2</v>
      </c>
      <c r="F579" s="23" t="s">
        <v>11</v>
      </c>
    </row>
    <row r="580" spans="1:6" outlineLevel="2">
      <c r="A580" s="21" t="s">
        <v>1064</v>
      </c>
      <c r="B580" s="22" t="s">
        <v>1309</v>
      </c>
      <c r="C580" s="22" t="s">
        <v>636</v>
      </c>
      <c r="D580" s="22">
        <v>49</v>
      </c>
      <c r="E580" s="22">
        <v>4</v>
      </c>
      <c r="F580" s="23" t="s">
        <v>11</v>
      </c>
    </row>
    <row r="581" spans="1:6" outlineLevel="2">
      <c r="A581" s="21" t="s">
        <v>1064</v>
      </c>
      <c r="B581" s="22" t="s">
        <v>1309</v>
      </c>
      <c r="C581" s="22" t="s">
        <v>340</v>
      </c>
      <c r="D581" s="22">
        <v>41</v>
      </c>
      <c r="E581" s="22">
        <v>2</v>
      </c>
      <c r="F581" s="23" t="s">
        <v>11</v>
      </c>
    </row>
    <row r="582" spans="1:6" outlineLevel="2">
      <c r="A582" s="21" t="s">
        <v>1064</v>
      </c>
      <c r="B582" s="22" t="s">
        <v>1311</v>
      </c>
      <c r="C582" s="22" t="s">
        <v>340</v>
      </c>
      <c r="D582" s="22">
        <v>43</v>
      </c>
      <c r="E582" s="22">
        <v>2</v>
      </c>
      <c r="F582" s="23" t="s">
        <v>11</v>
      </c>
    </row>
    <row r="583" spans="1:6" outlineLevel="2">
      <c r="A583" s="21" t="s">
        <v>1064</v>
      </c>
      <c r="B583" s="22" t="s">
        <v>1069</v>
      </c>
      <c r="C583" s="22" t="s">
        <v>636</v>
      </c>
      <c r="D583" s="22">
        <v>55</v>
      </c>
      <c r="E583" s="22">
        <v>4</v>
      </c>
      <c r="F583" s="23" t="s">
        <v>11</v>
      </c>
    </row>
    <row r="584" spans="1:6" outlineLevel="2">
      <c r="A584" s="21" t="s">
        <v>1064</v>
      </c>
      <c r="B584" s="22" t="s">
        <v>1069</v>
      </c>
      <c r="C584" s="22" t="s">
        <v>10</v>
      </c>
      <c r="D584" s="22">
        <v>40</v>
      </c>
      <c r="E584" s="22">
        <v>3</v>
      </c>
      <c r="F584" s="23" t="s">
        <v>11</v>
      </c>
    </row>
    <row r="585" spans="1:6" outlineLevel="2">
      <c r="A585" s="21" t="s">
        <v>1064</v>
      </c>
      <c r="B585" s="22" t="s">
        <v>1071</v>
      </c>
      <c r="C585" s="22" t="s">
        <v>636</v>
      </c>
      <c r="D585" s="22">
        <v>51</v>
      </c>
      <c r="E585" s="22">
        <v>4</v>
      </c>
      <c r="F585" s="23" t="s">
        <v>11</v>
      </c>
    </row>
    <row r="586" spans="1:6" outlineLevel="2">
      <c r="A586" s="21" t="s">
        <v>1064</v>
      </c>
      <c r="B586" s="22" t="s">
        <v>1071</v>
      </c>
      <c r="C586" s="22" t="s">
        <v>10</v>
      </c>
      <c r="D586" s="22">
        <v>55</v>
      </c>
      <c r="E586" s="22">
        <v>3</v>
      </c>
      <c r="F586" s="23" t="s">
        <v>11</v>
      </c>
    </row>
    <row r="587" spans="1:6" outlineLevel="2">
      <c r="A587" s="21" t="s">
        <v>1064</v>
      </c>
      <c r="B587" s="22" t="s">
        <v>1071</v>
      </c>
      <c r="C587" s="22" t="s">
        <v>340</v>
      </c>
      <c r="D587" s="22">
        <v>43</v>
      </c>
      <c r="E587" s="22">
        <v>2</v>
      </c>
      <c r="F587" s="23" t="s">
        <v>11</v>
      </c>
    </row>
    <row r="588" spans="1:6" outlineLevel="2">
      <c r="A588" s="21" t="s">
        <v>1064</v>
      </c>
      <c r="B588" s="22" t="s">
        <v>1313</v>
      </c>
      <c r="C588" s="22" t="s">
        <v>340</v>
      </c>
      <c r="D588" s="22">
        <v>49</v>
      </c>
      <c r="E588" s="22">
        <v>2</v>
      </c>
      <c r="F588" s="23" t="s">
        <v>11</v>
      </c>
    </row>
    <row r="589" spans="1:6" outlineLevel="2">
      <c r="A589" s="21" t="s">
        <v>1064</v>
      </c>
      <c r="B589" s="22" t="s">
        <v>1315</v>
      </c>
      <c r="C589" s="22" t="s">
        <v>340</v>
      </c>
      <c r="D589" s="22">
        <v>42</v>
      </c>
      <c r="E589" s="22">
        <v>2</v>
      </c>
      <c r="F589" s="23" t="s">
        <v>11</v>
      </c>
    </row>
    <row r="590" spans="1:6" outlineLevel="2">
      <c r="A590" s="21" t="s">
        <v>1064</v>
      </c>
      <c r="B590" s="22" t="s">
        <v>1073</v>
      </c>
      <c r="C590" s="22" t="s">
        <v>1567</v>
      </c>
      <c r="D590" s="22">
        <v>40</v>
      </c>
      <c r="E590" s="22">
        <v>2</v>
      </c>
      <c r="F590" s="23" t="s">
        <v>11</v>
      </c>
    </row>
    <row r="591" spans="1:6" outlineLevel="2">
      <c r="A591" s="21" t="s">
        <v>1064</v>
      </c>
      <c r="B591" s="22" t="s">
        <v>1073</v>
      </c>
      <c r="C591" s="22" t="s">
        <v>10</v>
      </c>
      <c r="D591" s="22">
        <v>40</v>
      </c>
      <c r="E591" s="22">
        <v>3</v>
      </c>
      <c r="F591" s="23" t="s">
        <v>11</v>
      </c>
    </row>
    <row r="592" spans="1:6" outlineLevel="2">
      <c r="A592" s="21" t="s">
        <v>1064</v>
      </c>
      <c r="B592" s="22" t="s">
        <v>1075</v>
      </c>
      <c r="C592" s="22" t="s">
        <v>10</v>
      </c>
      <c r="D592" s="22">
        <v>40</v>
      </c>
      <c r="E592" s="22">
        <v>3</v>
      </c>
      <c r="F592" s="23" t="s">
        <v>11</v>
      </c>
    </row>
    <row r="593" spans="1:6" outlineLevel="2">
      <c r="A593" s="21" t="s">
        <v>1064</v>
      </c>
      <c r="B593" s="22" t="s">
        <v>1075</v>
      </c>
      <c r="C593" s="22" t="s">
        <v>340</v>
      </c>
      <c r="D593" s="22">
        <v>40</v>
      </c>
      <c r="E593" s="22">
        <v>2</v>
      </c>
      <c r="F593" s="23" t="s">
        <v>11</v>
      </c>
    </row>
    <row r="594" spans="1:6" outlineLevel="2">
      <c r="A594" s="21" t="s">
        <v>1064</v>
      </c>
      <c r="B594" s="22" t="s">
        <v>1511</v>
      </c>
      <c r="C594" s="22" t="s">
        <v>636</v>
      </c>
      <c r="D594" s="22">
        <v>46</v>
      </c>
      <c r="E594" s="22">
        <v>4</v>
      </c>
      <c r="F594" s="23" t="s">
        <v>11</v>
      </c>
    </row>
    <row r="595" spans="1:6" outlineLevel="2">
      <c r="A595" s="21" t="s">
        <v>1064</v>
      </c>
      <c r="B595" s="22" t="s">
        <v>1077</v>
      </c>
      <c r="C595" s="22" t="s">
        <v>10</v>
      </c>
      <c r="D595" s="22">
        <v>52</v>
      </c>
      <c r="E595" s="22">
        <v>3</v>
      </c>
      <c r="F595" s="23" t="s">
        <v>11</v>
      </c>
    </row>
    <row r="596" spans="1:6" outlineLevel="2">
      <c r="A596" s="21" t="s">
        <v>1064</v>
      </c>
      <c r="B596" s="22" t="s">
        <v>1317</v>
      </c>
      <c r="C596" s="22" t="s">
        <v>1567</v>
      </c>
      <c r="D596" s="22">
        <v>50</v>
      </c>
      <c r="E596" s="22">
        <v>2</v>
      </c>
      <c r="F596" s="23" t="s">
        <v>11</v>
      </c>
    </row>
    <row r="597" spans="1:6" outlineLevel="2">
      <c r="A597" s="21" t="s">
        <v>1064</v>
      </c>
      <c r="B597" s="22" t="s">
        <v>1317</v>
      </c>
      <c r="C597" s="22" t="s">
        <v>636</v>
      </c>
      <c r="D597" s="22">
        <v>54</v>
      </c>
      <c r="E597" s="22">
        <v>4</v>
      </c>
      <c r="F597" s="23" t="s">
        <v>11</v>
      </c>
    </row>
    <row r="598" spans="1:6" outlineLevel="2">
      <c r="A598" s="21" t="s">
        <v>1064</v>
      </c>
      <c r="B598" s="22" t="s">
        <v>1317</v>
      </c>
      <c r="C598" s="22" t="s">
        <v>340</v>
      </c>
      <c r="D598" s="22">
        <v>40</v>
      </c>
      <c r="E598" s="22">
        <v>2</v>
      </c>
      <c r="F598" s="23" t="s">
        <v>11</v>
      </c>
    </row>
    <row r="599" spans="1:6" outlineLevel="2">
      <c r="A599" s="21" t="s">
        <v>1064</v>
      </c>
      <c r="B599" s="22" t="s">
        <v>1513</v>
      </c>
      <c r="C599" s="22" t="s">
        <v>1567</v>
      </c>
      <c r="D599" s="22">
        <v>49</v>
      </c>
      <c r="E599" s="22">
        <v>2</v>
      </c>
      <c r="F599" s="23" t="s">
        <v>11</v>
      </c>
    </row>
    <row r="600" spans="1:6" outlineLevel="2">
      <c r="A600" s="21" t="s">
        <v>1064</v>
      </c>
      <c r="B600" s="22" t="s">
        <v>1513</v>
      </c>
      <c r="C600" s="22" t="s">
        <v>636</v>
      </c>
      <c r="D600" s="22">
        <v>46</v>
      </c>
      <c r="E600" s="22">
        <v>4</v>
      </c>
      <c r="F600" s="23" t="s">
        <v>11</v>
      </c>
    </row>
    <row r="601" spans="1:6" outlineLevel="2">
      <c r="A601" s="21" t="s">
        <v>1064</v>
      </c>
      <c r="B601" s="22" t="s">
        <v>1079</v>
      </c>
      <c r="C601" s="22" t="s">
        <v>1567</v>
      </c>
      <c r="D601" s="22">
        <v>41</v>
      </c>
      <c r="E601" s="22">
        <v>2</v>
      </c>
      <c r="F601" s="23" t="s">
        <v>11</v>
      </c>
    </row>
    <row r="602" spans="1:6" outlineLevel="2">
      <c r="A602" s="21" t="s">
        <v>1064</v>
      </c>
      <c r="B602" s="22" t="s">
        <v>1079</v>
      </c>
      <c r="C602" s="22" t="s">
        <v>1627</v>
      </c>
      <c r="D602" s="22">
        <v>49</v>
      </c>
      <c r="E602" s="22">
        <v>2</v>
      </c>
      <c r="F602" s="23" t="s">
        <v>11</v>
      </c>
    </row>
    <row r="603" spans="1:6" outlineLevel="2">
      <c r="A603" s="21" t="s">
        <v>1064</v>
      </c>
      <c r="B603" s="22" t="s">
        <v>1079</v>
      </c>
      <c r="C603" s="22" t="s">
        <v>636</v>
      </c>
      <c r="D603" s="22">
        <v>46</v>
      </c>
      <c r="E603" s="22">
        <v>4</v>
      </c>
      <c r="F603" s="23" t="s">
        <v>11</v>
      </c>
    </row>
    <row r="604" spans="1:6" outlineLevel="2">
      <c r="A604" s="21" t="s">
        <v>1064</v>
      </c>
      <c r="B604" s="22" t="s">
        <v>1079</v>
      </c>
      <c r="C604" s="22" t="s">
        <v>10</v>
      </c>
      <c r="D604" s="22">
        <v>40</v>
      </c>
      <c r="E604" s="22">
        <v>3</v>
      </c>
      <c r="F604" s="23" t="s">
        <v>11</v>
      </c>
    </row>
    <row r="605" spans="1:6" outlineLevel="2">
      <c r="A605" s="21" t="s">
        <v>1064</v>
      </c>
      <c r="B605" s="22" t="s">
        <v>1081</v>
      </c>
      <c r="C605" s="22" t="s">
        <v>10</v>
      </c>
      <c r="D605" s="22">
        <v>57</v>
      </c>
      <c r="E605" s="22">
        <v>3</v>
      </c>
      <c r="F605" s="23" t="s">
        <v>11</v>
      </c>
    </row>
    <row r="606" spans="1:6" outlineLevel="2">
      <c r="A606" s="21" t="s">
        <v>1064</v>
      </c>
      <c r="B606" s="22" t="s">
        <v>1081</v>
      </c>
      <c r="C606" s="22" t="s">
        <v>340</v>
      </c>
      <c r="D606" s="22">
        <v>54</v>
      </c>
      <c r="E606" s="22">
        <v>2</v>
      </c>
      <c r="F606" s="23" t="s">
        <v>11</v>
      </c>
    </row>
    <row r="607" spans="1:6" outlineLevel="1">
      <c r="A607" s="24" t="s">
        <v>1880</v>
      </c>
      <c r="B607" s="22">
        <f>SUBTOTAL(3,B565:B606)</f>
        <v>42</v>
      </c>
      <c r="C607" s="22"/>
      <c r="D607" s="22"/>
      <c r="E607" s="22"/>
      <c r="F607" s="23"/>
    </row>
    <row r="608" spans="1:6" outlineLevel="2">
      <c r="A608" s="21" t="s">
        <v>968</v>
      </c>
      <c r="B608" s="22" t="s">
        <v>1271</v>
      </c>
      <c r="C608" s="22" t="s">
        <v>636</v>
      </c>
      <c r="D608" s="22">
        <v>43</v>
      </c>
      <c r="E608" s="22">
        <v>2</v>
      </c>
      <c r="F608" s="23" t="s">
        <v>11</v>
      </c>
    </row>
    <row r="609" spans="1:6" outlineLevel="2">
      <c r="A609" s="21" t="s">
        <v>968</v>
      </c>
      <c r="B609" s="22" t="s">
        <v>1271</v>
      </c>
      <c r="C609" s="22" t="s">
        <v>340</v>
      </c>
      <c r="D609" s="22">
        <v>42</v>
      </c>
      <c r="E609" s="22">
        <v>2</v>
      </c>
      <c r="F609" s="23" t="s">
        <v>11</v>
      </c>
    </row>
    <row r="610" spans="1:6" outlineLevel="2">
      <c r="A610" s="21" t="s">
        <v>968</v>
      </c>
      <c r="B610" s="22" t="s">
        <v>1273</v>
      </c>
      <c r="C610" s="22" t="s">
        <v>636</v>
      </c>
      <c r="D610" s="22">
        <v>40</v>
      </c>
      <c r="E610" s="22">
        <v>2</v>
      </c>
      <c r="F610" s="23" t="s">
        <v>11</v>
      </c>
    </row>
    <row r="611" spans="1:6" outlineLevel="2">
      <c r="A611" s="21" t="s">
        <v>968</v>
      </c>
      <c r="B611" s="22" t="s">
        <v>1273</v>
      </c>
      <c r="C611" s="22" t="s">
        <v>340</v>
      </c>
      <c r="D611" s="22">
        <v>54</v>
      </c>
      <c r="E611" s="22">
        <v>2</v>
      </c>
      <c r="F611" s="23" t="s">
        <v>11</v>
      </c>
    </row>
    <row r="612" spans="1:6" outlineLevel="2">
      <c r="A612" s="21" t="s">
        <v>968</v>
      </c>
      <c r="B612" s="22" t="s">
        <v>1533</v>
      </c>
      <c r="C612" s="22" t="s">
        <v>636</v>
      </c>
      <c r="D612" s="22">
        <v>50</v>
      </c>
      <c r="E612" s="22">
        <v>2</v>
      </c>
      <c r="F612" s="23" t="s">
        <v>11</v>
      </c>
    </row>
    <row r="613" spans="1:6" outlineLevel="2">
      <c r="A613" s="21" t="s">
        <v>968</v>
      </c>
      <c r="B613" s="22" t="s">
        <v>1535</v>
      </c>
      <c r="C613" s="22" t="s">
        <v>636</v>
      </c>
      <c r="D613" s="22">
        <v>46</v>
      </c>
      <c r="E613" s="22">
        <v>2</v>
      </c>
      <c r="F613" s="23" t="s">
        <v>11</v>
      </c>
    </row>
    <row r="614" spans="1:6" outlineLevel="2">
      <c r="A614" s="21" t="s">
        <v>968</v>
      </c>
      <c r="B614" s="22" t="s">
        <v>1275</v>
      </c>
      <c r="C614" s="22" t="s">
        <v>636</v>
      </c>
      <c r="D614" s="22">
        <v>41</v>
      </c>
      <c r="E614" s="22">
        <v>2</v>
      </c>
      <c r="F614" s="23" t="s">
        <v>11</v>
      </c>
    </row>
    <row r="615" spans="1:6" outlineLevel="2">
      <c r="A615" s="21" t="s">
        <v>968</v>
      </c>
      <c r="B615" s="22" t="s">
        <v>1275</v>
      </c>
      <c r="C615" s="22" t="s">
        <v>340</v>
      </c>
      <c r="D615" s="22">
        <v>41</v>
      </c>
      <c r="E615" s="22">
        <v>2</v>
      </c>
      <c r="F615" s="23" t="s">
        <v>11</v>
      </c>
    </row>
    <row r="616" spans="1:6" outlineLevel="2">
      <c r="A616" s="21" t="s">
        <v>968</v>
      </c>
      <c r="B616" s="22" t="s">
        <v>1277</v>
      </c>
      <c r="C616" s="22" t="s">
        <v>636</v>
      </c>
      <c r="D616" s="22">
        <v>40</v>
      </c>
      <c r="E616" s="22">
        <v>2</v>
      </c>
      <c r="F616" s="23" t="s">
        <v>11</v>
      </c>
    </row>
    <row r="617" spans="1:6" outlineLevel="2">
      <c r="A617" s="21" t="s">
        <v>968</v>
      </c>
      <c r="B617" s="22" t="s">
        <v>1277</v>
      </c>
      <c r="C617" s="22" t="s">
        <v>340</v>
      </c>
      <c r="D617" s="22">
        <v>41</v>
      </c>
      <c r="E617" s="22">
        <v>2</v>
      </c>
      <c r="F617" s="23" t="s">
        <v>11</v>
      </c>
    </row>
    <row r="618" spans="1:6" outlineLevel="2">
      <c r="A618" s="21" t="s">
        <v>968</v>
      </c>
      <c r="B618" s="22" t="s">
        <v>1537</v>
      </c>
      <c r="C618" s="22" t="s">
        <v>636</v>
      </c>
      <c r="D618" s="22">
        <v>55</v>
      </c>
      <c r="E618" s="22">
        <v>2</v>
      </c>
      <c r="F618" s="23" t="s">
        <v>11</v>
      </c>
    </row>
    <row r="619" spans="1:6" outlineLevel="2">
      <c r="A619" s="21" t="s">
        <v>968</v>
      </c>
      <c r="B619" s="22" t="s">
        <v>1279</v>
      </c>
      <c r="C619" s="22" t="s">
        <v>636</v>
      </c>
      <c r="D619" s="22">
        <v>42</v>
      </c>
      <c r="E619" s="22">
        <v>2</v>
      </c>
      <c r="F619" s="23" t="s">
        <v>11</v>
      </c>
    </row>
    <row r="620" spans="1:6" outlineLevel="2">
      <c r="A620" s="21" t="s">
        <v>968</v>
      </c>
      <c r="B620" s="22" t="s">
        <v>1279</v>
      </c>
      <c r="C620" s="22" t="s">
        <v>340</v>
      </c>
      <c r="D620" s="22">
        <v>41</v>
      </c>
      <c r="E620" s="22">
        <v>2</v>
      </c>
      <c r="F620" s="23" t="s">
        <v>11</v>
      </c>
    </row>
    <row r="621" spans="1:6" outlineLevel="2">
      <c r="A621" s="21" t="s">
        <v>968</v>
      </c>
      <c r="B621" s="22" t="s">
        <v>1279</v>
      </c>
      <c r="C621" s="22" t="s">
        <v>709</v>
      </c>
      <c r="D621" s="22">
        <v>55</v>
      </c>
      <c r="E621" s="22">
        <v>2</v>
      </c>
      <c r="F621" s="23" t="s">
        <v>11</v>
      </c>
    </row>
    <row r="622" spans="1:6" outlineLevel="2">
      <c r="A622" s="21" t="s">
        <v>968</v>
      </c>
      <c r="B622" s="22" t="s">
        <v>1539</v>
      </c>
      <c r="C622" s="22" t="s">
        <v>636</v>
      </c>
      <c r="D622" s="22">
        <v>40</v>
      </c>
      <c r="E622" s="22">
        <v>2</v>
      </c>
      <c r="F622" s="23" t="s">
        <v>11</v>
      </c>
    </row>
    <row r="623" spans="1:6" outlineLevel="2">
      <c r="A623" s="21" t="s">
        <v>968</v>
      </c>
      <c r="B623" s="22" t="s">
        <v>969</v>
      </c>
      <c r="C623" s="22" t="s">
        <v>10</v>
      </c>
      <c r="D623" s="22">
        <v>48</v>
      </c>
      <c r="E623" s="22">
        <v>3</v>
      </c>
      <c r="F623" s="23" t="s">
        <v>11</v>
      </c>
    </row>
    <row r="624" spans="1:6" outlineLevel="2">
      <c r="A624" s="21" t="s">
        <v>968</v>
      </c>
      <c r="B624" s="22" t="s">
        <v>969</v>
      </c>
      <c r="C624" s="22" t="s">
        <v>340</v>
      </c>
      <c r="D624" s="22">
        <v>41</v>
      </c>
      <c r="E624" s="22">
        <v>2</v>
      </c>
      <c r="F624" s="23" t="s">
        <v>11</v>
      </c>
    </row>
    <row r="625" spans="1:2" outlineLevel="1">
      <c r="A625" s="148" t="s">
        <v>1881</v>
      </c>
      <c r="B625" s="20">
        <f>SUBTOTAL(3,B608:B624)</f>
        <v>17</v>
      </c>
    </row>
    <row r="626" spans="1:2">
      <c r="A626" s="148" t="s">
        <v>1861</v>
      </c>
      <c r="B626" s="20">
        <f>SUBTOTAL(3,B2:B624)</f>
        <v>604</v>
      </c>
    </row>
  </sheetData>
  <autoFilter ref="A1:F624" xr:uid="{8BFA1F96-6AAF-4149-B470-EDD87E5A84EC}"/>
  <sortState xmlns:xlrd2="http://schemas.microsoft.com/office/spreadsheetml/2017/richdata2" ref="A2:F624">
    <sortCondition ref="A2:A624"/>
    <sortCondition ref="B2:B624"/>
  </sortState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300" r:id="rId1"/>
  <headerFooter>
    <oddHeader>&amp;C&amp;"細明體,粗體"&amp;14市立新北高工 111學年度第2學期 高二各班學生不及格科目補考名單</oddHeader>
    <oddFooter>&amp;R&amp;"新細明體,粗體"&amp;12第&amp;P頁-共&amp;N頁</oddFooter>
  </headerFooter>
  <rowBreaks count="20" manualBreakCount="20">
    <brk id="39" max="16383" man="1"/>
    <brk id="61" max="16383" man="1"/>
    <brk id="86" max="16383" man="1"/>
    <brk id="91" max="16383" man="1"/>
    <brk id="107" max="16383" man="1"/>
    <brk id="145" max="16383" man="1"/>
    <brk id="189" max="16383" man="1"/>
    <brk id="225" max="16383" man="1"/>
    <brk id="264" max="16383" man="1"/>
    <brk id="315" max="16383" man="1"/>
    <brk id="366" max="16383" man="1"/>
    <brk id="388" max="16383" man="1"/>
    <brk id="423" max="16383" man="1"/>
    <brk id="460" max="16383" man="1"/>
    <brk id="491" max="16383" man="1"/>
    <brk id="504" max="16383" man="1"/>
    <brk id="516" max="16383" man="1"/>
    <brk id="564" max="16383" man="1"/>
    <brk id="607" max="16383" man="1"/>
    <brk id="626" max="16383" man="1"/>
  </rowBreaks>
  <colBreaks count="1" manualBreakCount="1">
    <brk id="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AF007-0AA6-4ED8-9FB5-05B99F80FB25}">
  <sheetPr>
    <pageSetUpPr fitToPage="1"/>
  </sheetPr>
  <dimension ref="A1:F796"/>
  <sheetViews>
    <sheetView view="pageBreakPreview" topLeftCell="A637" zoomScale="115" zoomScaleNormal="100" zoomScaleSheetLayoutView="115" workbookViewId="0">
      <selection activeCell="H640" sqref="H640"/>
    </sheetView>
  </sheetViews>
  <sheetFormatPr defaultRowHeight="15.5" outlineLevelRow="2"/>
  <cols>
    <col min="1" max="1" width="16.08984375" style="7" bestFit="1" customWidth="1"/>
    <col min="2" max="2" width="8.90625" style="7" bestFit="1" customWidth="1"/>
    <col min="3" max="3" width="15.36328125" style="7" bestFit="1" customWidth="1"/>
    <col min="4" max="4" width="6" style="8" bestFit="1" customWidth="1"/>
    <col min="5" max="5" width="8.90625" style="8" bestFit="1" customWidth="1"/>
    <col min="6" max="6" width="8.1796875" style="8" bestFit="1" customWidth="1"/>
    <col min="7" max="221" width="8.90625" style="7"/>
    <col min="222" max="222" width="7.6328125" style="7" bestFit="1" customWidth="1"/>
    <col min="223" max="223" width="0" style="7" hidden="1" customWidth="1"/>
    <col min="224" max="224" width="8.90625" style="7"/>
    <col min="225" max="225" width="0" style="7" hidden="1" customWidth="1"/>
    <col min="226" max="226" width="24.90625" style="7" bestFit="1" customWidth="1"/>
    <col min="227" max="227" width="10" style="7" bestFit="1" customWidth="1"/>
    <col min="228" max="228" width="9.54296875" style="7" customWidth="1"/>
    <col min="229" max="229" width="9.54296875" style="7" bestFit="1" customWidth="1"/>
    <col min="230" max="231" width="0" style="7" hidden="1" customWidth="1"/>
    <col min="232" max="232" width="11.453125" style="7" bestFit="1" customWidth="1"/>
    <col min="233" max="251" width="0" style="7" hidden="1" customWidth="1"/>
    <col min="252" max="477" width="8.90625" style="7"/>
    <col min="478" max="478" width="7.6328125" style="7" bestFit="1" customWidth="1"/>
    <col min="479" max="479" width="0" style="7" hidden="1" customWidth="1"/>
    <col min="480" max="480" width="8.90625" style="7"/>
    <col min="481" max="481" width="0" style="7" hidden="1" customWidth="1"/>
    <col min="482" max="482" width="24.90625" style="7" bestFit="1" customWidth="1"/>
    <col min="483" max="483" width="10" style="7" bestFit="1" customWidth="1"/>
    <col min="484" max="484" width="9.54296875" style="7" customWidth="1"/>
    <col min="485" max="485" width="9.54296875" style="7" bestFit="1" customWidth="1"/>
    <col min="486" max="487" width="0" style="7" hidden="1" customWidth="1"/>
    <col min="488" max="488" width="11.453125" style="7" bestFit="1" customWidth="1"/>
    <col min="489" max="507" width="0" style="7" hidden="1" customWidth="1"/>
    <col min="508" max="733" width="8.90625" style="7"/>
    <col min="734" max="734" width="7.6328125" style="7" bestFit="1" customWidth="1"/>
    <col min="735" max="735" width="0" style="7" hidden="1" customWidth="1"/>
    <col min="736" max="736" width="8.90625" style="7"/>
    <col min="737" max="737" width="0" style="7" hidden="1" customWidth="1"/>
    <col min="738" max="738" width="24.90625" style="7" bestFit="1" customWidth="1"/>
    <col min="739" max="739" width="10" style="7" bestFit="1" customWidth="1"/>
    <col min="740" max="740" width="9.54296875" style="7" customWidth="1"/>
    <col min="741" max="741" width="9.54296875" style="7" bestFit="1" customWidth="1"/>
    <col min="742" max="743" width="0" style="7" hidden="1" customWidth="1"/>
    <col min="744" max="744" width="11.453125" style="7" bestFit="1" customWidth="1"/>
    <col min="745" max="763" width="0" style="7" hidden="1" customWidth="1"/>
    <col min="764" max="989" width="8.90625" style="7"/>
    <col min="990" max="990" width="7.6328125" style="7" bestFit="1" customWidth="1"/>
    <col min="991" max="991" width="0" style="7" hidden="1" customWidth="1"/>
    <col min="992" max="992" width="8.90625" style="7"/>
    <col min="993" max="993" width="0" style="7" hidden="1" customWidth="1"/>
    <col min="994" max="994" width="24.90625" style="7" bestFit="1" customWidth="1"/>
    <col min="995" max="995" width="10" style="7" bestFit="1" customWidth="1"/>
    <col min="996" max="996" width="9.54296875" style="7" customWidth="1"/>
    <col min="997" max="997" width="9.54296875" style="7" bestFit="1" customWidth="1"/>
    <col min="998" max="999" width="0" style="7" hidden="1" customWidth="1"/>
    <col min="1000" max="1000" width="11.453125" style="7" bestFit="1" customWidth="1"/>
    <col min="1001" max="1019" width="0" style="7" hidden="1" customWidth="1"/>
    <col min="1020" max="1245" width="8.90625" style="7"/>
    <col min="1246" max="1246" width="7.6328125" style="7" bestFit="1" customWidth="1"/>
    <col min="1247" max="1247" width="0" style="7" hidden="1" customWidth="1"/>
    <col min="1248" max="1248" width="8.90625" style="7"/>
    <col min="1249" max="1249" width="0" style="7" hidden="1" customWidth="1"/>
    <col min="1250" max="1250" width="24.90625" style="7" bestFit="1" customWidth="1"/>
    <col min="1251" max="1251" width="10" style="7" bestFit="1" customWidth="1"/>
    <col min="1252" max="1252" width="9.54296875" style="7" customWidth="1"/>
    <col min="1253" max="1253" width="9.54296875" style="7" bestFit="1" customWidth="1"/>
    <col min="1254" max="1255" width="0" style="7" hidden="1" customWidth="1"/>
    <col min="1256" max="1256" width="11.453125" style="7" bestFit="1" customWidth="1"/>
    <col min="1257" max="1275" width="0" style="7" hidden="1" customWidth="1"/>
    <col min="1276" max="1501" width="8.90625" style="7"/>
    <col min="1502" max="1502" width="7.6328125" style="7" bestFit="1" customWidth="1"/>
    <col min="1503" max="1503" width="0" style="7" hidden="1" customWidth="1"/>
    <col min="1504" max="1504" width="8.90625" style="7"/>
    <col min="1505" max="1505" width="0" style="7" hidden="1" customWidth="1"/>
    <col min="1506" max="1506" width="24.90625" style="7" bestFit="1" customWidth="1"/>
    <col min="1507" max="1507" width="10" style="7" bestFit="1" customWidth="1"/>
    <col min="1508" max="1508" width="9.54296875" style="7" customWidth="1"/>
    <col min="1509" max="1509" width="9.54296875" style="7" bestFit="1" customWidth="1"/>
    <col min="1510" max="1511" width="0" style="7" hidden="1" customWidth="1"/>
    <col min="1512" max="1512" width="11.453125" style="7" bestFit="1" customWidth="1"/>
    <col min="1513" max="1531" width="0" style="7" hidden="1" customWidth="1"/>
    <col min="1532" max="1757" width="8.90625" style="7"/>
    <col min="1758" max="1758" width="7.6328125" style="7" bestFit="1" customWidth="1"/>
    <col min="1759" max="1759" width="0" style="7" hidden="1" customWidth="1"/>
    <col min="1760" max="1760" width="8.90625" style="7"/>
    <col min="1761" max="1761" width="0" style="7" hidden="1" customWidth="1"/>
    <col min="1762" max="1762" width="24.90625" style="7" bestFit="1" customWidth="1"/>
    <col min="1763" max="1763" width="10" style="7" bestFit="1" customWidth="1"/>
    <col min="1764" max="1764" width="9.54296875" style="7" customWidth="1"/>
    <col min="1765" max="1765" width="9.54296875" style="7" bestFit="1" customWidth="1"/>
    <col min="1766" max="1767" width="0" style="7" hidden="1" customWidth="1"/>
    <col min="1768" max="1768" width="11.453125" style="7" bestFit="1" customWidth="1"/>
    <col min="1769" max="1787" width="0" style="7" hidden="1" customWidth="1"/>
    <col min="1788" max="2013" width="8.90625" style="7"/>
    <col min="2014" max="2014" width="7.6328125" style="7" bestFit="1" customWidth="1"/>
    <col min="2015" max="2015" width="0" style="7" hidden="1" customWidth="1"/>
    <col min="2016" max="2016" width="8.90625" style="7"/>
    <col min="2017" max="2017" width="0" style="7" hidden="1" customWidth="1"/>
    <col min="2018" max="2018" width="24.90625" style="7" bestFit="1" customWidth="1"/>
    <col min="2019" max="2019" width="10" style="7" bestFit="1" customWidth="1"/>
    <col min="2020" max="2020" width="9.54296875" style="7" customWidth="1"/>
    <col min="2021" max="2021" width="9.54296875" style="7" bestFit="1" customWidth="1"/>
    <col min="2022" max="2023" width="0" style="7" hidden="1" customWidth="1"/>
    <col min="2024" max="2024" width="11.453125" style="7" bestFit="1" customWidth="1"/>
    <col min="2025" max="2043" width="0" style="7" hidden="1" customWidth="1"/>
    <col min="2044" max="2269" width="8.90625" style="7"/>
    <col min="2270" max="2270" width="7.6328125" style="7" bestFit="1" customWidth="1"/>
    <col min="2271" max="2271" width="0" style="7" hidden="1" customWidth="1"/>
    <col min="2272" max="2272" width="8.90625" style="7"/>
    <col min="2273" max="2273" width="0" style="7" hidden="1" customWidth="1"/>
    <col min="2274" max="2274" width="24.90625" style="7" bestFit="1" customWidth="1"/>
    <col min="2275" max="2275" width="10" style="7" bestFit="1" customWidth="1"/>
    <col min="2276" max="2276" width="9.54296875" style="7" customWidth="1"/>
    <col min="2277" max="2277" width="9.54296875" style="7" bestFit="1" customWidth="1"/>
    <col min="2278" max="2279" width="0" style="7" hidden="1" customWidth="1"/>
    <col min="2280" max="2280" width="11.453125" style="7" bestFit="1" customWidth="1"/>
    <col min="2281" max="2299" width="0" style="7" hidden="1" customWidth="1"/>
    <col min="2300" max="2525" width="8.90625" style="7"/>
    <col min="2526" max="2526" width="7.6328125" style="7" bestFit="1" customWidth="1"/>
    <col min="2527" max="2527" width="0" style="7" hidden="1" customWidth="1"/>
    <col min="2528" max="2528" width="8.90625" style="7"/>
    <col min="2529" max="2529" width="0" style="7" hidden="1" customWidth="1"/>
    <col min="2530" max="2530" width="24.90625" style="7" bestFit="1" customWidth="1"/>
    <col min="2531" max="2531" width="10" style="7" bestFit="1" customWidth="1"/>
    <col min="2532" max="2532" width="9.54296875" style="7" customWidth="1"/>
    <col min="2533" max="2533" width="9.54296875" style="7" bestFit="1" customWidth="1"/>
    <col min="2534" max="2535" width="0" style="7" hidden="1" customWidth="1"/>
    <col min="2536" max="2536" width="11.453125" style="7" bestFit="1" customWidth="1"/>
    <col min="2537" max="2555" width="0" style="7" hidden="1" customWidth="1"/>
    <col min="2556" max="2781" width="8.90625" style="7"/>
    <col min="2782" max="2782" width="7.6328125" style="7" bestFit="1" customWidth="1"/>
    <col min="2783" max="2783" width="0" style="7" hidden="1" customWidth="1"/>
    <col min="2784" max="2784" width="8.90625" style="7"/>
    <col min="2785" max="2785" width="0" style="7" hidden="1" customWidth="1"/>
    <col min="2786" max="2786" width="24.90625" style="7" bestFit="1" customWidth="1"/>
    <col min="2787" max="2787" width="10" style="7" bestFit="1" customWidth="1"/>
    <col min="2788" max="2788" width="9.54296875" style="7" customWidth="1"/>
    <col min="2789" max="2789" width="9.54296875" style="7" bestFit="1" customWidth="1"/>
    <col min="2790" max="2791" width="0" style="7" hidden="1" customWidth="1"/>
    <col min="2792" max="2792" width="11.453125" style="7" bestFit="1" customWidth="1"/>
    <col min="2793" max="2811" width="0" style="7" hidden="1" customWidth="1"/>
    <col min="2812" max="3037" width="8.90625" style="7"/>
    <col min="3038" max="3038" width="7.6328125" style="7" bestFit="1" customWidth="1"/>
    <col min="3039" max="3039" width="0" style="7" hidden="1" customWidth="1"/>
    <col min="3040" max="3040" width="8.90625" style="7"/>
    <col min="3041" max="3041" width="0" style="7" hidden="1" customWidth="1"/>
    <col min="3042" max="3042" width="24.90625" style="7" bestFit="1" customWidth="1"/>
    <col min="3043" max="3043" width="10" style="7" bestFit="1" customWidth="1"/>
    <col min="3044" max="3044" width="9.54296875" style="7" customWidth="1"/>
    <col min="3045" max="3045" width="9.54296875" style="7" bestFit="1" customWidth="1"/>
    <col min="3046" max="3047" width="0" style="7" hidden="1" customWidth="1"/>
    <col min="3048" max="3048" width="11.453125" style="7" bestFit="1" customWidth="1"/>
    <col min="3049" max="3067" width="0" style="7" hidden="1" customWidth="1"/>
    <col min="3068" max="3293" width="8.90625" style="7"/>
    <col min="3294" max="3294" width="7.6328125" style="7" bestFit="1" customWidth="1"/>
    <col min="3295" max="3295" width="0" style="7" hidden="1" customWidth="1"/>
    <col min="3296" max="3296" width="8.90625" style="7"/>
    <col min="3297" max="3297" width="0" style="7" hidden="1" customWidth="1"/>
    <col min="3298" max="3298" width="24.90625" style="7" bestFit="1" customWidth="1"/>
    <col min="3299" max="3299" width="10" style="7" bestFit="1" customWidth="1"/>
    <col min="3300" max="3300" width="9.54296875" style="7" customWidth="1"/>
    <col min="3301" max="3301" width="9.54296875" style="7" bestFit="1" customWidth="1"/>
    <col min="3302" max="3303" width="0" style="7" hidden="1" customWidth="1"/>
    <col min="3304" max="3304" width="11.453125" style="7" bestFit="1" customWidth="1"/>
    <col min="3305" max="3323" width="0" style="7" hidden="1" customWidth="1"/>
    <col min="3324" max="3549" width="8.90625" style="7"/>
    <col min="3550" max="3550" width="7.6328125" style="7" bestFit="1" customWidth="1"/>
    <col min="3551" max="3551" width="0" style="7" hidden="1" customWidth="1"/>
    <col min="3552" max="3552" width="8.90625" style="7"/>
    <col min="3553" max="3553" width="0" style="7" hidden="1" customWidth="1"/>
    <col min="3554" max="3554" width="24.90625" style="7" bestFit="1" customWidth="1"/>
    <col min="3555" max="3555" width="10" style="7" bestFit="1" customWidth="1"/>
    <col min="3556" max="3556" width="9.54296875" style="7" customWidth="1"/>
    <col min="3557" max="3557" width="9.54296875" style="7" bestFit="1" customWidth="1"/>
    <col min="3558" max="3559" width="0" style="7" hidden="1" customWidth="1"/>
    <col min="3560" max="3560" width="11.453125" style="7" bestFit="1" customWidth="1"/>
    <col min="3561" max="3579" width="0" style="7" hidden="1" customWidth="1"/>
    <col min="3580" max="3805" width="8.90625" style="7"/>
    <col min="3806" max="3806" width="7.6328125" style="7" bestFit="1" customWidth="1"/>
    <col min="3807" max="3807" width="0" style="7" hidden="1" customWidth="1"/>
    <col min="3808" max="3808" width="8.90625" style="7"/>
    <col min="3809" max="3809" width="0" style="7" hidden="1" customWidth="1"/>
    <col min="3810" max="3810" width="24.90625" style="7" bestFit="1" customWidth="1"/>
    <col min="3811" max="3811" width="10" style="7" bestFit="1" customWidth="1"/>
    <col min="3812" max="3812" width="9.54296875" style="7" customWidth="1"/>
    <col min="3813" max="3813" width="9.54296875" style="7" bestFit="1" customWidth="1"/>
    <col min="3814" max="3815" width="0" style="7" hidden="1" customWidth="1"/>
    <col min="3816" max="3816" width="11.453125" style="7" bestFit="1" customWidth="1"/>
    <col min="3817" max="3835" width="0" style="7" hidden="1" customWidth="1"/>
    <col min="3836" max="4061" width="8.90625" style="7"/>
    <col min="4062" max="4062" width="7.6328125" style="7" bestFit="1" customWidth="1"/>
    <col min="4063" max="4063" width="0" style="7" hidden="1" customWidth="1"/>
    <col min="4064" max="4064" width="8.90625" style="7"/>
    <col min="4065" max="4065" width="0" style="7" hidden="1" customWidth="1"/>
    <col min="4066" max="4066" width="24.90625" style="7" bestFit="1" customWidth="1"/>
    <col min="4067" max="4067" width="10" style="7" bestFit="1" customWidth="1"/>
    <col min="4068" max="4068" width="9.54296875" style="7" customWidth="1"/>
    <col min="4069" max="4069" width="9.54296875" style="7" bestFit="1" customWidth="1"/>
    <col min="4070" max="4071" width="0" style="7" hidden="1" customWidth="1"/>
    <col min="4072" max="4072" width="11.453125" style="7" bestFit="1" customWidth="1"/>
    <col min="4073" max="4091" width="0" style="7" hidden="1" customWidth="1"/>
    <col min="4092" max="4317" width="8.90625" style="7"/>
    <col min="4318" max="4318" width="7.6328125" style="7" bestFit="1" customWidth="1"/>
    <col min="4319" max="4319" width="0" style="7" hidden="1" customWidth="1"/>
    <col min="4320" max="4320" width="8.90625" style="7"/>
    <col min="4321" max="4321" width="0" style="7" hidden="1" customWidth="1"/>
    <col min="4322" max="4322" width="24.90625" style="7" bestFit="1" customWidth="1"/>
    <col min="4323" max="4323" width="10" style="7" bestFit="1" customWidth="1"/>
    <col min="4324" max="4324" width="9.54296875" style="7" customWidth="1"/>
    <col min="4325" max="4325" width="9.54296875" style="7" bestFit="1" customWidth="1"/>
    <col min="4326" max="4327" width="0" style="7" hidden="1" customWidth="1"/>
    <col min="4328" max="4328" width="11.453125" style="7" bestFit="1" customWidth="1"/>
    <col min="4329" max="4347" width="0" style="7" hidden="1" customWidth="1"/>
    <col min="4348" max="4573" width="8.90625" style="7"/>
    <col min="4574" max="4574" width="7.6328125" style="7" bestFit="1" customWidth="1"/>
    <col min="4575" max="4575" width="0" style="7" hidden="1" customWidth="1"/>
    <col min="4576" max="4576" width="8.90625" style="7"/>
    <col min="4577" max="4577" width="0" style="7" hidden="1" customWidth="1"/>
    <col min="4578" max="4578" width="24.90625" style="7" bestFit="1" customWidth="1"/>
    <col min="4579" max="4579" width="10" style="7" bestFit="1" customWidth="1"/>
    <col min="4580" max="4580" width="9.54296875" style="7" customWidth="1"/>
    <col min="4581" max="4581" width="9.54296875" style="7" bestFit="1" customWidth="1"/>
    <col min="4582" max="4583" width="0" style="7" hidden="1" customWidth="1"/>
    <col min="4584" max="4584" width="11.453125" style="7" bestFit="1" customWidth="1"/>
    <col min="4585" max="4603" width="0" style="7" hidden="1" customWidth="1"/>
    <col min="4604" max="4829" width="8.90625" style="7"/>
    <col min="4830" max="4830" width="7.6328125" style="7" bestFit="1" customWidth="1"/>
    <col min="4831" max="4831" width="0" style="7" hidden="1" customWidth="1"/>
    <col min="4832" max="4832" width="8.90625" style="7"/>
    <col min="4833" max="4833" width="0" style="7" hidden="1" customWidth="1"/>
    <col min="4834" max="4834" width="24.90625" style="7" bestFit="1" customWidth="1"/>
    <col min="4835" max="4835" width="10" style="7" bestFit="1" customWidth="1"/>
    <col min="4836" max="4836" width="9.54296875" style="7" customWidth="1"/>
    <col min="4837" max="4837" width="9.54296875" style="7" bestFit="1" customWidth="1"/>
    <col min="4838" max="4839" width="0" style="7" hidden="1" customWidth="1"/>
    <col min="4840" max="4840" width="11.453125" style="7" bestFit="1" customWidth="1"/>
    <col min="4841" max="4859" width="0" style="7" hidden="1" customWidth="1"/>
    <col min="4860" max="5085" width="8.90625" style="7"/>
    <col min="5086" max="5086" width="7.6328125" style="7" bestFit="1" customWidth="1"/>
    <col min="5087" max="5087" width="0" style="7" hidden="1" customWidth="1"/>
    <col min="5088" max="5088" width="8.90625" style="7"/>
    <col min="5089" max="5089" width="0" style="7" hidden="1" customWidth="1"/>
    <col min="5090" max="5090" width="24.90625" style="7" bestFit="1" customWidth="1"/>
    <col min="5091" max="5091" width="10" style="7" bestFit="1" customWidth="1"/>
    <col min="5092" max="5092" width="9.54296875" style="7" customWidth="1"/>
    <col min="5093" max="5093" width="9.54296875" style="7" bestFit="1" customWidth="1"/>
    <col min="5094" max="5095" width="0" style="7" hidden="1" customWidth="1"/>
    <col min="5096" max="5096" width="11.453125" style="7" bestFit="1" customWidth="1"/>
    <col min="5097" max="5115" width="0" style="7" hidden="1" customWidth="1"/>
    <col min="5116" max="5341" width="8.90625" style="7"/>
    <col min="5342" max="5342" width="7.6328125" style="7" bestFit="1" customWidth="1"/>
    <col min="5343" max="5343" width="0" style="7" hidden="1" customWidth="1"/>
    <col min="5344" max="5344" width="8.90625" style="7"/>
    <col min="5345" max="5345" width="0" style="7" hidden="1" customWidth="1"/>
    <col min="5346" max="5346" width="24.90625" style="7" bestFit="1" customWidth="1"/>
    <col min="5347" max="5347" width="10" style="7" bestFit="1" customWidth="1"/>
    <col min="5348" max="5348" width="9.54296875" style="7" customWidth="1"/>
    <col min="5349" max="5349" width="9.54296875" style="7" bestFit="1" customWidth="1"/>
    <col min="5350" max="5351" width="0" style="7" hidden="1" customWidth="1"/>
    <col min="5352" max="5352" width="11.453125" style="7" bestFit="1" customWidth="1"/>
    <col min="5353" max="5371" width="0" style="7" hidden="1" customWidth="1"/>
    <col min="5372" max="5597" width="8.90625" style="7"/>
    <col min="5598" max="5598" width="7.6328125" style="7" bestFit="1" customWidth="1"/>
    <col min="5599" max="5599" width="0" style="7" hidden="1" customWidth="1"/>
    <col min="5600" max="5600" width="8.90625" style="7"/>
    <col min="5601" max="5601" width="0" style="7" hidden="1" customWidth="1"/>
    <col min="5602" max="5602" width="24.90625" style="7" bestFit="1" customWidth="1"/>
    <col min="5603" max="5603" width="10" style="7" bestFit="1" customWidth="1"/>
    <col min="5604" max="5604" width="9.54296875" style="7" customWidth="1"/>
    <col min="5605" max="5605" width="9.54296875" style="7" bestFit="1" customWidth="1"/>
    <col min="5606" max="5607" width="0" style="7" hidden="1" customWidth="1"/>
    <col min="5608" max="5608" width="11.453125" style="7" bestFit="1" customWidth="1"/>
    <col min="5609" max="5627" width="0" style="7" hidden="1" customWidth="1"/>
    <col min="5628" max="5853" width="8.90625" style="7"/>
    <col min="5854" max="5854" width="7.6328125" style="7" bestFit="1" customWidth="1"/>
    <col min="5855" max="5855" width="0" style="7" hidden="1" customWidth="1"/>
    <col min="5856" max="5856" width="8.90625" style="7"/>
    <col min="5857" max="5857" width="0" style="7" hidden="1" customWidth="1"/>
    <col min="5858" max="5858" width="24.90625" style="7" bestFit="1" customWidth="1"/>
    <col min="5859" max="5859" width="10" style="7" bestFit="1" customWidth="1"/>
    <col min="5860" max="5860" width="9.54296875" style="7" customWidth="1"/>
    <col min="5861" max="5861" width="9.54296875" style="7" bestFit="1" customWidth="1"/>
    <col min="5862" max="5863" width="0" style="7" hidden="1" customWidth="1"/>
    <col min="5864" max="5864" width="11.453125" style="7" bestFit="1" customWidth="1"/>
    <col min="5865" max="5883" width="0" style="7" hidden="1" customWidth="1"/>
    <col min="5884" max="6109" width="8.90625" style="7"/>
    <col min="6110" max="6110" width="7.6328125" style="7" bestFit="1" customWidth="1"/>
    <col min="6111" max="6111" width="0" style="7" hidden="1" customWidth="1"/>
    <col min="6112" max="6112" width="8.90625" style="7"/>
    <col min="6113" max="6113" width="0" style="7" hidden="1" customWidth="1"/>
    <col min="6114" max="6114" width="24.90625" style="7" bestFit="1" customWidth="1"/>
    <col min="6115" max="6115" width="10" style="7" bestFit="1" customWidth="1"/>
    <col min="6116" max="6116" width="9.54296875" style="7" customWidth="1"/>
    <col min="6117" max="6117" width="9.54296875" style="7" bestFit="1" customWidth="1"/>
    <col min="6118" max="6119" width="0" style="7" hidden="1" customWidth="1"/>
    <col min="6120" max="6120" width="11.453125" style="7" bestFit="1" customWidth="1"/>
    <col min="6121" max="6139" width="0" style="7" hidden="1" customWidth="1"/>
    <col min="6140" max="6365" width="8.90625" style="7"/>
    <col min="6366" max="6366" width="7.6328125" style="7" bestFit="1" customWidth="1"/>
    <col min="6367" max="6367" width="0" style="7" hidden="1" customWidth="1"/>
    <col min="6368" max="6368" width="8.90625" style="7"/>
    <col min="6369" max="6369" width="0" style="7" hidden="1" customWidth="1"/>
    <col min="6370" max="6370" width="24.90625" style="7" bestFit="1" customWidth="1"/>
    <col min="6371" max="6371" width="10" style="7" bestFit="1" customWidth="1"/>
    <col min="6372" max="6372" width="9.54296875" style="7" customWidth="1"/>
    <col min="6373" max="6373" width="9.54296875" style="7" bestFit="1" customWidth="1"/>
    <col min="6374" max="6375" width="0" style="7" hidden="1" customWidth="1"/>
    <col min="6376" max="6376" width="11.453125" style="7" bestFit="1" customWidth="1"/>
    <col min="6377" max="6395" width="0" style="7" hidden="1" customWidth="1"/>
    <col min="6396" max="6621" width="8.90625" style="7"/>
    <col min="6622" max="6622" width="7.6328125" style="7" bestFit="1" customWidth="1"/>
    <col min="6623" max="6623" width="0" style="7" hidden="1" customWidth="1"/>
    <col min="6624" max="6624" width="8.90625" style="7"/>
    <col min="6625" max="6625" width="0" style="7" hidden="1" customWidth="1"/>
    <col min="6626" max="6626" width="24.90625" style="7" bestFit="1" customWidth="1"/>
    <col min="6627" max="6627" width="10" style="7" bestFit="1" customWidth="1"/>
    <col min="6628" max="6628" width="9.54296875" style="7" customWidth="1"/>
    <col min="6629" max="6629" width="9.54296875" style="7" bestFit="1" customWidth="1"/>
    <col min="6630" max="6631" width="0" style="7" hidden="1" customWidth="1"/>
    <col min="6632" max="6632" width="11.453125" style="7" bestFit="1" customWidth="1"/>
    <col min="6633" max="6651" width="0" style="7" hidden="1" customWidth="1"/>
    <col min="6652" max="6877" width="8.90625" style="7"/>
    <col min="6878" max="6878" width="7.6328125" style="7" bestFit="1" customWidth="1"/>
    <col min="6879" max="6879" width="0" style="7" hidden="1" customWidth="1"/>
    <col min="6880" max="6880" width="8.90625" style="7"/>
    <col min="6881" max="6881" width="0" style="7" hidden="1" customWidth="1"/>
    <col min="6882" max="6882" width="24.90625" style="7" bestFit="1" customWidth="1"/>
    <col min="6883" max="6883" width="10" style="7" bestFit="1" customWidth="1"/>
    <col min="6884" max="6884" width="9.54296875" style="7" customWidth="1"/>
    <col min="6885" max="6885" width="9.54296875" style="7" bestFit="1" customWidth="1"/>
    <col min="6886" max="6887" width="0" style="7" hidden="1" customWidth="1"/>
    <col min="6888" max="6888" width="11.453125" style="7" bestFit="1" customWidth="1"/>
    <col min="6889" max="6907" width="0" style="7" hidden="1" customWidth="1"/>
    <col min="6908" max="7133" width="8.90625" style="7"/>
    <col min="7134" max="7134" width="7.6328125" style="7" bestFit="1" customWidth="1"/>
    <col min="7135" max="7135" width="0" style="7" hidden="1" customWidth="1"/>
    <col min="7136" max="7136" width="8.90625" style="7"/>
    <col min="7137" max="7137" width="0" style="7" hidden="1" customWidth="1"/>
    <col min="7138" max="7138" width="24.90625" style="7" bestFit="1" customWidth="1"/>
    <col min="7139" max="7139" width="10" style="7" bestFit="1" customWidth="1"/>
    <col min="7140" max="7140" width="9.54296875" style="7" customWidth="1"/>
    <col min="7141" max="7141" width="9.54296875" style="7" bestFit="1" customWidth="1"/>
    <col min="7142" max="7143" width="0" style="7" hidden="1" customWidth="1"/>
    <col min="7144" max="7144" width="11.453125" style="7" bestFit="1" customWidth="1"/>
    <col min="7145" max="7163" width="0" style="7" hidden="1" customWidth="1"/>
    <col min="7164" max="7389" width="8.90625" style="7"/>
    <col min="7390" max="7390" width="7.6328125" style="7" bestFit="1" customWidth="1"/>
    <col min="7391" max="7391" width="0" style="7" hidden="1" customWidth="1"/>
    <col min="7392" max="7392" width="8.90625" style="7"/>
    <col min="7393" max="7393" width="0" style="7" hidden="1" customWidth="1"/>
    <col min="7394" max="7394" width="24.90625" style="7" bestFit="1" customWidth="1"/>
    <col min="7395" max="7395" width="10" style="7" bestFit="1" customWidth="1"/>
    <col min="7396" max="7396" width="9.54296875" style="7" customWidth="1"/>
    <col min="7397" max="7397" width="9.54296875" style="7" bestFit="1" customWidth="1"/>
    <col min="7398" max="7399" width="0" style="7" hidden="1" customWidth="1"/>
    <col min="7400" max="7400" width="11.453125" style="7" bestFit="1" customWidth="1"/>
    <col min="7401" max="7419" width="0" style="7" hidden="1" customWidth="1"/>
    <col min="7420" max="7645" width="8.90625" style="7"/>
    <col min="7646" max="7646" width="7.6328125" style="7" bestFit="1" customWidth="1"/>
    <col min="7647" max="7647" width="0" style="7" hidden="1" customWidth="1"/>
    <col min="7648" max="7648" width="8.90625" style="7"/>
    <col min="7649" max="7649" width="0" style="7" hidden="1" customWidth="1"/>
    <col min="7650" max="7650" width="24.90625" style="7" bestFit="1" customWidth="1"/>
    <col min="7651" max="7651" width="10" style="7" bestFit="1" customWidth="1"/>
    <col min="7652" max="7652" width="9.54296875" style="7" customWidth="1"/>
    <col min="7653" max="7653" width="9.54296875" style="7" bestFit="1" customWidth="1"/>
    <col min="7654" max="7655" width="0" style="7" hidden="1" customWidth="1"/>
    <col min="7656" max="7656" width="11.453125" style="7" bestFit="1" customWidth="1"/>
    <col min="7657" max="7675" width="0" style="7" hidden="1" customWidth="1"/>
    <col min="7676" max="7901" width="8.90625" style="7"/>
    <col min="7902" max="7902" width="7.6328125" style="7" bestFit="1" customWidth="1"/>
    <col min="7903" max="7903" width="0" style="7" hidden="1" customWidth="1"/>
    <col min="7904" max="7904" width="8.90625" style="7"/>
    <col min="7905" max="7905" width="0" style="7" hidden="1" customWidth="1"/>
    <col min="7906" max="7906" width="24.90625" style="7" bestFit="1" customWidth="1"/>
    <col min="7907" max="7907" width="10" style="7" bestFit="1" customWidth="1"/>
    <col min="7908" max="7908" width="9.54296875" style="7" customWidth="1"/>
    <col min="7909" max="7909" width="9.54296875" style="7" bestFit="1" customWidth="1"/>
    <col min="7910" max="7911" width="0" style="7" hidden="1" customWidth="1"/>
    <col min="7912" max="7912" width="11.453125" style="7" bestFit="1" customWidth="1"/>
    <col min="7913" max="7931" width="0" style="7" hidden="1" customWidth="1"/>
    <col min="7932" max="8157" width="8.90625" style="7"/>
    <col min="8158" max="8158" width="7.6328125" style="7" bestFit="1" customWidth="1"/>
    <col min="8159" max="8159" width="0" style="7" hidden="1" customWidth="1"/>
    <col min="8160" max="8160" width="8.90625" style="7"/>
    <col min="8161" max="8161" width="0" style="7" hidden="1" customWidth="1"/>
    <col min="8162" max="8162" width="24.90625" style="7" bestFit="1" customWidth="1"/>
    <col min="8163" max="8163" width="10" style="7" bestFit="1" customWidth="1"/>
    <col min="8164" max="8164" width="9.54296875" style="7" customWidth="1"/>
    <col min="8165" max="8165" width="9.54296875" style="7" bestFit="1" customWidth="1"/>
    <col min="8166" max="8167" width="0" style="7" hidden="1" customWidth="1"/>
    <col min="8168" max="8168" width="11.453125" style="7" bestFit="1" customWidth="1"/>
    <col min="8169" max="8187" width="0" style="7" hidden="1" customWidth="1"/>
    <col min="8188" max="8413" width="8.90625" style="7"/>
    <col min="8414" max="8414" width="7.6328125" style="7" bestFit="1" customWidth="1"/>
    <col min="8415" max="8415" width="0" style="7" hidden="1" customWidth="1"/>
    <col min="8416" max="8416" width="8.90625" style="7"/>
    <col min="8417" max="8417" width="0" style="7" hidden="1" customWidth="1"/>
    <col min="8418" max="8418" width="24.90625" style="7" bestFit="1" customWidth="1"/>
    <col min="8419" max="8419" width="10" style="7" bestFit="1" customWidth="1"/>
    <col min="8420" max="8420" width="9.54296875" style="7" customWidth="1"/>
    <col min="8421" max="8421" width="9.54296875" style="7" bestFit="1" customWidth="1"/>
    <col min="8422" max="8423" width="0" style="7" hidden="1" customWidth="1"/>
    <col min="8424" max="8424" width="11.453125" style="7" bestFit="1" customWidth="1"/>
    <col min="8425" max="8443" width="0" style="7" hidden="1" customWidth="1"/>
    <col min="8444" max="8669" width="8.90625" style="7"/>
    <col min="8670" max="8670" width="7.6328125" style="7" bestFit="1" customWidth="1"/>
    <col min="8671" max="8671" width="0" style="7" hidden="1" customWidth="1"/>
    <col min="8672" max="8672" width="8.90625" style="7"/>
    <col min="8673" max="8673" width="0" style="7" hidden="1" customWidth="1"/>
    <col min="8674" max="8674" width="24.90625" style="7" bestFit="1" customWidth="1"/>
    <col min="8675" max="8675" width="10" style="7" bestFit="1" customWidth="1"/>
    <col min="8676" max="8676" width="9.54296875" style="7" customWidth="1"/>
    <col min="8677" max="8677" width="9.54296875" style="7" bestFit="1" customWidth="1"/>
    <col min="8678" max="8679" width="0" style="7" hidden="1" customWidth="1"/>
    <col min="8680" max="8680" width="11.453125" style="7" bestFit="1" customWidth="1"/>
    <col min="8681" max="8699" width="0" style="7" hidden="1" customWidth="1"/>
    <col min="8700" max="8925" width="8.90625" style="7"/>
    <col min="8926" max="8926" width="7.6328125" style="7" bestFit="1" customWidth="1"/>
    <col min="8927" max="8927" width="0" style="7" hidden="1" customWidth="1"/>
    <col min="8928" max="8928" width="8.90625" style="7"/>
    <col min="8929" max="8929" width="0" style="7" hidden="1" customWidth="1"/>
    <col min="8930" max="8930" width="24.90625" style="7" bestFit="1" customWidth="1"/>
    <col min="8931" max="8931" width="10" style="7" bestFit="1" customWidth="1"/>
    <col min="8932" max="8932" width="9.54296875" style="7" customWidth="1"/>
    <col min="8933" max="8933" width="9.54296875" style="7" bestFit="1" customWidth="1"/>
    <col min="8934" max="8935" width="0" style="7" hidden="1" customWidth="1"/>
    <col min="8936" max="8936" width="11.453125" style="7" bestFit="1" customWidth="1"/>
    <col min="8937" max="8955" width="0" style="7" hidden="1" customWidth="1"/>
    <col min="8956" max="9181" width="8.90625" style="7"/>
    <col min="9182" max="9182" width="7.6328125" style="7" bestFit="1" customWidth="1"/>
    <col min="9183" max="9183" width="0" style="7" hidden="1" customWidth="1"/>
    <col min="9184" max="9184" width="8.90625" style="7"/>
    <col min="9185" max="9185" width="0" style="7" hidden="1" customWidth="1"/>
    <col min="9186" max="9186" width="24.90625" style="7" bestFit="1" customWidth="1"/>
    <col min="9187" max="9187" width="10" style="7" bestFit="1" customWidth="1"/>
    <col min="9188" max="9188" width="9.54296875" style="7" customWidth="1"/>
    <col min="9189" max="9189" width="9.54296875" style="7" bestFit="1" customWidth="1"/>
    <col min="9190" max="9191" width="0" style="7" hidden="1" customWidth="1"/>
    <col min="9192" max="9192" width="11.453125" style="7" bestFit="1" customWidth="1"/>
    <col min="9193" max="9211" width="0" style="7" hidden="1" customWidth="1"/>
    <col min="9212" max="9437" width="8.90625" style="7"/>
    <col min="9438" max="9438" width="7.6328125" style="7" bestFit="1" customWidth="1"/>
    <col min="9439" max="9439" width="0" style="7" hidden="1" customWidth="1"/>
    <col min="9440" max="9440" width="8.90625" style="7"/>
    <col min="9441" max="9441" width="0" style="7" hidden="1" customWidth="1"/>
    <col min="9442" max="9442" width="24.90625" style="7" bestFit="1" customWidth="1"/>
    <col min="9443" max="9443" width="10" style="7" bestFit="1" customWidth="1"/>
    <col min="9444" max="9444" width="9.54296875" style="7" customWidth="1"/>
    <col min="9445" max="9445" width="9.54296875" style="7" bestFit="1" customWidth="1"/>
    <col min="9446" max="9447" width="0" style="7" hidden="1" customWidth="1"/>
    <col min="9448" max="9448" width="11.453125" style="7" bestFit="1" customWidth="1"/>
    <col min="9449" max="9467" width="0" style="7" hidden="1" customWidth="1"/>
    <col min="9468" max="9693" width="8.90625" style="7"/>
    <col min="9694" max="9694" width="7.6328125" style="7" bestFit="1" customWidth="1"/>
    <col min="9695" max="9695" width="0" style="7" hidden="1" customWidth="1"/>
    <col min="9696" max="9696" width="8.90625" style="7"/>
    <col min="9697" max="9697" width="0" style="7" hidden="1" customWidth="1"/>
    <col min="9698" max="9698" width="24.90625" style="7" bestFit="1" customWidth="1"/>
    <col min="9699" max="9699" width="10" style="7" bestFit="1" customWidth="1"/>
    <col min="9700" max="9700" width="9.54296875" style="7" customWidth="1"/>
    <col min="9701" max="9701" width="9.54296875" style="7" bestFit="1" customWidth="1"/>
    <col min="9702" max="9703" width="0" style="7" hidden="1" customWidth="1"/>
    <col min="9704" max="9704" width="11.453125" style="7" bestFit="1" customWidth="1"/>
    <col min="9705" max="9723" width="0" style="7" hidden="1" customWidth="1"/>
    <col min="9724" max="9949" width="8.90625" style="7"/>
    <col min="9950" max="9950" width="7.6328125" style="7" bestFit="1" customWidth="1"/>
    <col min="9951" max="9951" width="0" style="7" hidden="1" customWidth="1"/>
    <col min="9952" max="9952" width="8.90625" style="7"/>
    <col min="9953" max="9953" width="0" style="7" hidden="1" customWidth="1"/>
    <col min="9954" max="9954" width="24.90625" style="7" bestFit="1" customWidth="1"/>
    <col min="9955" max="9955" width="10" style="7" bestFit="1" customWidth="1"/>
    <col min="9956" max="9956" width="9.54296875" style="7" customWidth="1"/>
    <col min="9957" max="9957" width="9.54296875" style="7" bestFit="1" customWidth="1"/>
    <col min="9958" max="9959" width="0" style="7" hidden="1" customWidth="1"/>
    <col min="9960" max="9960" width="11.453125" style="7" bestFit="1" customWidth="1"/>
    <col min="9961" max="9979" width="0" style="7" hidden="1" customWidth="1"/>
    <col min="9980" max="10205" width="8.90625" style="7"/>
    <col min="10206" max="10206" width="7.6328125" style="7" bestFit="1" customWidth="1"/>
    <col min="10207" max="10207" width="0" style="7" hidden="1" customWidth="1"/>
    <col min="10208" max="10208" width="8.90625" style="7"/>
    <col min="10209" max="10209" width="0" style="7" hidden="1" customWidth="1"/>
    <col min="10210" max="10210" width="24.90625" style="7" bestFit="1" customWidth="1"/>
    <col min="10211" max="10211" width="10" style="7" bestFit="1" customWidth="1"/>
    <col min="10212" max="10212" width="9.54296875" style="7" customWidth="1"/>
    <col min="10213" max="10213" width="9.54296875" style="7" bestFit="1" customWidth="1"/>
    <col min="10214" max="10215" width="0" style="7" hidden="1" customWidth="1"/>
    <col min="10216" max="10216" width="11.453125" style="7" bestFit="1" customWidth="1"/>
    <col min="10217" max="10235" width="0" style="7" hidden="1" customWidth="1"/>
    <col min="10236" max="10461" width="8.90625" style="7"/>
    <col min="10462" max="10462" width="7.6328125" style="7" bestFit="1" customWidth="1"/>
    <col min="10463" max="10463" width="0" style="7" hidden="1" customWidth="1"/>
    <col min="10464" max="10464" width="8.90625" style="7"/>
    <col min="10465" max="10465" width="0" style="7" hidden="1" customWidth="1"/>
    <col min="10466" max="10466" width="24.90625" style="7" bestFit="1" customWidth="1"/>
    <col min="10467" max="10467" width="10" style="7" bestFit="1" customWidth="1"/>
    <col min="10468" max="10468" width="9.54296875" style="7" customWidth="1"/>
    <col min="10469" max="10469" width="9.54296875" style="7" bestFit="1" customWidth="1"/>
    <col min="10470" max="10471" width="0" style="7" hidden="1" customWidth="1"/>
    <col min="10472" max="10472" width="11.453125" style="7" bestFit="1" customWidth="1"/>
    <col min="10473" max="10491" width="0" style="7" hidden="1" customWidth="1"/>
    <col min="10492" max="10717" width="8.90625" style="7"/>
    <col min="10718" max="10718" width="7.6328125" style="7" bestFit="1" customWidth="1"/>
    <col min="10719" max="10719" width="0" style="7" hidden="1" customWidth="1"/>
    <col min="10720" max="10720" width="8.90625" style="7"/>
    <col min="10721" max="10721" width="0" style="7" hidden="1" customWidth="1"/>
    <col min="10722" max="10722" width="24.90625" style="7" bestFit="1" customWidth="1"/>
    <col min="10723" max="10723" width="10" style="7" bestFit="1" customWidth="1"/>
    <col min="10724" max="10724" width="9.54296875" style="7" customWidth="1"/>
    <col min="10725" max="10725" width="9.54296875" style="7" bestFit="1" customWidth="1"/>
    <col min="10726" max="10727" width="0" style="7" hidden="1" customWidth="1"/>
    <col min="10728" max="10728" width="11.453125" style="7" bestFit="1" customWidth="1"/>
    <col min="10729" max="10747" width="0" style="7" hidden="1" customWidth="1"/>
    <col min="10748" max="10973" width="8.90625" style="7"/>
    <col min="10974" max="10974" width="7.6328125" style="7" bestFit="1" customWidth="1"/>
    <col min="10975" max="10975" width="0" style="7" hidden="1" customWidth="1"/>
    <col min="10976" max="10976" width="8.90625" style="7"/>
    <col min="10977" max="10977" width="0" style="7" hidden="1" customWidth="1"/>
    <col min="10978" max="10978" width="24.90625" style="7" bestFit="1" customWidth="1"/>
    <col min="10979" max="10979" width="10" style="7" bestFit="1" customWidth="1"/>
    <col min="10980" max="10980" width="9.54296875" style="7" customWidth="1"/>
    <col min="10981" max="10981" width="9.54296875" style="7" bestFit="1" customWidth="1"/>
    <col min="10982" max="10983" width="0" style="7" hidden="1" customWidth="1"/>
    <col min="10984" max="10984" width="11.453125" style="7" bestFit="1" customWidth="1"/>
    <col min="10985" max="11003" width="0" style="7" hidden="1" customWidth="1"/>
    <col min="11004" max="11229" width="8.90625" style="7"/>
    <col min="11230" max="11230" width="7.6328125" style="7" bestFit="1" customWidth="1"/>
    <col min="11231" max="11231" width="0" style="7" hidden="1" customWidth="1"/>
    <col min="11232" max="11232" width="8.90625" style="7"/>
    <col min="11233" max="11233" width="0" style="7" hidden="1" customWidth="1"/>
    <col min="11234" max="11234" width="24.90625" style="7" bestFit="1" customWidth="1"/>
    <col min="11235" max="11235" width="10" style="7" bestFit="1" customWidth="1"/>
    <col min="11236" max="11236" width="9.54296875" style="7" customWidth="1"/>
    <col min="11237" max="11237" width="9.54296875" style="7" bestFit="1" customWidth="1"/>
    <col min="11238" max="11239" width="0" style="7" hidden="1" customWidth="1"/>
    <col min="11240" max="11240" width="11.453125" style="7" bestFit="1" customWidth="1"/>
    <col min="11241" max="11259" width="0" style="7" hidden="1" customWidth="1"/>
    <col min="11260" max="11485" width="8.90625" style="7"/>
    <col min="11486" max="11486" width="7.6328125" style="7" bestFit="1" customWidth="1"/>
    <col min="11487" max="11487" width="0" style="7" hidden="1" customWidth="1"/>
    <col min="11488" max="11488" width="8.90625" style="7"/>
    <col min="11489" max="11489" width="0" style="7" hidden="1" customWidth="1"/>
    <col min="11490" max="11490" width="24.90625" style="7" bestFit="1" customWidth="1"/>
    <col min="11491" max="11491" width="10" style="7" bestFit="1" customWidth="1"/>
    <col min="11492" max="11492" width="9.54296875" style="7" customWidth="1"/>
    <col min="11493" max="11493" width="9.54296875" style="7" bestFit="1" customWidth="1"/>
    <col min="11494" max="11495" width="0" style="7" hidden="1" customWidth="1"/>
    <col min="11496" max="11496" width="11.453125" style="7" bestFit="1" customWidth="1"/>
    <col min="11497" max="11515" width="0" style="7" hidden="1" customWidth="1"/>
    <col min="11516" max="11741" width="8.90625" style="7"/>
    <col min="11742" max="11742" width="7.6328125" style="7" bestFit="1" customWidth="1"/>
    <col min="11743" max="11743" width="0" style="7" hidden="1" customWidth="1"/>
    <col min="11744" max="11744" width="8.90625" style="7"/>
    <col min="11745" max="11745" width="0" style="7" hidden="1" customWidth="1"/>
    <col min="11746" max="11746" width="24.90625" style="7" bestFit="1" customWidth="1"/>
    <col min="11747" max="11747" width="10" style="7" bestFit="1" customWidth="1"/>
    <col min="11748" max="11748" width="9.54296875" style="7" customWidth="1"/>
    <col min="11749" max="11749" width="9.54296875" style="7" bestFit="1" customWidth="1"/>
    <col min="11750" max="11751" width="0" style="7" hidden="1" customWidth="1"/>
    <col min="11752" max="11752" width="11.453125" style="7" bestFit="1" customWidth="1"/>
    <col min="11753" max="11771" width="0" style="7" hidden="1" customWidth="1"/>
    <col min="11772" max="11997" width="8.90625" style="7"/>
    <col min="11998" max="11998" width="7.6328125" style="7" bestFit="1" customWidth="1"/>
    <col min="11999" max="11999" width="0" style="7" hidden="1" customWidth="1"/>
    <col min="12000" max="12000" width="8.90625" style="7"/>
    <col min="12001" max="12001" width="0" style="7" hidden="1" customWidth="1"/>
    <col min="12002" max="12002" width="24.90625" style="7" bestFit="1" customWidth="1"/>
    <col min="12003" max="12003" width="10" style="7" bestFit="1" customWidth="1"/>
    <col min="12004" max="12004" width="9.54296875" style="7" customWidth="1"/>
    <col min="12005" max="12005" width="9.54296875" style="7" bestFit="1" customWidth="1"/>
    <col min="12006" max="12007" width="0" style="7" hidden="1" customWidth="1"/>
    <col min="12008" max="12008" width="11.453125" style="7" bestFit="1" customWidth="1"/>
    <col min="12009" max="12027" width="0" style="7" hidden="1" customWidth="1"/>
    <col min="12028" max="12253" width="8.90625" style="7"/>
    <col min="12254" max="12254" width="7.6328125" style="7" bestFit="1" customWidth="1"/>
    <col min="12255" max="12255" width="0" style="7" hidden="1" customWidth="1"/>
    <col min="12256" max="12256" width="8.90625" style="7"/>
    <col min="12257" max="12257" width="0" style="7" hidden="1" customWidth="1"/>
    <col min="12258" max="12258" width="24.90625" style="7" bestFit="1" customWidth="1"/>
    <col min="12259" max="12259" width="10" style="7" bestFit="1" customWidth="1"/>
    <col min="12260" max="12260" width="9.54296875" style="7" customWidth="1"/>
    <col min="12261" max="12261" width="9.54296875" style="7" bestFit="1" customWidth="1"/>
    <col min="12262" max="12263" width="0" style="7" hidden="1" customWidth="1"/>
    <col min="12264" max="12264" width="11.453125" style="7" bestFit="1" customWidth="1"/>
    <col min="12265" max="12283" width="0" style="7" hidden="1" customWidth="1"/>
    <col min="12284" max="12509" width="8.90625" style="7"/>
    <col min="12510" max="12510" width="7.6328125" style="7" bestFit="1" customWidth="1"/>
    <col min="12511" max="12511" width="0" style="7" hidden="1" customWidth="1"/>
    <col min="12512" max="12512" width="8.90625" style="7"/>
    <col min="12513" max="12513" width="0" style="7" hidden="1" customWidth="1"/>
    <col min="12514" max="12514" width="24.90625" style="7" bestFit="1" customWidth="1"/>
    <col min="12515" max="12515" width="10" style="7" bestFit="1" customWidth="1"/>
    <col min="12516" max="12516" width="9.54296875" style="7" customWidth="1"/>
    <col min="12517" max="12517" width="9.54296875" style="7" bestFit="1" customWidth="1"/>
    <col min="12518" max="12519" width="0" style="7" hidden="1" customWidth="1"/>
    <col min="12520" max="12520" width="11.453125" style="7" bestFit="1" customWidth="1"/>
    <col min="12521" max="12539" width="0" style="7" hidden="1" customWidth="1"/>
    <col min="12540" max="12765" width="8.90625" style="7"/>
    <col min="12766" max="12766" width="7.6328125" style="7" bestFit="1" customWidth="1"/>
    <col min="12767" max="12767" width="0" style="7" hidden="1" customWidth="1"/>
    <col min="12768" max="12768" width="8.90625" style="7"/>
    <col min="12769" max="12769" width="0" style="7" hidden="1" customWidth="1"/>
    <col min="12770" max="12770" width="24.90625" style="7" bestFit="1" customWidth="1"/>
    <col min="12771" max="12771" width="10" style="7" bestFit="1" customWidth="1"/>
    <col min="12772" max="12772" width="9.54296875" style="7" customWidth="1"/>
    <col min="12773" max="12773" width="9.54296875" style="7" bestFit="1" customWidth="1"/>
    <col min="12774" max="12775" width="0" style="7" hidden="1" customWidth="1"/>
    <col min="12776" max="12776" width="11.453125" style="7" bestFit="1" customWidth="1"/>
    <col min="12777" max="12795" width="0" style="7" hidden="1" customWidth="1"/>
    <col min="12796" max="13021" width="8.90625" style="7"/>
    <col min="13022" max="13022" width="7.6328125" style="7" bestFit="1" customWidth="1"/>
    <col min="13023" max="13023" width="0" style="7" hidden="1" customWidth="1"/>
    <col min="13024" max="13024" width="8.90625" style="7"/>
    <col min="13025" max="13025" width="0" style="7" hidden="1" customWidth="1"/>
    <col min="13026" max="13026" width="24.90625" style="7" bestFit="1" customWidth="1"/>
    <col min="13027" max="13027" width="10" style="7" bestFit="1" customWidth="1"/>
    <col min="13028" max="13028" width="9.54296875" style="7" customWidth="1"/>
    <col min="13029" max="13029" width="9.54296875" style="7" bestFit="1" customWidth="1"/>
    <col min="13030" max="13031" width="0" style="7" hidden="1" customWidth="1"/>
    <col min="13032" max="13032" width="11.453125" style="7" bestFit="1" customWidth="1"/>
    <col min="13033" max="13051" width="0" style="7" hidden="1" customWidth="1"/>
    <col min="13052" max="13277" width="8.90625" style="7"/>
    <col min="13278" max="13278" width="7.6328125" style="7" bestFit="1" customWidth="1"/>
    <col min="13279" max="13279" width="0" style="7" hidden="1" customWidth="1"/>
    <col min="13280" max="13280" width="8.90625" style="7"/>
    <col min="13281" max="13281" width="0" style="7" hidden="1" customWidth="1"/>
    <col min="13282" max="13282" width="24.90625" style="7" bestFit="1" customWidth="1"/>
    <col min="13283" max="13283" width="10" style="7" bestFit="1" customWidth="1"/>
    <col min="13284" max="13284" width="9.54296875" style="7" customWidth="1"/>
    <col min="13285" max="13285" width="9.54296875" style="7" bestFit="1" customWidth="1"/>
    <col min="13286" max="13287" width="0" style="7" hidden="1" customWidth="1"/>
    <col min="13288" max="13288" width="11.453125" style="7" bestFit="1" customWidth="1"/>
    <col min="13289" max="13307" width="0" style="7" hidden="1" customWidth="1"/>
    <col min="13308" max="13533" width="8.90625" style="7"/>
    <col min="13534" max="13534" width="7.6328125" style="7" bestFit="1" customWidth="1"/>
    <col min="13535" max="13535" width="0" style="7" hidden="1" customWidth="1"/>
    <col min="13536" max="13536" width="8.90625" style="7"/>
    <col min="13537" max="13537" width="0" style="7" hidden="1" customWidth="1"/>
    <col min="13538" max="13538" width="24.90625" style="7" bestFit="1" customWidth="1"/>
    <col min="13539" max="13539" width="10" style="7" bestFit="1" customWidth="1"/>
    <col min="13540" max="13540" width="9.54296875" style="7" customWidth="1"/>
    <col min="13541" max="13541" width="9.54296875" style="7" bestFit="1" customWidth="1"/>
    <col min="13542" max="13543" width="0" style="7" hidden="1" customWidth="1"/>
    <col min="13544" max="13544" width="11.453125" style="7" bestFit="1" customWidth="1"/>
    <col min="13545" max="13563" width="0" style="7" hidden="1" customWidth="1"/>
    <col min="13564" max="13789" width="8.90625" style="7"/>
    <col min="13790" max="13790" width="7.6328125" style="7" bestFit="1" customWidth="1"/>
    <col min="13791" max="13791" width="0" style="7" hidden="1" customWidth="1"/>
    <col min="13792" max="13792" width="8.90625" style="7"/>
    <col min="13793" max="13793" width="0" style="7" hidden="1" customWidth="1"/>
    <col min="13794" max="13794" width="24.90625" style="7" bestFit="1" customWidth="1"/>
    <col min="13795" max="13795" width="10" style="7" bestFit="1" customWidth="1"/>
    <col min="13796" max="13796" width="9.54296875" style="7" customWidth="1"/>
    <col min="13797" max="13797" width="9.54296875" style="7" bestFit="1" customWidth="1"/>
    <col min="13798" max="13799" width="0" style="7" hidden="1" customWidth="1"/>
    <col min="13800" max="13800" width="11.453125" style="7" bestFit="1" customWidth="1"/>
    <col min="13801" max="13819" width="0" style="7" hidden="1" customWidth="1"/>
    <col min="13820" max="14045" width="8.90625" style="7"/>
    <col min="14046" max="14046" width="7.6328125" style="7" bestFit="1" customWidth="1"/>
    <col min="14047" max="14047" width="0" style="7" hidden="1" customWidth="1"/>
    <col min="14048" max="14048" width="8.90625" style="7"/>
    <col min="14049" max="14049" width="0" style="7" hidden="1" customWidth="1"/>
    <col min="14050" max="14050" width="24.90625" style="7" bestFit="1" customWidth="1"/>
    <col min="14051" max="14051" width="10" style="7" bestFit="1" customWidth="1"/>
    <col min="14052" max="14052" width="9.54296875" style="7" customWidth="1"/>
    <col min="14053" max="14053" width="9.54296875" style="7" bestFit="1" customWidth="1"/>
    <col min="14054" max="14055" width="0" style="7" hidden="1" customWidth="1"/>
    <col min="14056" max="14056" width="11.453125" style="7" bestFit="1" customWidth="1"/>
    <col min="14057" max="14075" width="0" style="7" hidden="1" customWidth="1"/>
    <col min="14076" max="14301" width="8.90625" style="7"/>
    <col min="14302" max="14302" width="7.6328125" style="7" bestFit="1" customWidth="1"/>
    <col min="14303" max="14303" width="0" style="7" hidden="1" customWidth="1"/>
    <col min="14304" max="14304" width="8.90625" style="7"/>
    <col min="14305" max="14305" width="0" style="7" hidden="1" customWidth="1"/>
    <col min="14306" max="14306" width="24.90625" style="7" bestFit="1" customWidth="1"/>
    <col min="14307" max="14307" width="10" style="7" bestFit="1" customWidth="1"/>
    <col min="14308" max="14308" width="9.54296875" style="7" customWidth="1"/>
    <col min="14309" max="14309" width="9.54296875" style="7" bestFit="1" customWidth="1"/>
    <col min="14310" max="14311" width="0" style="7" hidden="1" customWidth="1"/>
    <col min="14312" max="14312" width="11.453125" style="7" bestFit="1" customWidth="1"/>
    <col min="14313" max="14331" width="0" style="7" hidden="1" customWidth="1"/>
    <col min="14332" max="14557" width="8.90625" style="7"/>
    <col min="14558" max="14558" width="7.6328125" style="7" bestFit="1" customWidth="1"/>
    <col min="14559" max="14559" width="0" style="7" hidden="1" customWidth="1"/>
    <col min="14560" max="14560" width="8.90625" style="7"/>
    <col min="14561" max="14561" width="0" style="7" hidden="1" customWidth="1"/>
    <col min="14562" max="14562" width="24.90625" style="7" bestFit="1" customWidth="1"/>
    <col min="14563" max="14563" width="10" style="7" bestFit="1" customWidth="1"/>
    <col min="14564" max="14564" width="9.54296875" style="7" customWidth="1"/>
    <col min="14565" max="14565" width="9.54296875" style="7" bestFit="1" customWidth="1"/>
    <col min="14566" max="14567" width="0" style="7" hidden="1" customWidth="1"/>
    <col min="14568" max="14568" width="11.453125" style="7" bestFit="1" customWidth="1"/>
    <col min="14569" max="14587" width="0" style="7" hidden="1" customWidth="1"/>
    <col min="14588" max="14813" width="8.90625" style="7"/>
    <col min="14814" max="14814" width="7.6328125" style="7" bestFit="1" customWidth="1"/>
    <col min="14815" max="14815" width="0" style="7" hidden="1" customWidth="1"/>
    <col min="14816" max="14816" width="8.90625" style="7"/>
    <col min="14817" max="14817" width="0" style="7" hidden="1" customWidth="1"/>
    <col min="14818" max="14818" width="24.90625" style="7" bestFit="1" customWidth="1"/>
    <col min="14819" max="14819" width="10" style="7" bestFit="1" customWidth="1"/>
    <col min="14820" max="14820" width="9.54296875" style="7" customWidth="1"/>
    <col min="14821" max="14821" width="9.54296875" style="7" bestFit="1" customWidth="1"/>
    <col min="14822" max="14823" width="0" style="7" hidden="1" customWidth="1"/>
    <col min="14824" max="14824" width="11.453125" style="7" bestFit="1" customWidth="1"/>
    <col min="14825" max="14843" width="0" style="7" hidden="1" customWidth="1"/>
    <col min="14844" max="15069" width="8.90625" style="7"/>
    <col min="15070" max="15070" width="7.6328125" style="7" bestFit="1" customWidth="1"/>
    <col min="15071" max="15071" width="0" style="7" hidden="1" customWidth="1"/>
    <col min="15072" max="15072" width="8.90625" style="7"/>
    <col min="15073" max="15073" width="0" style="7" hidden="1" customWidth="1"/>
    <col min="15074" max="15074" width="24.90625" style="7" bestFit="1" customWidth="1"/>
    <col min="15075" max="15075" width="10" style="7" bestFit="1" customWidth="1"/>
    <col min="15076" max="15076" width="9.54296875" style="7" customWidth="1"/>
    <col min="15077" max="15077" width="9.54296875" style="7" bestFit="1" customWidth="1"/>
    <col min="15078" max="15079" width="0" style="7" hidden="1" customWidth="1"/>
    <col min="15080" max="15080" width="11.453125" style="7" bestFit="1" customWidth="1"/>
    <col min="15081" max="15099" width="0" style="7" hidden="1" customWidth="1"/>
    <col min="15100" max="15325" width="8.90625" style="7"/>
    <col min="15326" max="15326" width="7.6328125" style="7" bestFit="1" customWidth="1"/>
    <col min="15327" max="15327" width="0" style="7" hidden="1" customWidth="1"/>
    <col min="15328" max="15328" width="8.90625" style="7"/>
    <col min="15329" max="15329" width="0" style="7" hidden="1" customWidth="1"/>
    <col min="15330" max="15330" width="24.90625" style="7" bestFit="1" customWidth="1"/>
    <col min="15331" max="15331" width="10" style="7" bestFit="1" customWidth="1"/>
    <col min="15332" max="15332" width="9.54296875" style="7" customWidth="1"/>
    <col min="15333" max="15333" width="9.54296875" style="7" bestFit="1" customWidth="1"/>
    <col min="15334" max="15335" width="0" style="7" hidden="1" customWidth="1"/>
    <col min="15336" max="15336" width="11.453125" style="7" bestFit="1" customWidth="1"/>
    <col min="15337" max="15355" width="0" style="7" hidden="1" customWidth="1"/>
    <col min="15356" max="15581" width="8.90625" style="7"/>
    <col min="15582" max="15582" width="7.6328125" style="7" bestFit="1" customWidth="1"/>
    <col min="15583" max="15583" width="0" style="7" hidden="1" customWidth="1"/>
    <col min="15584" max="15584" width="8.90625" style="7"/>
    <col min="15585" max="15585" width="0" style="7" hidden="1" customWidth="1"/>
    <col min="15586" max="15586" width="24.90625" style="7" bestFit="1" customWidth="1"/>
    <col min="15587" max="15587" width="10" style="7" bestFit="1" customWidth="1"/>
    <col min="15588" max="15588" width="9.54296875" style="7" customWidth="1"/>
    <col min="15589" max="15589" width="9.54296875" style="7" bestFit="1" customWidth="1"/>
    <col min="15590" max="15591" width="0" style="7" hidden="1" customWidth="1"/>
    <col min="15592" max="15592" width="11.453125" style="7" bestFit="1" customWidth="1"/>
    <col min="15593" max="15611" width="0" style="7" hidden="1" customWidth="1"/>
    <col min="15612" max="15837" width="8.90625" style="7"/>
    <col min="15838" max="15838" width="7.6328125" style="7" bestFit="1" customWidth="1"/>
    <col min="15839" max="15839" width="0" style="7" hidden="1" customWidth="1"/>
    <col min="15840" max="15840" width="8.90625" style="7"/>
    <col min="15841" max="15841" width="0" style="7" hidden="1" customWidth="1"/>
    <col min="15842" max="15842" width="24.90625" style="7" bestFit="1" customWidth="1"/>
    <col min="15843" max="15843" width="10" style="7" bestFit="1" customWidth="1"/>
    <col min="15844" max="15844" width="9.54296875" style="7" customWidth="1"/>
    <col min="15845" max="15845" width="9.54296875" style="7" bestFit="1" customWidth="1"/>
    <col min="15846" max="15847" width="0" style="7" hidden="1" customWidth="1"/>
    <col min="15848" max="15848" width="11.453125" style="7" bestFit="1" customWidth="1"/>
    <col min="15849" max="15867" width="0" style="7" hidden="1" customWidth="1"/>
    <col min="15868" max="16093" width="8.90625" style="7"/>
    <col min="16094" max="16094" width="7.6328125" style="7" bestFit="1" customWidth="1"/>
    <col min="16095" max="16095" width="0" style="7" hidden="1" customWidth="1"/>
    <col min="16096" max="16096" width="8.90625" style="7"/>
    <col min="16097" max="16097" width="0" style="7" hidden="1" customWidth="1"/>
    <col min="16098" max="16098" width="24.90625" style="7" bestFit="1" customWidth="1"/>
    <col min="16099" max="16099" width="10" style="7" bestFit="1" customWidth="1"/>
    <col min="16100" max="16100" width="9.54296875" style="7" customWidth="1"/>
    <col min="16101" max="16101" width="9.54296875" style="7" bestFit="1" customWidth="1"/>
    <col min="16102" max="16103" width="0" style="7" hidden="1" customWidth="1"/>
    <col min="16104" max="16104" width="11.453125" style="7" bestFit="1" customWidth="1"/>
    <col min="16105" max="16123" width="0" style="7" hidden="1" customWidth="1"/>
    <col min="16124" max="16384" width="8.90625" style="7"/>
  </cols>
  <sheetData>
    <row r="1" spans="1:6" s="6" customFormat="1" ht="18.649999999999999" customHeight="1" thickTop="1" thickBot="1">
      <c r="A1" s="13" t="s">
        <v>0</v>
      </c>
      <c r="B1" s="14" t="s">
        <v>1</v>
      </c>
      <c r="C1" s="14" t="s">
        <v>3</v>
      </c>
      <c r="D1" s="15" t="s">
        <v>4</v>
      </c>
      <c r="E1" s="16" t="s">
        <v>1839</v>
      </c>
      <c r="F1" s="17" t="s">
        <v>5</v>
      </c>
    </row>
    <row r="2" spans="1:6" ht="16" outlineLevel="2" thickTop="1">
      <c r="A2" s="11" t="s">
        <v>174</v>
      </c>
      <c r="B2" s="11" t="s">
        <v>491</v>
      </c>
      <c r="C2" s="11" t="s">
        <v>340</v>
      </c>
      <c r="D2" s="12">
        <v>43</v>
      </c>
      <c r="E2" s="12" t="s">
        <v>11</v>
      </c>
      <c r="F2" s="12">
        <v>2</v>
      </c>
    </row>
    <row r="3" spans="1:6" outlineLevel="2">
      <c r="A3" s="9" t="s">
        <v>174</v>
      </c>
      <c r="B3" s="9" t="s">
        <v>175</v>
      </c>
      <c r="C3" s="9" t="s">
        <v>712</v>
      </c>
      <c r="D3" s="10">
        <v>44</v>
      </c>
      <c r="E3" s="10" t="s">
        <v>11</v>
      </c>
      <c r="F3" s="10">
        <v>2</v>
      </c>
    </row>
    <row r="4" spans="1:6" outlineLevel="2">
      <c r="A4" s="9" t="s">
        <v>174</v>
      </c>
      <c r="B4" s="9" t="s">
        <v>175</v>
      </c>
      <c r="C4" s="9" t="s">
        <v>340</v>
      </c>
      <c r="D4" s="10">
        <v>41</v>
      </c>
      <c r="E4" s="10" t="s">
        <v>11</v>
      </c>
      <c r="F4" s="10">
        <v>2</v>
      </c>
    </row>
    <row r="5" spans="1:6" outlineLevel="2">
      <c r="A5" s="9" t="s">
        <v>174</v>
      </c>
      <c r="B5" s="9" t="s">
        <v>175</v>
      </c>
      <c r="C5" s="9" t="s">
        <v>10</v>
      </c>
      <c r="D5" s="10">
        <v>40</v>
      </c>
      <c r="E5" s="10" t="s">
        <v>11</v>
      </c>
      <c r="F5" s="10">
        <v>3</v>
      </c>
    </row>
    <row r="6" spans="1:6" outlineLevel="2">
      <c r="A6" s="9" t="s">
        <v>174</v>
      </c>
      <c r="B6" s="9" t="s">
        <v>620</v>
      </c>
      <c r="C6" s="9" t="s">
        <v>712</v>
      </c>
      <c r="D6" s="10">
        <v>54</v>
      </c>
      <c r="E6" s="10" t="s">
        <v>11</v>
      </c>
      <c r="F6" s="10">
        <v>2</v>
      </c>
    </row>
    <row r="7" spans="1:6" outlineLevel="2">
      <c r="A7" s="9" t="s">
        <v>174</v>
      </c>
      <c r="B7" s="9" t="s">
        <v>831</v>
      </c>
      <c r="C7" s="9" t="s">
        <v>828</v>
      </c>
      <c r="D7" s="10">
        <v>40</v>
      </c>
      <c r="E7" s="10" t="s">
        <v>11</v>
      </c>
      <c r="F7" s="10">
        <v>1</v>
      </c>
    </row>
    <row r="8" spans="1:6" outlineLevel="2">
      <c r="A8" s="9" t="s">
        <v>174</v>
      </c>
      <c r="B8" s="9" t="s">
        <v>831</v>
      </c>
      <c r="C8" s="9" t="s">
        <v>898</v>
      </c>
      <c r="D8" s="10">
        <v>52</v>
      </c>
      <c r="E8" s="10" t="s">
        <v>11</v>
      </c>
      <c r="F8" s="10">
        <v>3</v>
      </c>
    </row>
    <row r="9" spans="1:6" outlineLevel="2">
      <c r="A9" s="9" t="s">
        <v>174</v>
      </c>
      <c r="B9" s="9" t="s">
        <v>493</v>
      </c>
      <c r="C9" s="9" t="s">
        <v>340</v>
      </c>
      <c r="D9" s="10">
        <v>49</v>
      </c>
      <c r="E9" s="10" t="s">
        <v>11</v>
      </c>
      <c r="F9" s="10">
        <v>2</v>
      </c>
    </row>
    <row r="10" spans="1:6" outlineLevel="2">
      <c r="A10" s="9" t="s">
        <v>174</v>
      </c>
      <c r="B10" s="9" t="s">
        <v>177</v>
      </c>
      <c r="C10" s="9" t="s">
        <v>10</v>
      </c>
      <c r="D10" s="10">
        <v>45</v>
      </c>
      <c r="E10" s="10" t="s">
        <v>11</v>
      </c>
      <c r="F10" s="10">
        <v>3</v>
      </c>
    </row>
    <row r="11" spans="1:6" outlineLevel="2">
      <c r="A11" s="9" t="s">
        <v>174</v>
      </c>
      <c r="B11" s="9" t="s">
        <v>177</v>
      </c>
      <c r="C11" s="9" t="s">
        <v>636</v>
      </c>
      <c r="D11" s="10">
        <v>50</v>
      </c>
      <c r="E11" s="10" t="s">
        <v>11</v>
      </c>
      <c r="F11" s="10">
        <v>4</v>
      </c>
    </row>
    <row r="12" spans="1:6" outlineLevel="2">
      <c r="A12" s="9" t="s">
        <v>174</v>
      </c>
      <c r="B12" s="9" t="s">
        <v>495</v>
      </c>
      <c r="C12" s="9" t="s">
        <v>340</v>
      </c>
      <c r="D12" s="10">
        <v>50</v>
      </c>
      <c r="E12" s="10" t="s">
        <v>11</v>
      </c>
      <c r="F12" s="10">
        <v>2</v>
      </c>
    </row>
    <row r="13" spans="1:6" outlineLevel="2">
      <c r="A13" s="9" t="s">
        <v>174</v>
      </c>
      <c r="B13" s="9" t="s">
        <v>495</v>
      </c>
      <c r="C13" s="9" t="s">
        <v>636</v>
      </c>
      <c r="D13" s="10">
        <v>50</v>
      </c>
      <c r="E13" s="10" t="s">
        <v>11</v>
      </c>
      <c r="F13" s="10">
        <v>4</v>
      </c>
    </row>
    <row r="14" spans="1:6" outlineLevel="2">
      <c r="A14" s="9" t="s">
        <v>174</v>
      </c>
      <c r="B14" s="9" t="s">
        <v>179</v>
      </c>
      <c r="C14" s="9" t="s">
        <v>10</v>
      </c>
      <c r="D14" s="10">
        <v>54</v>
      </c>
      <c r="E14" s="10" t="s">
        <v>11</v>
      </c>
      <c r="F14" s="10">
        <v>3</v>
      </c>
    </row>
    <row r="15" spans="1:6" outlineLevel="2">
      <c r="A15" s="9" t="s">
        <v>174</v>
      </c>
      <c r="B15" s="9" t="s">
        <v>181</v>
      </c>
      <c r="C15" s="9" t="s">
        <v>712</v>
      </c>
      <c r="D15" s="10">
        <v>50</v>
      </c>
      <c r="E15" s="10" t="s">
        <v>11</v>
      </c>
      <c r="F15" s="10">
        <v>2</v>
      </c>
    </row>
    <row r="16" spans="1:6" outlineLevel="2">
      <c r="A16" s="9" t="s">
        <v>174</v>
      </c>
      <c r="B16" s="9" t="s">
        <v>181</v>
      </c>
      <c r="C16" s="9" t="s">
        <v>10</v>
      </c>
      <c r="D16" s="10">
        <v>56</v>
      </c>
      <c r="E16" s="10" t="s">
        <v>11</v>
      </c>
      <c r="F16" s="10">
        <v>3</v>
      </c>
    </row>
    <row r="17" spans="1:6" outlineLevel="2">
      <c r="A17" s="9" t="s">
        <v>174</v>
      </c>
      <c r="B17" s="9" t="s">
        <v>497</v>
      </c>
      <c r="C17" s="9" t="s">
        <v>340</v>
      </c>
      <c r="D17" s="10">
        <v>48</v>
      </c>
      <c r="E17" s="10" t="s">
        <v>11</v>
      </c>
      <c r="F17" s="10">
        <v>2</v>
      </c>
    </row>
    <row r="18" spans="1:6" outlineLevel="2">
      <c r="A18" s="9" t="s">
        <v>174</v>
      </c>
      <c r="B18" s="9" t="s">
        <v>679</v>
      </c>
      <c r="C18" s="9" t="s">
        <v>636</v>
      </c>
      <c r="D18" s="10">
        <v>52</v>
      </c>
      <c r="E18" s="10" t="s">
        <v>11</v>
      </c>
      <c r="F18" s="10">
        <v>4</v>
      </c>
    </row>
    <row r="19" spans="1:6" outlineLevel="2">
      <c r="A19" s="9" t="s">
        <v>174</v>
      </c>
      <c r="B19" s="9" t="s">
        <v>183</v>
      </c>
      <c r="C19" s="9" t="s">
        <v>712</v>
      </c>
      <c r="D19" s="10">
        <v>50</v>
      </c>
      <c r="E19" s="10" t="s">
        <v>11</v>
      </c>
      <c r="F19" s="10">
        <v>2</v>
      </c>
    </row>
    <row r="20" spans="1:6" outlineLevel="2">
      <c r="A20" s="9" t="s">
        <v>174</v>
      </c>
      <c r="B20" s="9" t="s">
        <v>183</v>
      </c>
      <c r="C20" s="9" t="s">
        <v>340</v>
      </c>
      <c r="D20" s="10">
        <v>51</v>
      </c>
      <c r="E20" s="10" t="s">
        <v>11</v>
      </c>
      <c r="F20" s="10">
        <v>2</v>
      </c>
    </row>
    <row r="21" spans="1:6" outlineLevel="2">
      <c r="A21" s="9" t="s">
        <v>174</v>
      </c>
      <c r="B21" s="9" t="s">
        <v>183</v>
      </c>
      <c r="C21" s="9" t="s">
        <v>10</v>
      </c>
      <c r="D21" s="10">
        <v>55</v>
      </c>
      <c r="E21" s="10" t="s">
        <v>11</v>
      </c>
      <c r="F21" s="10">
        <v>3</v>
      </c>
    </row>
    <row r="22" spans="1:6" outlineLevel="2">
      <c r="A22" s="9" t="s">
        <v>174</v>
      </c>
      <c r="B22" s="9" t="s">
        <v>717</v>
      </c>
      <c r="C22" s="9" t="s">
        <v>712</v>
      </c>
      <c r="D22" s="10">
        <v>54</v>
      </c>
      <c r="E22" s="10" t="s">
        <v>11</v>
      </c>
      <c r="F22" s="10">
        <v>2</v>
      </c>
    </row>
    <row r="23" spans="1:6" outlineLevel="2">
      <c r="A23" s="9" t="s">
        <v>174</v>
      </c>
      <c r="B23" s="9" t="s">
        <v>185</v>
      </c>
      <c r="C23" s="9" t="s">
        <v>712</v>
      </c>
      <c r="D23" s="10">
        <v>48</v>
      </c>
      <c r="E23" s="10" t="s">
        <v>11</v>
      </c>
      <c r="F23" s="10">
        <v>2</v>
      </c>
    </row>
    <row r="24" spans="1:6" outlineLevel="2">
      <c r="A24" s="9" t="s">
        <v>174</v>
      </c>
      <c r="B24" s="9" t="s">
        <v>185</v>
      </c>
      <c r="C24" s="9" t="s">
        <v>10</v>
      </c>
      <c r="D24" s="10">
        <v>50</v>
      </c>
      <c r="E24" s="10" t="s">
        <v>11</v>
      </c>
      <c r="F24" s="10">
        <v>3</v>
      </c>
    </row>
    <row r="25" spans="1:6" outlineLevel="2">
      <c r="A25" s="9" t="s">
        <v>174</v>
      </c>
      <c r="B25" s="9" t="s">
        <v>187</v>
      </c>
      <c r="C25" s="9" t="s">
        <v>712</v>
      </c>
      <c r="D25" s="10">
        <v>50</v>
      </c>
      <c r="E25" s="10" t="s">
        <v>11</v>
      </c>
      <c r="F25" s="10">
        <v>2</v>
      </c>
    </row>
    <row r="26" spans="1:6" outlineLevel="2">
      <c r="A26" s="9" t="s">
        <v>174</v>
      </c>
      <c r="B26" s="9" t="s">
        <v>187</v>
      </c>
      <c r="C26" s="9" t="s">
        <v>340</v>
      </c>
      <c r="D26" s="10">
        <v>50</v>
      </c>
      <c r="E26" s="10" t="s">
        <v>11</v>
      </c>
      <c r="F26" s="10">
        <v>2</v>
      </c>
    </row>
    <row r="27" spans="1:6" outlineLevel="2">
      <c r="A27" s="9" t="s">
        <v>174</v>
      </c>
      <c r="B27" s="9" t="s">
        <v>187</v>
      </c>
      <c r="C27" s="9" t="s">
        <v>10</v>
      </c>
      <c r="D27" s="10">
        <v>44</v>
      </c>
      <c r="E27" s="10" t="s">
        <v>11</v>
      </c>
      <c r="F27" s="10">
        <v>3</v>
      </c>
    </row>
    <row r="28" spans="1:6" outlineLevel="2">
      <c r="A28" s="9" t="s">
        <v>174</v>
      </c>
      <c r="B28" s="9" t="s">
        <v>499</v>
      </c>
      <c r="C28" s="9" t="s">
        <v>340</v>
      </c>
      <c r="D28" s="10">
        <v>43</v>
      </c>
      <c r="E28" s="10" t="s">
        <v>11</v>
      </c>
      <c r="F28" s="10">
        <v>2</v>
      </c>
    </row>
    <row r="29" spans="1:6" outlineLevel="2">
      <c r="A29" s="9" t="s">
        <v>174</v>
      </c>
      <c r="B29" s="9" t="s">
        <v>189</v>
      </c>
      <c r="C29" s="9" t="s">
        <v>340</v>
      </c>
      <c r="D29" s="10">
        <v>54</v>
      </c>
      <c r="E29" s="10" t="s">
        <v>11</v>
      </c>
      <c r="F29" s="10">
        <v>2</v>
      </c>
    </row>
    <row r="30" spans="1:6" outlineLevel="2">
      <c r="A30" s="9" t="s">
        <v>174</v>
      </c>
      <c r="B30" s="9" t="s">
        <v>189</v>
      </c>
      <c r="C30" s="9" t="s">
        <v>10</v>
      </c>
      <c r="D30" s="10">
        <v>48</v>
      </c>
      <c r="E30" s="10" t="s">
        <v>11</v>
      </c>
      <c r="F30" s="10">
        <v>3</v>
      </c>
    </row>
    <row r="31" spans="1:6" outlineLevel="2">
      <c r="A31" s="9" t="s">
        <v>174</v>
      </c>
      <c r="B31" s="9" t="s">
        <v>189</v>
      </c>
      <c r="C31" s="9" t="s">
        <v>636</v>
      </c>
      <c r="D31" s="10">
        <v>51</v>
      </c>
      <c r="E31" s="10" t="s">
        <v>11</v>
      </c>
      <c r="F31" s="10">
        <v>4</v>
      </c>
    </row>
    <row r="32" spans="1:6" outlineLevel="2">
      <c r="A32" s="9" t="s">
        <v>174</v>
      </c>
      <c r="B32" s="9" t="s">
        <v>191</v>
      </c>
      <c r="C32" s="9" t="s">
        <v>712</v>
      </c>
      <c r="D32" s="10">
        <v>41</v>
      </c>
      <c r="E32" s="10" t="s">
        <v>11</v>
      </c>
      <c r="F32" s="10">
        <v>2</v>
      </c>
    </row>
    <row r="33" spans="1:6" outlineLevel="2">
      <c r="A33" s="9" t="s">
        <v>174</v>
      </c>
      <c r="B33" s="9" t="s">
        <v>191</v>
      </c>
      <c r="C33" s="9" t="s">
        <v>340</v>
      </c>
      <c r="D33" s="10">
        <v>42</v>
      </c>
      <c r="E33" s="10" t="s">
        <v>11</v>
      </c>
      <c r="F33" s="10">
        <v>2</v>
      </c>
    </row>
    <row r="34" spans="1:6" outlineLevel="2">
      <c r="A34" s="9" t="s">
        <v>174</v>
      </c>
      <c r="B34" s="9" t="s">
        <v>191</v>
      </c>
      <c r="C34" s="9" t="s">
        <v>10</v>
      </c>
      <c r="D34" s="10">
        <v>53</v>
      </c>
      <c r="E34" s="10" t="s">
        <v>11</v>
      </c>
      <c r="F34" s="10">
        <v>3</v>
      </c>
    </row>
    <row r="35" spans="1:6" outlineLevel="2">
      <c r="A35" s="9" t="s">
        <v>174</v>
      </c>
      <c r="B35" s="9" t="s">
        <v>191</v>
      </c>
      <c r="C35" s="9" t="s">
        <v>636</v>
      </c>
      <c r="D35" s="10">
        <v>50</v>
      </c>
      <c r="E35" s="10" t="s">
        <v>11</v>
      </c>
      <c r="F35" s="10">
        <v>4</v>
      </c>
    </row>
    <row r="36" spans="1:6" outlineLevel="2">
      <c r="A36" s="9" t="s">
        <v>174</v>
      </c>
      <c r="B36" s="9" t="s">
        <v>192</v>
      </c>
      <c r="C36" s="9" t="s">
        <v>340</v>
      </c>
      <c r="D36" s="10">
        <v>40</v>
      </c>
      <c r="E36" s="10" t="s">
        <v>11</v>
      </c>
      <c r="F36" s="10">
        <v>2</v>
      </c>
    </row>
    <row r="37" spans="1:6" outlineLevel="2">
      <c r="A37" s="9" t="s">
        <v>174</v>
      </c>
      <c r="B37" s="9" t="s">
        <v>192</v>
      </c>
      <c r="C37" s="9" t="s">
        <v>10</v>
      </c>
      <c r="D37" s="10">
        <v>50</v>
      </c>
      <c r="E37" s="10" t="s">
        <v>11</v>
      </c>
      <c r="F37" s="10">
        <v>3</v>
      </c>
    </row>
    <row r="38" spans="1:6" outlineLevel="2">
      <c r="A38" s="9" t="s">
        <v>174</v>
      </c>
      <c r="B38" s="9" t="s">
        <v>501</v>
      </c>
      <c r="C38" s="9" t="s">
        <v>712</v>
      </c>
      <c r="D38" s="10">
        <v>42</v>
      </c>
      <c r="E38" s="10" t="s">
        <v>11</v>
      </c>
      <c r="F38" s="10">
        <v>2</v>
      </c>
    </row>
    <row r="39" spans="1:6" outlineLevel="2">
      <c r="A39" s="9" t="s">
        <v>174</v>
      </c>
      <c r="B39" s="9" t="s">
        <v>501</v>
      </c>
      <c r="C39" s="9" t="s">
        <v>340</v>
      </c>
      <c r="D39" s="10">
        <v>40</v>
      </c>
      <c r="E39" s="10" t="s">
        <v>11</v>
      </c>
      <c r="F39" s="10">
        <v>2</v>
      </c>
    </row>
    <row r="40" spans="1:6" outlineLevel="2">
      <c r="A40" s="9" t="s">
        <v>174</v>
      </c>
      <c r="B40" s="9" t="s">
        <v>503</v>
      </c>
      <c r="C40" s="9" t="s">
        <v>340</v>
      </c>
      <c r="D40" s="10">
        <v>41</v>
      </c>
      <c r="E40" s="10" t="s">
        <v>11</v>
      </c>
      <c r="F40" s="10">
        <v>2</v>
      </c>
    </row>
    <row r="41" spans="1:6" outlineLevel="2">
      <c r="A41" s="9" t="s">
        <v>174</v>
      </c>
      <c r="B41" s="9" t="s">
        <v>505</v>
      </c>
      <c r="C41" s="9" t="s">
        <v>340</v>
      </c>
      <c r="D41" s="10">
        <v>49</v>
      </c>
      <c r="E41" s="10" t="s">
        <v>11</v>
      </c>
      <c r="F41" s="10">
        <v>2</v>
      </c>
    </row>
    <row r="42" spans="1:6" outlineLevel="2">
      <c r="A42" s="9" t="s">
        <v>174</v>
      </c>
      <c r="B42" s="9" t="s">
        <v>505</v>
      </c>
      <c r="C42" s="9" t="s">
        <v>636</v>
      </c>
      <c r="D42" s="10">
        <v>40</v>
      </c>
      <c r="E42" s="10" t="s">
        <v>11</v>
      </c>
      <c r="F42" s="10">
        <v>4</v>
      </c>
    </row>
    <row r="43" spans="1:6" outlineLevel="1">
      <c r="A43" s="18" t="s">
        <v>1840</v>
      </c>
      <c r="B43" s="9">
        <f>SUBTOTAL(3,B2:B42)</f>
        <v>41</v>
      </c>
      <c r="C43" s="9"/>
      <c r="D43" s="10"/>
      <c r="E43" s="10"/>
      <c r="F43" s="10"/>
    </row>
    <row r="44" spans="1:6" outlineLevel="2">
      <c r="A44" s="9" t="s">
        <v>279</v>
      </c>
      <c r="B44" s="9" t="s">
        <v>280</v>
      </c>
      <c r="C44" s="9" t="s">
        <v>340</v>
      </c>
      <c r="D44" s="10">
        <v>45</v>
      </c>
      <c r="E44" s="10" t="s">
        <v>11</v>
      </c>
      <c r="F44" s="10">
        <v>2</v>
      </c>
    </row>
    <row r="45" spans="1:6" outlineLevel="2">
      <c r="A45" s="9" t="s">
        <v>279</v>
      </c>
      <c r="B45" s="9" t="s">
        <v>280</v>
      </c>
      <c r="C45" s="9" t="s">
        <v>10</v>
      </c>
      <c r="D45" s="10">
        <v>45</v>
      </c>
      <c r="E45" s="10" t="s">
        <v>11</v>
      </c>
      <c r="F45" s="10">
        <v>3</v>
      </c>
    </row>
    <row r="46" spans="1:6" outlineLevel="2">
      <c r="A46" s="9" t="s">
        <v>279</v>
      </c>
      <c r="B46" s="9" t="s">
        <v>280</v>
      </c>
      <c r="C46" s="9" t="s">
        <v>636</v>
      </c>
      <c r="D46" s="10">
        <v>47</v>
      </c>
      <c r="E46" s="10" t="s">
        <v>11</v>
      </c>
      <c r="F46" s="10">
        <v>4</v>
      </c>
    </row>
    <row r="47" spans="1:6" outlineLevel="2">
      <c r="A47" s="9" t="s">
        <v>279</v>
      </c>
      <c r="B47" s="9" t="s">
        <v>282</v>
      </c>
      <c r="C47" s="9" t="s">
        <v>340</v>
      </c>
      <c r="D47" s="10">
        <v>40</v>
      </c>
      <c r="E47" s="10" t="s">
        <v>11</v>
      </c>
      <c r="F47" s="10">
        <v>2</v>
      </c>
    </row>
    <row r="48" spans="1:6" outlineLevel="2">
      <c r="A48" s="9" t="s">
        <v>279</v>
      </c>
      <c r="B48" s="9" t="s">
        <v>282</v>
      </c>
      <c r="C48" s="9" t="s">
        <v>10</v>
      </c>
      <c r="D48" s="10">
        <v>50</v>
      </c>
      <c r="E48" s="10" t="s">
        <v>11</v>
      </c>
      <c r="F48" s="10">
        <v>3</v>
      </c>
    </row>
    <row r="49" spans="1:6" outlineLevel="2">
      <c r="A49" s="9" t="s">
        <v>279</v>
      </c>
      <c r="B49" s="9" t="s">
        <v>284</v>
      </c>
      <c r="C49" s="9" t="s">
        <v>10</v>
      </c>
      <c r="D49" s="10">
        <v>51</v>
      </c>
      <c r="E49" s="10" t="s">
        <v>11</v>
      </c>
      <c r="F49" s="10">
        <v>3</v>
      </c>
    </row>
    <row r="50" spans="1:6" outlineLevel="2">
      <c r="A50" s="9" t="s">
        <v>279</v>
      </c>
      <c r="B50" s="9" t="s">
        <v>715</v>
      </c>
      <c r="C50" s="9" t="s">
        <v>712</v>
      </c>
      <c r="D50" s="10">
        <v>47</v>
      </c>
      <c r="E50" s="10" t="s">
        <v>11</v>
      </c>
      <c r="F50" s="10">
        <v>2</v>
      </c>
    </row>
    <row r="51" spans="1:6" outlineLevel="2">
      <c r="A51" s="9" t="s">
        <v>279</v>
      </c>
      <c r="B51" s="9" t="s">
        <v>715</v>
      </c>
      <c r="C51" s="9" t="s">
        <v>898</v>
      </c>
      <c r="D51" s="10">
        <v>58</v>
      </c>
      <c r="E51" s="10" t="s">
        <v>11</v>
      </c>
      <c r="F51" s="10">
        <v>3</v>
      </c>
    </row>
    <row r="52" spans="1:6" outlineLevel="2">
      <c r="A52" s="9" t="s">
        <v>279</v>
      </c>
      <c r="B52" s="9" t="s">
        <v>353</v>
      </c>
      <c r="C52" s="9" t="s">
        <v>712</v>
      </c>
      <c r="D52" s="10">
        <v>50</v>
      </c>
      <c r="E52" s="10" t="s">
        <v>11</v>
      </c>
      <c r="F52" s="10">
        <v>2</v>
      </c>
    </row>
    <row r="53" spans="1:6" outlineLevel="2">
      <c r="A53" s="9" t="s">
        <v>279</v>
      </c>
      <c r="B53" s="9" t="s">
        <v>353</v>
      </c>
      <c r="C53" s="9" t="s">
        <v>340</v>
      </c>
      <c r="D53" s="10">
        <v>44</v>
      </c>
      <c r="E53" s="10" t="s">
        <v>11</v>
      </c>
      <c r="F53" s="10">
        <v>2</v>
      </c>
    </row>
    <row r="54" spans="1:6" outlineLevel="2">
      <c r="A54" s="9" t="s">
        <v>279</v>
      </c>
      <c r="B54" s="9" t="s">
        <v>353</v>
      </c>
      <c r="C54" s="9" t="s">
        <v>636</v>
      </c>
      <c r="D54" s="10">
        <v>50</v>
      </c>
      <c r="E54" s="10" t="s">
        <v>11</v>
      </c>
      <c r="F54" s="10">
        <v>4</v>
      </c>
    </row>
    <row r="55" spans="1:6" outlineLevel="2">
      <c r="A55" s="9" t="s">
        <v>279</v>
      </c>
      <c r="B55" s="9" t="s">
        <v>353</v>
      </c>
      <c r="C55" s="9" t="s">
        <v>898</v>
      </c>
      <c r="D55" s="10">
        <v>48</v>
      </c>
      <c r="E55" s="10" t="s">
        <v>11</v>
      </c>
      <c r="F55" s="10">
        <v>3</v>
      </c>
    </row>
    <row r="56" spans="1:6" outlineLevel="2">
      <c r="A56" s="9" t="s">
        <v>279</v>
      </c>
      <c r="B56" s="9" t="s">
        <v>355</v>
      </c>
      <c r="C56" s="9" t="s">
        <v>712</v>
      </c>
      <c r="D56" s="10">
        <v>51</v>
      </c>
      <c r="E56" s="10" t="s">
        <v>11</v>
      </c>
      <c r="F56" s="10">
        <v>2</v>
      </c>
    </row>
    <row r="57" spans="1:6" outlineLevel="2">
      <c r="A57" s="9" t="s">
        <v>279</v>
      </c>
      <c r="B57" s="9" t="s">
        <v>355</v>
      </c>
      <c r="C57" s="9" t="s">
        <v>340</v>
      </c>
      <c r="D57" s="10">
        <v>45</v>
      </c>
      <c r="E57" s="10" t="s">
        <v>11</v>
      </c>
      <c r="F57" s="10">
        <v>2</v>
      </c>
    </row>
    <row r="58" spans="1:6" outlineLevel="2">
      <c r="A58" s="9" t="s">
        <v>279</v>
      </c>
      <c r="B58" s="9" t="s">
        <v>355</v>
      </c>
      <c r="C58" s="9" t="s">
        <v>898</v>
      </c>
      <c r="D58" s="10">
        <v>45</v>
      </c>
      <c r="E58" s="10" t="s">
        <v>11</v>
      </c>
      <c r="F58" s="10">
        <v>3</v>
      </c>
    </row>
    <row r="59" spans="1:6" outlineLevel="2">
      <c r="A59" s="9" t="s">
        <v>279</v>
      </c>
      <c r="B59" s="9" t="s">
        <v>286</v>
      </c>
      <c r="C59" s="9" t="s">
        <v>340</v>
      </c>
      <c r="D59" s="10">
        <v>47</v>
      </c>
      <c r="E59" s="10" t="s">
        <v>11</v>
      </c>
      <c r="F59" s="10">
        <v>2</v>
      </c>
    </row>
    <row r="60" spans="1:6" outlineLevel="2">
      <c r="A60" s="9" t="s">
        <v>279</v>
      </c>
      <c r="B60" s="9" t="s">
        <v>286</v>
      </c>
      <c r="C60" s="9" t="s">
        <v>10</v>
      </c>
      <c r="D60" s="10">
        <v>54</v>
      </c>
      <c r="E60" s="10" t="s">
        <v>11</v>
      </c>
      <c r="F60" s="10">
        <v>3</v>
      </c>
    </row>
    <row r="61" spans="1:6" outlineLevel="2">
      <c r="A61" s="9" t="s">
        <v>279</v>
      </c>
      <c r="B61" s="9" t="s">
        <v>286</v>
      </c>
      <c r="C61" s="9" t="s">
        <v>636</v>
      </c>
      <c r="D61" s="10">
        <v>48</v>
      </c>
      <c r="E61" s="10" t="s">
        <v>11</v>
      </c>
      <c r="F61" s="10">
        <v>4</v>
      </c>
    </row>
    <row r="62" spans="1:6" outlineLevel="2">
      <c r="A62" s="9" t="s">
        <v>279</v>
      </c>
      <c r="B62" s="9" t="s">
        <v>286</v>
      </c>
      <c r="C62" s="9" t="s">
        <v>898</v>
      </c>
      <c r="D62" s="10">
        <v>54</v>
      </c>
      <c r="E62" s="10" t="s">
        <v>11</v>
      </c>
      <c r="F62" s="10">
        <v>3</v>
      </c>
    </row>
    <row r="63" spans="1:6" outlineLevel="2">
      <c r="A63" s="9" t="s">
        <v>279</v>
      </c>
      <c r="B63" s="9" t="s">
        <v>357</v>
      </c>
      <c r="C63" s="9" t="s">
        <v>340</v>
      </c>
      <c r="D63" s="10">
        <v>55</v>
      </c>
      <c r="E63" s="10" t="s">
        <v>11</v>
      </c>
      <c r="F63" s="10">
        <v>2</v>
      </c>
    </row>
    <row r="64" spans="1:6" outlineLevel="2">
      <c r="A64" s="9" t="s">
        <v>279</v>
      </c>
      <c r="B64" s="9" t="s">
        <v>357</v>
      </c>
      <c r="C64" s="9" t="s">
        <v>636</v>
      </c>
      <c r="D64" s="10">
        <v>40</v>
      </c>
      <c r="E64" s="10" t="s">
        <v>11</v>
      </c>
      <c r="F64" s="10">
        <v>4</v>
      </c>
    </row>
    <row r="65" spans="1:6" outlineLevel="2">
      <c r="A65" s="9" t="s">
        <v>279</v>
      </c>
      <c r="B65" s="9" t="s">
        <v>357</v>
      </c>
      <c r="C65" s="9" t="s">
        <v>898</v>
      </c>
      <c r="D65" s="10">
        <v>51</v>
      </c>
      <c r="E65" s="10" t="s">
        <v>11</v>
      </c>
      <c r="F65" s="10">
        <v>3</v>
      </c>
    </row>
    <row r="66" spans="1:6" outlineLevel="2">
      <c r="A66" s="9" t="s">
        <v>279</v>
      </c>
      <c r="B66" s="9" t="s">
        <v>687</v>
      </c>
      <c r="C66" s="9" t="s">
        <v>636</v>
      </c>
      <c r="D66" s="10">
        <v>47</v>
      </c>
      <c r="E66" s="10" t="s">
        <v>11</v>
      </c>
      <c r="F66" s="10">
        <v>4</v>
      </c>
    </row>
    <row r="67" spans="1:6" outlineLevel="2">
      <c r="A67" s="9" t="s">
        <v>279</v>
      </c>
      <c r="B67" s="9" t="s">
        <v>359</v>
      </c>
      <c r="C67" s="9" t="s">
        <v>712</v>
      </c>
      <c r="D67" s="10">
        <v>40</v>
      </c>
      <c r="E67" s="10" t="s">
        <v>11</v>
      </c>
      <c r="F67" s="10">
        <v>2</v>
      </c>
    </row>
    <row r="68" spans="1:6" outlineLevel="2">
      <c r="A68" s="9" t="s">
        <v>279</v>
      </c>
      <c r="B68" s="9" t="s">
        <v>359</v>
      </c>
      <c r="C68" s="9" t="s">
        <v>340</v>
      </c>
      <c r="D68" s="10">
        <v>46</v>
      </c>
      <c r="E68" s="10" t="s">
        <v>11</v>
      </c>
      <c r="F68" s="10">
        <v>2</v>
      </c>
    </row>
    <row r="69" spans="1:6" outlineLevel="2">
      <c r="A69" s="9" t="s">
        <v>279</v>
      </c>
      <c r="B69" s="9" t="s">
        <v>359</v>
      </c>
      <c r="C69" s="9" t="s">
        <v>898</v>
      </c>
      <c r="D69" s="10">
        <v>58</v>
      </c>
      <c r="E69" s="10" t="s">
        <v>11</v>
      </c>
      <c r="F69" s="10">
        <v>3</v>
      </c>
    </row>
    <row r="70" spans="1:6" outlineLevel="2">
      <c r="A70" s="9" t="s">
        <v>279</v>
      </c>
      <c r="B70" s="9" t="s">
        <v>288</v>
      </c>
      <c r="C70" s="9" t="s">
        <v>340</v>
      </c>
      <c r="D70" s="10">
        <v>54</v>
      </c>
      <c r="E70" s="10" t="s">
        <v>11</v>
      </c>
      <c r="F70" s="10">
        <v>2</v>
      </c>
    </row>
    <row r="71" spans="1:6" outlineLevel="2">
      <c r="A71" s="9" t="s">
        <v>279</v>
      </c>
      <c r="B71" s="9" t="s">
        <v>288</v>
      </c>
      <c r="C71" s="9" t="s">
        <v>10</v>
      </c>
      <c r="D71" s="10">
        <v>56</v>
      </c>
      <c r="E71" s="10" t="s">
        <v>11</v>
      </c>
      <c r="F71" s="10">
        <v>3</v>
      </c>
    </row>
    <row r="72" spans="1:6" outlineLevel="2">
      <c r="A72" s="9" t="s">
        <v>279</v>
      </c>
      <c r="B72" s="9" t="s">
        <v>288</v>
      </c>
      <c r="C72" s="9" t="s">
        <v>898</v>
      </c>
      <c r="D72" s="10">
        <v>56</v>
      </c>
      <c r="E72" s="10" t="s">
        <v>11</v>
      </c>
      <c r="F72" s="10">
        <v>3</v>
      </c>
    </row>
    <row r="73" spans="1:6" outlineLevel="2">
      <c r="A73" s="9" t="s">
        <v>279</v>
      </c>
      <c r="B73" s="9" t="s">
        <v>290</v>
      </c>
      <c r="C73" s="9" t="s">
        <v>340</v>
      </c>
      <c r="D73" s="10">
        <v>52</v>
      </c>
      <c r="E73" s="10" t="s">
        <v>11</v>
      </c>
      <c r="F73" s="10">
        <v>2</v>
      </c>
    </row>
    <row r="74" spans="1:6" outlineLevel="2">
      <c r="A74" s="9" t="s">
        <v>279</v>
      </c>
      <c r="B74" s="9" t="s">
        <v>290</v>
      </c>
      <c r="C74" s="9" t="s">
        <v>10</v>
      </c>
      <c r="D74" s="10">
        <v>58</v>
      </c>
      <c r="E74" s="10" t="s">
        <v>11</v>
      </c>
      <c r="F74" s="10">
        <v>3</v>
      </c>
    </row>
    <row r="75" spans="1:6" outlineLevel="2">
      <c r="A75" s="9" t="s">
        <v>279</v>
      </c>
      <c r="B75" s="9" t="s">
        <v>361</v>
      </c>
      <c r="C75" s="9" t="s">
        <v>712</v>
      </c>
      <c r="D75" s="10">
        <v>48</v>
      </c>
      <c r="E75" s="10" t="s">
        <v>11</v>
      </c>
      <c r="F75" s="10">
        <v>2</v>
      </c>
    </row>
    <row r="76" spans="1:6" outlineLevel="2">
      <c r="A76" s="9" t="s">
        <v>279</v>
      </c>
      <c r="B76" s="9" t="s">
        <v>361</v>
      </c>
      <c r="C76" s="9" t="s">
        <v>340</v>
      </c>
      <c r="D76" s="10">
        <v>49</v>
      </c>
      <c r="E76" s="10" t="s">
        <v>11</v>
      </c>
      <c r="F76" s="10">
        <v>2</v>
      </c>
    </row>
    <row r="77" spans="1:6" outlineLevel="2">
      <c r="A77" s="9" t="s">
        <v>279</v>
      </c>
      <c r="B77" s="9" t="s">
        <v>361</v>
      </c>
      <c r="C77" s="9" t="s">
        <v>636</v>
      </c>
      <c r="D77" s="10">
        <v>40</v>
      </c>
      <c r="E77" s="10" t="s">
        <v>11</v>
      </c>
      <c r="F77" s="10">
        <v>4</v>
      </c>
    </row>
    <row r="78" spans="1:6" outlineLevel="2">
      <c r="A78" s="9" t="s">
        <v>279</v>
      </c>
      <c r="B78" s="9" t="s">
        <v>361</v>
      </c>
      <c r="C78" s="9" t="s">
        <v>898</v>
      </c>
      <c r="D78" s="10">
        <v>58</v>
      </c>
      <c r="E78" s="10" t="s">
        <v>11</v>
      </c>
      <c r="F78" s="10">
        <v>3</v>
      </c>
    </row>
    <row r="79" spans="1:6" outlineLevel="2">
      <c r="A79" s="9" t="s">
        <v>279</v>
      </c>
      <c r="B79" s="9" t="s">
        <v>363</v>
      </c>
      <c r="C79" s="9" t="s">
        <v>340</v>
      </c>
      <c r="D79" s="10">
        <v>50</v>
      </c>
      <c r="E79" s="10" t="s">
        <v>11</v>
      </c>
      <c r="F79" s="10">
        <v>2</v>
      </c>
    </row>
    <row r="80" spans="1:6" outlineLevel="2">
      <c r="A80" s="9" t="s">
        <v>279</v>
      </c>
      <c r="B80" s="9" t="s">
        <v>584</v>
      </c>
      <c r="C80" s="9" t="s">
        <v>636</v>
      </c>
      <c r="D80" s="10">
        <v>40</v>
      </c>
      <c r="E80" s="10" t="s">
        <v>11</v>
      </c>
      <c r="F80" s="10">
        <v>4</v>
      </c>
    </row>
    <row r="81" spans="1:6" outlineLevel="2">
      <c r="A81" s="9" t="s">
        <v>279</v>
      </c>
      <c r="B81" s="9" t="s">
        <v>365</v>
      </c>
      <c r="C81" s="9" t="s">
        <v>340</v>
      </c>
      <c r="D81" s="10">
        <v>49</v>
      </c>
      <c r="E81" s="10" t="s">
        <v>11</v>
      </c>
      <c r="F81" s="10">
        <v>2</v>
      </c>
    </row>
    <row r="82" spans="1:6" outlineLevel="2">
      <c r="A82" s="9" t="s">
        <v>279</v>
      </c>
      <c r="B82" s="9" t="s">
        <v>292</v>
      </c>
      <c r="C82" s="9" t="s">
        <v>340</v>
      </c>
      <c r="D82" s="10">
        <v>49</v>
      </c>
      <c r="E82" s="10" t="s">
        <v>11</v>
      </c>
      <c r="F82" s="10">
        <v>2</v>
      </c>
    </row>
    <row r="83" spans="1:6" outlineLevel="2">
      <c r="A83" s="9" t="s">
        <v>279</v>
      </c>
      <c r="B83" s="9" t="s">
        <v>292</v>
      </c>
      <c r="C83" s="9" t="s">
        <v>10</v>
      </c>
      <c r="D83" s="10">
        <v>51</v>
      </c>
      <c r="E83" s="10" t="s">
        <v>11</v>
      </c>
      <c r="F83" s="10">
        <v>3</v>
      </c>
    </row>
    <row r="84" spans="1:6" outlineLevel="2">
      <c r="A84" s="9" t="s">
        <v>279</v>
      </c>
      <c r="B84" s="9" t="s">
        <v>899</v>
      </c>
      <c r="C84" s="9" t="s">
        <v>898</v>
      </c>
      <c r="D84" s="10">
        <v>58</v>
      </c>
      <c r="E84" s="10" t="s">
        <v>11</v>
      </c>
      <c r="F84" s="10">
        <v>3</v>
      </c>
    </row>
    <row r="85" spans="1:6" outlineLevel="1">
      <c r="A85" s="18" t="s">
        <v>1841</v>
      </c>
      <c r="B85" s="9">
        <f>SUBTOTAL(3,B44:B84)</f>
        <v>41</v>
      </c>
      <c r="C85" s="9"/>
      <c r="D85" s="10"/>
      <c r="E85" s="10"/>
      <c r="F85" s="10"/>
    </row>
    <row r="86" spans="1:6" outlineLevel="2">
      <c r="A86" s="9" t="s">
        <v>294</v>
      </c>
      <c r="B86" s="9" t="s">
        <v>417</v>
      </c>
      <c r="C86" s="9" t="s">
        <v>340</v>
      </c>
      <c r="D86" s="10">
        <v>56</v>
      </c>
      <c r="E86" s="10" t="s">
        <v>11</v>
      </c>
      <c r="F86" s="10">
        <v>2</v>
      </c>
    </row>
    <row r="87" spans="1:6" outlineLevel="2">
      <c r="A87" s="9" t="s">
        <v>294</v>
      </c>
      <c r="B87" s="9" t="s">
        <v>417</v>
      </c>
      <c r="C87" s="9" t="s">
        <v>904</v>
      </c>
      <c r="D87" s="10">
        <v>55</v>
      </c>
      <c r="E87" s="10" t="s">
        <v>11</v>
      </c>
      <c r="F87" s="10">
        <v>4</v>
      </c>
    </row>
    <row r="88" spans="1:6" outlineLevel="2">
      <c r="A88" s="9" t="s">
        <v>294</v>
      </c>
      <c r="B88" s="9" t="s">
        <v>729</v>
      </c>
      <c r="C88" s="9" t="s">
        <v>712</v>
      </c>
      <c r="D88" s="10">
        <v>41</v>
      </c>
      <c r="E88" s="10" t="s">
        <v>11</v>
      </c>
      <c r="F88" s="10">
        <v>2</v>
      </c>
    </row>
    <row r="89" spans="1:6" outlineLevel="2">
      <c r="A89" s="9" t="s">
        <v>294</v>
      </c>
      <c r="B89" s="9" t="s">
        <v>729</v>
      </c>
      <c r="C89" s="9" t="s">
        <v>871</v>
      </c>
      <c r="D89" s="10">
        <v>50</v>
      </c>
      <c r="E89" s="10" t="s">
        <v>11</v>
      </c>
      <c r="F89" s="10">
        <v>3</v>
      </c>
    </row>
    <row r="90" spans="1:6" outlineLevel="2">
      <c r="A90" s="9" t="s">
        <v>294</v>
      </c>
      <c r="B90" s="9" t="s">
        <v>419</v>
      </c>
      <c r="C90" s="9" t="s">
        <v>340</v>
      </c>
      <c r="D90" s="10">
        <v>48</v>
      </c>
      <c r="E90" s="10" t="s">
        <v>11</v>
      </c>
      <c r="F90" s="10">
        <v>2</v>
      </c>
    </row>
    <row r="91" spans="1:6" outlineLevel="2">
      <c r="A91" s="9" t="s">
        <v>294</v>
      </c>
      <c r="B91" s="9" t="s">
        <v>419</v>
      </c>
      <c r="C91" s="9" t="s">
        <v>871</v>
      </c>
      <c r="D91" s="10">
        <v>45</v>
      </c>
      <c r="E91" s="10" t="s">
        <v>11</v>
      </c>
      <c r="F91" s="10">
        <v>3</v>
      </c>
    </row>
    <row r="92" spans="1:6" outlineLevel="2">
      <c r="A92" s="9" t="s">
        <v>294</v>
      </c>
      <c r="B92" s="9" t="s">
        <v>295</v>
      </c>
      <c r="C92" s="9" t="s">
        <v>10</v>
      </c>
      <c r="D92" s="10">
        <v>55</v>
      </c>
      <c r="E92" s="10" t="s">
        <v>11</v>
      </c>
      <c r="F92" s="10">
        <v>3</v>
      </c>
    </row>
    <row r="93" spans="1:6" outlineLevel="2">
      <c r="A93" s="9" t="s">
        <v>294</v>
      </c>
      <c r="B93" s="9" t="s">
        <v>295</v>
      </c>
      <c r="C93" s="9" t="s">
        <v>904</v>
      </c>
      <c r="D93" s="10">
        <v>59</v>
      </c>
      <c r="E93" s="10" t="s">
        <v>11</v>
      </c>
      <c r="F93" s="10">
        <v>4</v>
      </c>
    </row>
    <row r="94" spans="1:6" outlineLevel="2">
      <c r="A94" s="9" t="s">
        <v>294</v>
      </c>
      <c r="B94" s="9" t="s">
        <v>297</v>
      </c>
      <c r="C94" s="9" t="s">
        <v>340</v>
      </c>
      <c r="D94" s="10">
        <v>52</v>
      </c>
      <c r="E94" s="10" t="s">
        <v>11</v>
      </c>
      <c r="F94" s="10">
        <v>2</v>
      </c>
    </row>
    <row r="95" spans="1:6" outlineLevel="2">
      <c r="A95" s="9" t="s">
        <v>294</v>
      </c>
      <c r="B95" s="9" t="s">
        <v>297</v>
      </c>
      <c r="C95" s="9" t="s">
        <v>10</v>
      </c>
      <c r="D95" s="10">
        <v>57</v>
      </c>
      <c r="E95" s="10" t="s">
        <v>11</v>
      </c>
      <c r="F95" s="10">
        <v>3</v>
      </c>
    </row>
    <row r="96" spans="1:6" outlineLevel="2">
      <c r="A96" s="9" t="s">
        <v>294</v>
      </c>
      <c r="B96" s="9" t="s">
        <v>421</v>
      </c>
      <c r="C96" s="9" t="s">
        <v>712</v>
      </c>
      <c r="D96" s="10">
        <v>53</v>
      </c>
      <c r="E96" s="10" t="s">
        <v>11</v>
      </c>
      <c r="F96" s="10">
        <v>2</v>
      </c>
    </row>
    <row r="97" spans="1:6" outlineLevel="2">
      <c r="A97" s="9" t="s">
        <v>294</v>
      </c>
      <c r="B97" s="9" t="s">
        <v>421</v>
      </c>
      <c r="C97" s="9" t="s">
        <v>340</v>
      </c>
      <c r="D97" s="10">
        <v>48</v>
      </c>
      <c r="E97" s="10" t="s">
        <v>11</v>
      </c>
      <c r="F97" s="10">
        <v>2</v>
      </c>
    </row>
    <row r="98" spans="1:6" outlineLevel="2">
      <c r="A98" s="9" t="s">
        <v>294</v>
      </c>
      <c r="B98" s="9" t="s">
        <v>423</v>
      </c>
      <c r="C98" s="9" t="s">
        <v>340</v>
      </c>
      <c r="D98" s="10">
        <v>56</v>
      </c>
      <c r="E98" s="10" t="s">
        <v>11</v>
      </c>
      <c r="F98" s="10">
        <v>2</v>
      </c>
    </row>
    <row r="99" spans="1:6" outlineLevel="2">
      <c r="A99" s="9" t="s">
        <v>294</v>
      </c>
      <c r="B99" s="9" t="s">
        <v>423</v>
      </c>
      <c r="C99" s="9" t="s">
        <v>871</v>
      </c>
      <c r="D99" s="10">
        <v>51</v>
      </c>
      <c r="E99" s="10" t="s">
        <v>11</v>
      </c>
      <c r="F99" s="10">
        <v>3</v>
      </c>
    </row>
    <row r="100" spans="1:6" outlineLevel="2">
      <c r="A100" s="9" t="s">
        <v>294</v>
      </c>
      <c r="B100" s="9" t="s">
        <v>425</v>
      </c>
      <c r="C100" s="9" t="s">
        <v>340</v>
      </c>
      <c r="D100" s="10">
        <v>56</v>
      </c>
      <c r="E100" s="10" t="s">
        <v>11</v>
      </c>
      <c r="F100" s="10">
        <v>2</v>
      </c>
    </row>
    <row r="101" spans="1:6" outlineLevel="2">
      <c r="A101" s="9" t="s">
        <v>294</v>
      </c>
      <c r="B101" s="9" t="s">
        <v>427</v>
      </c>
      <c r="C101" s="9" t="s">
        <v>340</v>
      </c>
      <c r="D101" s="10">
        <v>53</v>
      </c>
      <c r="E101" s="10" t="s">
        <v>11</v>
      </c>
      <c r="F101" s="10">
        <v>2</v>
      </c>
    </row>
    <row r="102" spans="1:6" outlineLevel="2">
      <c r="A102" s="9" t="s">
        <v>294</v>
      </c>
      <c r="B102" s="9" t="s">
        <v>429</v>
      </c>
      <c r="C102" s="9" t="s">
        <v>712</v>
      </c>
      <c r="D102" s="10">
        <v>40</v>
      </c>
      <c r="E102" s="10" t="s">
        <v>11</v>
      </c>
      <c r="F102" s="10">
        <v>2</v>
      </c>
    </row>
    <row r="103" spans="1:6" outlineLevel="2">
      <c r="A103" s="9" t="s">
        <v>294</v>
      </c>
      <c r="B103" s="9" t="s">
        <v>429</v>
      </c>
      <c r="C103" s="9" t="s">
        <v>340</v>
      </c>
      <c r="D103" s="10">
        <v>56</v>
      </c>
      <c r="E103" s="10" t="s">
        <v>11</v>
      </c>
      <c r="F103" s="10">
        <v>2</v>
      </c>
    </row>
    <row r="104" spans="1:6" outlineLevel="2">
      <c r="A104" s="9" t="s">
        <v>294</v>
      </c>
      <c r="B104" s="9" t="s">
        <v>299</v>
      </c>
      <c r="C104" s="9" t="s">
        <v>10</v>
      </c>
      <c r="D104" s="10">
        <v>51</v>
      </c>
      <c r="E104" s="10" t="s">
        <v>11</v>
      </c>
      <c r="F104" s="10">
        <v>3</v>
      </c>
    </row>
    <row r="105" spans="1:6" outlineLevel="2">
      <c r="A105" s="9" t="s">
        <v>294</v>
      </c>
      <c r="B105" s="9" t="s">
        <v>299</v>
      </c>
      <c r="C105" s="9" t="s">
        <v>904</v>
      </c>
      <c r="D105" s="10">
        <v>49</v>
      </c>
      <c r="E105" s="10" t="s">
        <v>11</v>
      </c>
      <c r="F105" s="10">
        <v>4</v>
      </c>
    </row>
    <row r="106" spans="1:6" outlineLevel="2">
      <c r="A106" s="9" t="s">
        <v>294</v>
      </c>
      <c r="B106" s="9" t="s">
        <v>874</v>
      </c>
      <c r="C106" s="9" t="s">
        <v>871</v>
      </c>
      <c r="D106" s="10">
        <v>44</v>
      </c>
      <c r="E106" s="10" t="s">
        <v>11</v>
      </c>
      <c r="F106" s="10">
        <v>3</v>
      </c>
    </row>
    <row r="107" spans="1:6" outlineLevel="1">
      <c r="A107" s="18" t="s">
        <v>1842</v>
      </c>
      <c r="B107" s="9">
        <f>SUBTOTAL(3,B86:B106)</f>
        <v>21</v>
      </c>
      <c r="C107" s="9"/>
      <c r="D107" s="10"/>
      <c r="E107" s="10"/>
      <c r="F107" s="10"/>
    </row>
    <row r="108" spans="1:6" outlineLevel="2">
      <c r="A108" s="9" t="s">
        <v>65</v>
      </c>
      <c r="B108" s="9" t="s">
        <v>66</v>
      </c>
      <c r="C108" s="9" t="s">
        <v>340</v>
      </c>
      <c r="D108" s="10">
        <v>47</v>
      </c>
      <c r="E108" s="10" t="s">
        <v>11</v>
      </c>
      <c r="F108" s="10">
        <v>2</v>
      </c>
    </row>
    <row r="109" spans="1:6" outlineLevel="2">
      <c r="A109" s="9" t="s">
        <v>65</v>
      </c>
      <c r="B109" s="9" t="s">
        <v>66</v>
      </c>
      <c r="C109" s="9" t="s">
        <v>10</v>
      </c>
      <c r="D109" s="10">
        <v>47</v>
      </c>
      <c r="E109" s="10" t="s">
        <v>11</v>
      </c>
      <c r="F109" s="10">
        <v>3</v>
      </c>
    </row>
    <row r="110" spans="1:6" outlineLevel="2">
      <c r="A110" s="9" t="s">
        <v>65</v>
      </c>
      <c r="B110" s="9" t="s">
        <v>66</v>
      </c>
      <c r="C110" s="9" t="s">
        <v>871</v>
      </c>
      <c r="D110" s="10">
        <v>45</v>
      </c>
      <c r="E110" s="10" t="s">
        <v>11</v>
      </c>
      <c r="F110" s="10">
        <v>3</v>
      </c>
    </row>
    <row r="111" spans="1:6" outlineLevel="2">
      <c r="A111" s="9" t="s">
        <v>65</v>
      </c>
      <c r="B111" s="9" t="s">
        <v>66</v>
      </c>
      <c r="C111" s="9" t="s">
        <v>904</v>
      </c>
      <c r="D111" s="10">
        <v>44</v>
      </c>
      <c r="E111" s="10" t="s">
        <v>11</v>
      </c>
      <c r="F111" s="10">
        <v>4</v>
      </c>
    </row>
    <row r="112" spans="1:6" outlineLevel="2">
      <c r="A112" s="9" t="s">
        <v>65</v>
      </c>
      <c r="B112" s="9" t="s">
        <v>68</v>
      </c>
      <c r="C112" s="9" t="s">
        <v>712</v>
      </c>
      <c r="D112" s="10">
        <v>50</v>
      </c>
      <c r="E112" s="10" t="s">
        <v>11</v>
      </c>
      <c r="F112" s="10">
        <v>2</v>
      </c>
    </row>
    <row r="113" spans="1:6" outlineLevel="2">
      <c r="A113" s="9" t="s">
        <v>65</v>
      </c>
      <c r="B113" s="9" t="s">
        <v>68</v>
      </c>
      <c r="C113" s="9" t="s">
        <v>10</v>
      </c>
      <c r="D113" s="10">
        <v>41</v>
      </c>
      <c r="E113" s="10" t="s">
        <v>11</v>
      </c>
      <c r="F113" s="10">
        <v>3</v>
      </c>
    </row>
    <row r="114" spans="1:6" outlineLevel="2">
      <c r="A114" s="9" t="s">
        <v>65</v>
      </c>
      <c r="B114" s="9" t="s">
        <v>68</v>
      </c>
      <c r="C114" s="9" t="s">
        <v>871</v>
      </c>
      <c r="D114" s="10">
        <v>46</v>
      </c>
      <c r="E114" s="10" t="s">
        <v>11</v>
      </c>
      <c r="F114" s="10">
        <v>3</v>
      </c>
    </row>
    <row r="115" spans="1:6" outlineLevel="2">
      <c r="A115" s="9" t="s">
        <v>65</v>
      </c>
      <c r="B115" s="9" t="s">
        <v>68</v>
      </c>
      <c r="C115" s="9" t="s">
        <v>904</v>
      </c>
      <c r="D115" s="10">
        <v>45</v>
      </c>
      <c r="E115" s="10" t="s">
        <v>11</v>
      </c>
      <c r="F115" s="10">
        <v>4</v>
      </c>
    </row>
    <row r="116" spans="1:6" outlineLevel="2">
      <c r="A116" s="9" t="s">
        <v>65</v>
      </c>
      <c r="B116" s="9" t="s">
        <v>70</v>
      </c>
      <c r="C116" s="9" t="s">
        <v>10</v>
      </c>
      <c r="D116" s="10">
        <v>54</v>
      </c>
      <c r="E116" s="10" t="s">
        <v>11</v>
      </c>
      <c r="F116" s="10">
        <v>3</v>
      </c>
    </row>
    <row r="117" spans="1:6" outlineLevel="2">
      <c r="A117" s="9" t="s">
        <v>65</v>
      </c>
      <c r="B117" s="9" t="s">
        <v>70</v>
      </c>
      <c r="C117" s="9" t="s">
        <v>871</v>
      </c>
      <c r="D117" s="10">
        <v>50</v>
      </c>
      <c r="E117" s="10" t="s">
        <v>11</v>
      </c>
      <c r="F117" s="10">
        <v>3</v>
      </c>
    </row>
    <row r="118" spans="1:6" outlineLevel="2">
      <c r="A118" s="9" t="s">
        <v>65</v>
      </c>
      <c r="B118" s="9" t="s">
        <v>70</v>
      </c>
      <c r="C118" s="9" t="s">
        <v>904</v>
      </c>
      <c r="D118" s="10">
        <v>51</v>
      </c>
      <c r="E118" s="10" t="s">
        <v>11</v>
      </c>
      <c r="F118" s="10">
        <v>4</v>
      </c>
    </row>
    <row r="119" spans="1:6" outlineLevel="2">
      <c r="A119" s="9" t="s">
        <v>65</v>
      </c>
      <c r="B119" s="9" t="s">
        <v>72</v>
      </c>
      <c r="C119" s="9" t="s">
        <v>10</v>
      </c>
      <c r="D119" s="10">
        <v>50</v>
      </c>
      <c r="E119" s="10" t="s">
        <v>11</v>
      </c>
      <c r="F119" s="10">
        <v>3</v>
      </c>
    </row>
    <row r="120" spans="1:6" outlineLevel="2">
      <c r="A120" s="9" t="s">
        <v>65</v>
      </c>
      <c r="B120" s="9" t="s">
        <v>72</v>
      </c>
      <c r="C120" s="9" t="s">
        <v>871</v>
      </c>
      <c r="D120" s="10">
        <v>45</v>
      </c>
      <c r="E120" s="10" t="s">
        <v>11</v>
      </c>
      <c r="F120" s="10">
        <v>3</v>
      </c>
    </row>
    <row r="121" spans="1:6" outlineLevel="2">
      <c r="A121" s="9" t="s">
        <v>65</v>
      </c>
      <c r="B121" s="9" t="s">
        <v>72</v>
      </c>
      <c r="C121" s="9" t="s">
        <v>904</v>
      </c>
      <c r="D121" s="10">
        <v>40</v>
      </c>
      <c r="E121" s="10" t="s">
        <v>11</v>
      </c>
      <c r="F121" s="10">
        <v>4</v>
      </c>
    </row>
    <row r="122" spans="1:6" outlineLevel="2">
      <c r="A122" s="9" t="s">
        <v>65</v>
      </c>
      <c r="B122" s="9" t="s">
        <v>72</v>
      </c>
      <c r="C122" s="9" t="s">
        <v>636</v>
      </c>
      <c r="D122" s="10">
        <v>54</v>
      </c>
      <c r="E122" s="10" t="s">
        <v>11</v>
      </c>
      <c r="F122" s="10">
        <v>4</v>
      </c>
    </row>
    <row r="123" spans="1:6" outlineLevel="2">
      <c r="A123" s="9" t="s">
        <v>65</v>
      </c>
      <c r="B123" s="9" t="s">
        <v>74</v>
      </c>
      <c r="C123" s="9" t="s">
        <v>340</v>
      </c>
      <c r="D123" s="10">
        <v>57</v>
      </c>
      <c r="E123" s="10" t="s">
        <v>11</v>
      </c>
      <c r="F123" s="10">
        <v>2</v>
      </c>
    </row>
    <row r="124" spans="1:6" outlineLevel="2">
      <c r="A124" s="9" t="s">
        <v>65</v>
      </c>
      <c r="B124" s="9" t="s">
        <v>74</v>
      </c>
      <c r="C124" s="9" t="s">
        <v>10</v>
      </c>
      <c r="D124" s="10">
        <v>54</v>
      </c>
      <c r="E124" s="10" t="s">
        <v>11</v>
      </c>
      <c r="F124" s="10">
        <v>3</v>
      </c>
    </row>
    <row r="125" spans="1:6" outlineLevel="2">
      <c r="A125" s="9" t="s">
        <v>65</v>
      </c>
      <c r="B125" s="9" t="s">
        <v>74</v>
      </c>
      <c r="C125" s="9" t="s">
        <v>871</v>
      </c>
      <c r="D125" s="10">
        <v>53</v>
      </c>
      <c r="E125" s="10" t="s">
        <v>11</v>
      </c>
      <c r="F125" s="10">
        <v>3</v>
      </c>
    </row>
    <row r="126" spans="1:6" outlineLevel="2">
      <c r="A126" s="9" t="s">
        <v>65</v>
      </c>
      <c r="B126" s="9" t="s">
        <v>74</v>
      </c>
      <c r="C126" s="9" t="s">
        <v>904</v>
      </c>
      <c r="D126" s="10">
        <v>50</v>
      </c>
      <c r="E126" s="10" t="s">
        <v>11</v>
      </c>
      <c r="F126" s="10">
        <v>4</v>
      </c>
    </row>
    <row r="127" spans="1:6" outlineLevel="2">
      <c r="A127" s="9" t="s">
        <v>65</v>
      </c>
      <c r="B127" s="9" t="s">
        <v>74</v>
      </c>
      <c r="C127" s="9" t="s">
        <v>636</v>
      </c>
      <c r="D127" s="10">
        <v>48</v>
      </c>
      <c r="E127" s="10" t="s">
        <v>11</v>
      </c>
      <c r="F127" s="10">
        <v>4</v>
      </c>
    </row>
    <row r="128" spans="1:6" outlineLevel="2">
      <c r="A128" s="9" t="s">
        <v>65</v>
      </c>
      <c r="B128" s="9" t="s">
        <v>689</v>
      </c>
      <c r="C128" s="9" t="s">
        <v>712</v>
      </c>
      <c r="D128" s="10">
        <v>54</v>
      </c>
      <c r="E128" s="10" t="s">
        <v>11</v>
      </c>
      <c r="F128" s="10">
        <v>2</v>
      </c>
    </row>
    <row r="129" spans="1:6" outlineLevel="2">
      <c r="A129" s="9" t="s">
        <v>65</v>
      </c>
      <c r="B129" s="9" t="s">
        <v>689</v>
      </c>
      <c r="C129" s="9" t="s">
        <v>871</v>
      </c>
      <c r="D129" s="10">
        <v>40</v>
      </c>
      <c r="E129" s="10" t="s">
        <v>11</v>
      </c>
      <c r="F129" s="10">
        <v>3</v>
      </c>
    </row>
    <row r="130" spans="1:6" outlineLevel="2">
      <c r="A130" s="9" t="s">
        <v>65</v>
      </c>
      <c r="B130" s="9" t="s">
        <v>689</v>
      </c>
      <c r="C130" s="9" t="s">
        <v>904</v>
      </c>
      <c r="D130" s="10">
        <v>50</v>
      </c>
      <c r="E130" s="10" t="s">
        <v>11</v>
      </c>
      <c r="F130" s="10">
        <v>4</v>
      </c>
    </row>
    <row r="131" spans="1:6" outlineLevel="2">
      <c r="A131" s="9" t="s">
        <v>65</v>
      </c>
      <c r="B131" s="9" t="s">
        <v>689</v>
      </c>
      <c r="C131" s="9" t="s">
        <v>636</v>
      </c>
      <c r="D131" s="10">
        <v>54</v>
      </c>
      <c r="E131" s="10" t="s">
        <v>11</v>
      </c>
      <c r="F131" s="10">
        <v>4</v>
      </c>
    </row>
    <row r="132" spans="1:6" outlineLevel="2">
      <c r="A132" s="9" t="s">
        <v>65</v>
      </c>
      <c r="B132" s="9" t="s">
        <v>719</v>
      </c>
      <c r="C132" s="9" t="s">
        <v>712</v>
      </c>
      <c r="D132" s="10">
        <v>54</v>
      </c>
      <c r="E132" s="10" t="s">
        <v>11</v>
      </c>
      <c r="F132" s="10">
        <v>2</v>
      </c>
    </row>
    <row r="133" spans="1:6" outlineLevel="2">
      <c r="A133" s="9" t="s">
        <v>65</v>
      </c>
      <c r="B133" s="9" t="s">
        <v>719</v>
      </c>
      <c r="C133" s="9" t="s">
        <v>871</v>
      </c>
      <c r="D133" s="10">
        <v>40</v>
      </c>
      <c r="E133" s="10" t="s">
        <v>11</v>
      </c>
      <c r="F133" s="10">
        <v>3</v>
      </c>
    </row>
    <row r="134" spans="1:6" outlineLevel="2">
      <c r="A134" s="9" t="s">
        <v>65</v>
      </c>
      <c r="B134" s="9" t="s">
        <v>719</v>
      </c>
      <c r="C134" s="9" t="s">
        <v>904</v>
      </c>
      <c r="D134" s="10">
        <v>50</v>
      </c>
      <c r="E134" s="10" t="s">
        <v>11</v>
      </c>
      <c r="F134" s="10">
        <v>4</v>
      </c>
    </row>
    <row r="135" spans="1:6" outlineLevel="2">
      <c r="A135" s="9" t="s">
        <v>65</v>
      </c>
      <c r="B135" s="9" t="s">
        <v>691</v>
      </c>
      <c r="C135" s="9" t="s">
        <v>636</v>
      </c>
      <c r="D135" s="10">
        <v>57</v>
      </c>
      <c r="E135" s="10" t="s">
        <v>11</v>
      </c>
      <c r="F135" s="10">
        <v>4</v>
      </c>
    </row>
    <row r="136" spans="1:6" outlineLevel="2">
      <c r="A136" s="9" t="s">
        <v>65</v>
      </c>
      <c r="B136" s="9" t="s">
        <v>76</v>
      </c>
      <c r="C136" s="9" t="s">
        <v>712</v>
      </c>
      <c r="D136" s="10">
        <v>53</v>
      </c>
      <c r="E136" s="10" t="s">
        <v>11</v>
      </c>
      <c r="F136" s="10">
        <v>2</v>
      </c>
    </row>
    <row r="137" spans="1:6" outlineLevel="2">
      <c r="A137" s="9" t="s">
        <v>65</v>
      </c>
      <c r="B137" s="9" t="s">
        <v>76</v>
      </c>
      <c r="C137" s="9" t="s">
        <v>10</v>
      </c>
      <c r="D137" s="10">
        <v>41</v>
      </c>
      <c r="E137" s="10" t="s">
        <v>11</v>
      </c>
      <c r="F137" s="10">
        <v>3</v>
      </c>
    </row>
    <row r="138" spans="1:6" outlineLevel="2">
      <c r="A138" s="9" t="s">
        <v>65</v>
      </c>
      <c r="B138" s="9" t="s">
        <v>76</v>
      </c>
      <c r="C138" s="9" t="s">
        <v>904</v>
      </c>
      <c r="D138" s="10">
        <v>50</v>
      </c>
      <c r="E138" s="10" t="s">
        <v>11</v>
      </c>
      <c r="F138" s="10">
        <v>4</v>
      </c>
    </row>
    <row r="139" spans="1:6" outlineLevel="2">
      <c r="A139" s="9" t="s">
        <v>65</v>
      </c>
      <c r="B139" s="9" t="s">
        <v>721</v>
      </c>
      <c r="C139" s="9" t="s">
        <v>712</v>
      </c>
      <c r="D139" s="10">
        <v>53</v>
      </c>
      <c r="E139" s="10" t="s">
        <v>11</v>
      </c>
      <c r="F139" s="10">
        <v>2</v>
      </c>
    </row>
    <row r="140" spans="1:6" outlineLevel="2">
      <c r="A140" s="9" t="s">
        <v>65</v>
      </c>
      <c r="B140" s="9" t="s">
        <v>489</v>
      </c>
      <c r="C140" s="9" t="s">
        <v>340</v>
      </c>
      <c r="D140" s="10">
        <v>47</v>
      </c>
      <c r="E140" s="10" t="s">
        <v>11</v>
      </c>
      <c r="F140" s="10">
        <v>2</v>
      </c>
    </row>
    <row r="141" spans="1:6" outlineLevel="2">
      <c r="A141" s="9" t="s">
        <v>65</v>
      </c>
      <c r="B141" s="9" t="s">
        <v>723</v>
      </c>
      <c r="C141" s="9" t="s">
        <v>712</v>
      </c>
      <c r="D141" s="10">
        <v>50</v>
      </c>
      <c r="E141" s="10" t="s">
        <v>11</v>
      </c>
      <c r="F141" s="10">
        <v>2</v>
      </c>
    </row>
    <row r="142" spans="1:6" outlineLevel="2">
      <c r="A142" s="9" t="s">
        <v>65</v>
      </c>
      <c r="B142" s="9" t="s">
        <v>723</v>
      </c>
      <c r="C142" s="9" t="s">
        <v>904</v>
      </c>
      <c r="D142" s="10">
        <v>40</v>
      </c>
      <c r="E142" s="10" t="s">
        <v>11</v>
      </c>
      <c r="F142" s="10">
        <v>4</v>
      </c>
    </row>
    <row r="143" spans="1:6" outlineLevel="2">
      <c r="A143" s="9" t="s">
        <v>65</v>
      </c>
      <c r="B143" s="9" t="s">
        <v>78</v>
      </c>
      <c r="C143" s="9" t="s">
        <v>712</v>
      </c>
      <c r="D143" s="10">
        <v>40</v>
      </c>
      <c r="E143" s="10" t="s">
        <v>11</v>
      </c>
      <c r="F143" s="10">
        <v>2</v>
      </c>
    </row>
    <row r="144" spans="1:6" outlineLevel="2">
      <c r="A144" s="9" t="s">
        <v>65</v>
      </c>
      <c r="B144" s="9" t="s">
        <v>78</v>
      </c>
      <c r="C144" s="9" t="s">
        <v>10</v>
      </c>
      <c r="D144" s="10">
        <v>43</v>
      </c>
      <c r="E144" s="10" t="s">
        <v>11</v>
      </c>
      <c r="F144" s="10">
        <v>3</v>
      </c>
    </row>
    <row r="145" spans="1:6" outlineLevel="2">
      <c r="A145" s="9" t="s">
        <v>65</v>
      </c>
      <c r="B145" s="9" t="s">
        <v>78</v>
      </c>
      <c r="C145" s="9" t="s">
        <v>904</v>
      </c>
      <c r="D145" s="10">
        <v>40</v>
      </c>
      <c r="E145" s="10" t="s">
        <v>11</v>
      </c>
      <c r="F145" s="10">
        <v>4</v>
      </c>
    </row>
    <row r="146" spans="1:6" outlineLevel="2">
      <c r="A146" s="9" t="s">
        <v>65</v>
      </c>
      <c r="B146" s="9" t="s">
        <v>78</v>
      </c>
      <c r="C146" s="9" t="s">
        <v>636</v>
      </c>
      <c r="D146" s="10">
        <v>53</v>
      </c>
      <c r="E146" s="10" t="s">
        <v>11</v>
      </c>
      <c r="F146" s="10">
        <v>4</v>
      </c>
    </row>
    <row r="147" spans="1:6" outlineLevel="2">
      <c r="A147" s="9" t="s">
        <v>65</v>
      </c>
      <c r="B147" s="9" t="s">
        <v>725</v>
      </c>
      <c r="C147" s="9" t="s">
        <v>712</v>
      </c>
      <c r="D147" s="10">
        <v>54</v>
      </c>
      <c r="E147" s="10" t="s">
        <v>11</v>
      </c>
      <c r="F147" s="10">
        <v>2</v>
      </c>
    </row>
    <row r="148" spans="1:6" outlineLevel="2">
      <c r="A148" s="9" t="s">
        <v>65</v>
      </c>
      <c r="B148" s="9" t="s">
        <v>725</v>
      </c>
      <c r="C148" s="9" t="s">
        <v>871</v>
      </c>
      <c r="D148" s="10">
        <v>45</v>
      </c>
      <c r="E148" s="10" t="s">
        <v>11</v>
      </c>
      <c r="F148" s="10">
        <v>3</v>
      </c>
    </row>
    <row r="149" spans="1:6" outlineLevel="2">
      <c r="A149" s="9" t="s">
        <v>65</v>
      </c>
      <c r="B149" s="9" t="s">
        <v>725</v>
      </c>
      <c r="C149" s="9" t="s">
        <v>904</v>
      </c>
      <c r="D149" s="10">
        <v>50</v>
      </c>
      <c r="E149" s="10" t="s">
        <v>11</v>
      </c>
      <c r="F149" s="10">
        <v>4</v>
      </c>
    </row>
    <row r="150" spans="1:6" outlineLevel="2">
      <c r="A150" s="9" t="s">
        <v>65</v>
      </c>
      <c r="B150" s="9" t="s">
        <v>872</v>
      </c>
      <c r="C150" s="9" t="s">
        <v>871</v>
      </c>
      <c r="D150" s="10">
        <v>43</v>
      </c>
      <c r="E150" s="10" t="s">
        <v>11</v>
      </c>
      <c r="F150" s="10">
        <v>3</v>
      </c>
    </row>
    <row r="151" spans="1:6" outlineLevel="2">
      <c r="A151" s="9" t="s">
        <v>65</v>
      </c>
      <c r="B151" s="9" t="s">
        <v>872</v>
      </c>
      <c r="C151" s="9" t="s">
        <v>904</v>
      </c>
      <c r="D151" s="10">
        <v>50</v>
      </c>
      <c r="E151" s="10" t="s">
        <v>11</v>
      </c>
      <c r="F151" s="10">
        <v>4</v>
      </c>
    </row>
    <row r="152" spans="1:6" outlineLevel="2">
      <c r="A152" s="9" t="s">
        <v>65</v>
      </c>
      <c r="B152" s="9" t="s">
        <v>727</v>
      </c>
      <c r="C152" s="9" t="s">
        <v>712</v>
      </c>
      <c r="D152" s="10">
        <v>46</v>
      </c>
      <c r="E152" s="10" t="s">
        <v>11</v>
      </c>
      <c r="F152" s="10">
        <v>2</v>
      </c>
    </row>
    <row r="153" spans="1:6" outlineLevel="2">
      <c r="A153" s="9" t="s">
        <v>65</v>
      </c>
      <c r="B153" s="9" t="s">
        <v>727</v>
      </c>
      <c r="C153" s="9" t="s">
        <v>871</v>
      </c>
      <c r="D153" s="10">
        <v>40</v>
      </c>
      <c r="E153" s="10" t="s">
        <v>11</v>
      </c>
      <c r="F153" s="10">
        <v>3</v>
      </c>
    </row>
    <row r="154" spans="1:6" outlineLevel="2">
      <c r="A154" s="9" t="s">
        <v>65</v>
      </c>
      <c r="B154" s="9" t="s">
        <v>727</v>
      </c>
      <c r="C154" s="9" t="s">
        <v>904</v>
      </c>
      <c r="D154" s="10">
        <v>40</v>
      </c>
      <c r="E154" s="10" t="s">
        <v>11</v>
      </c>
      <c r="F154" s="10">
        <v>4</v>
      </c>
    </row>
    <row r="155" spans="1:6" outlineLevel="2">
      <c r="A155" s="9" t="s">
        <v>65</v>
      </c>
      <c r="B155" s="9" t="s">
        <v>80</v>
      </c>
      <c r="C155" s="9" t="s">
        <v>828</v>
      </c>
      <c r="D155" s="10">
        <v>52</v>
      </c>
      <c r="E155" s="10" t="s">
        <v>11</v>
      </c>
      <c r="F155" s="10">
        <v>1</v>
      </c>
    </row>
    <row r="156" spans="1:6" outlineLevel="2">
      <c r="A156" s="9" t="s">
        <v>65</v>
      </c>
      <c r="B156" s="9" t="s">
        <v>80</v>
      </c>
      <c r="C156" s="9" t="s">
        <v>10</v>
      </c>
      <c r="D156" s="10">
        <v>48</v>
      </c>
      <c r="E156" s="10" t="s">
        <v>11</v>
      </c>
      <c r="F156" s="10">
        <v>3</v>
      </c>
    </row>
    <row r="157" spans="1:6" outlineLevel="2">
      <c r="A157" s="9" t="s">
        <v>65</v>
      </c>
      <c r="B157" s="9" t="s">
        <v>80</v>
      </c>
      <c r="C157" s="9" t="s">
        <v>904</v>
      </c>
      <c r="D157" s="10">
        <v>51</v>
      </c>
      <c r="E157" s="10" t="s">
        <v>11</v>
      </c>
      <c r="F157" s="10">
        <v>4</v>
      </c>
    </row>
    <row r="158" spans="1:6" outlineLevel="2">
      <c r="A158" s="9" t="s">
        <v>65</v>
      </c>
      <c r="B158" s="9" t="s">
        <v>80</v>
      </c>
      <c r="C158" s="9" t="s">
        <v>636</v>
      </c>
      <c r="D158" s="10">
        <v>55</v>
      </c>
      <c r="E158" s="10" t="s">
        <v>11</v>
      </c>
      <c r="F158" s="10">
        <v>4</v>
      </c>
    </row>
    <row r="159" spans="1:6" outlineLevel="2">
      <c r="A159" s="9" t="s">
        <v>65</v>
      </c>
      <c r="B159" s="9" t="s">
        <v>82</v>
      </c>
      <c r="C159" s="9" t="s">
        <v>712</v>
      </c>
      <c r="D159" s="10">
        <v>36</v>
      </c>
      <c r="E159" s="10" t="s">
        <v>11</v>
      </c>
      <c r="F159" s="10">
        <v>2</v>
      </c>
    </row>
    <row r="160" spans="1:6" outlineLevel="2">
      <c r="A160" s="9" t="s">
        <v>65</v>
      </c>
      <c r="B160" s="9" t="s">
        <v>82</v>
      </c>
      <c r="C160" s="9" t="s">
        <v>10</v>
      </c>
      <c r="D160" s="10">
        <v>31</v>
      </c>
      <c r="E160" s="10" t="s">
        <v>11</v>
      </c>
      <c r="F160" s="10">
        <v>3</v>
      </c>
    </row>
    <row r="161" spans="1:6" outlineLevel="1">
      <c r="A161" s="18" t="s">
        <v>1843</v>
      </c>
      <c r="B161" s="9">
        <f>SUBTOTAL(3,B108:B160)</f>
        <v>53</v>
      </c>
      <c r="C161" s="9"/>
      <c r="D161" s="10"/>
      <c r="E161" s="10"/>
      <c r="F161" s="10"/>
    </row>
    <row r="162" spans="1:6" outlineLevel="2">
      <c r="A162" s="9" t="s">
        <v>335</v>
      </c>
      <c r="B162" s="9" t="s">
        <v>387</v>
      </c>
      <c r="C162" s="9" t="s">
        <v>340</v>
      </c>
      <c r="D162" s="10">
        <v>56</v>
      </c>
      <c r="E162" s="10" t="s">
        <v>11</v>
      </c>
      <c r="F162" s="10">
        <v>2</v>
      </c>
    </row>
    <row r="163" spans="1:6" outlineLevel="2">
      <c r="A163" s="9" t="s">
        <v>335</v>
      </c>
      <c r="B163" s="9" t="s">
        <v>387</v>
      </c>
      <c r="C163" s="9" t="s">
        <v>920</v>
      </c>
      <c r="D163" s="10">
        <v>52</v>
      </c>
      <c r="E163" s="10" t="s">
        <v>11</v>
      </c>
      <c r="F163" s="10">
        <v>3</v>
      </c>
    </row>
    <row r="164" spans="1:6" outlineLevel="2">
      <c r="A164" s="9" t="s">
        <v>335</v>
      </c>
      <c r="B164" s="9" t="s">
        <v>387</v>
      </c>
      <c r="C164" s="9" t="s">
        <v>636</v>
      </c>
      <c r="D164" s="10">
        <v>53</v>
      </c>
      <c r="E164" s="10" t="s">
        <v>11</v>
      </c>
      <c r="F164" s="10">
        <v>3</v>
      </c>
    </row>
    <row r="165" spans="1:6" outlineLevel="2">
      <c r="A165" s="9" t="s">
        <v>335</v>
      </c>
      <c r="B165" s="9" t="s">
        <v>389</v>
      </c>
      <c r="C165" s="9" t="s">
        <v>340</v>
      </c>
      <c r="D165" s="10">
        <v>55</v>
      </c>
      <c r="E165" s="10" t="s">
        <v>11</v>
      </c>
      <c r="F165" s="10">
        <v>2</v>
      </c>
    </row>
    <row r="166" spans="1:6" outlineLevel="2">
      <c r="A166" s="9" t="s">
        <v>335</v>
      </c>
      <c r="B166" s="9" t="s">
        <v>391</v>
      </c>
      <c r="C166" s="9" t="s">
        <v>340</v>
      </c>
      <c r="D166" s="10">
        <v>43</v>
      </c>
      <c r="E166" s="10" t="s">
        <v>11</v>
      </c>
      <c r="F166" s="10">
        <v>2</v>
      </c>
    </row>
    <row r="167" spans="1:6" outlineLevel="2">
      <c r="A167" s="9" t="s">
        <v>335</v>
      </c>
      <c r="B167" s="9" t="s">
        <v>391</v>
      </c>
      <c r="C167" s="9" t="s">
        <v>636</v>
      </c>
      <c r="D167" s="10">
        <v>40</v>
      </c>
      <c r="E167" s="10" t="s">
        <v>11</v>
      </c>
      <c r="F167" s="10">
        <v>3</v>
      </c>
    </row>
    <row r="168" spans="1:6" outlineLevel="2">
      <c r="A168" s="9" t="s">
        <v>335</v>
      </c>
      <c r="B168" s="9" t="s">
        <v>393</v>
      </c>
      <c r="C168" s="9" t="s">
        <v>340</v>
      </c>
      <c r="D168" s="10">
        <v>51</v>
      </c>
      <c r="E168" s="10" t="s">
        <v>11</v>
      </c>
      <c r="F168" s="10">
        <v>2</v>
      </c>
    </row>
    <row r="169" spans="1:6" outlineLevel="2">
      <c r="A169" s="9" t="s">
        <v>335</v>
      </c>
      <c r="B169" s="9" t="s">
        <v>393</v>
      </c>
      <c r="C169" s="9" t="s">
        <v>636</v>
      </c>
      <c r="D169" s="10">
        <v>42</v>
      </c>
      <c r="E169" s="10" t="s">
        <v>11</v>
      </c>
      <c r="F169" s="10">
        <v>3</v>
      </c>
    </row>
    <row r="170" spans="1:6" outlineLevel="2">
      <c r="A170" s="9" t="s">
        <v>335</v>
      </c>
      <c r="B170" s="9" t="s">
        <v>395</v>
      </c>
      <c r="C170" s="9" t="s">
        <v>340</v>
      </c>
      <c r="D170" s="10">
        <v>40</v>
      </c>
      <c r="E170" s="10" t="s">
        <v>11</v>
      </c>
      <c r="F170" s="10">
        <v>2</v>
      </c>
    </row>
    <row r="171" spans="1:6" outlineLevel="2">
      <c r="A171" s="9" t="s">
        <v>335</v>
      </c>
      <c r="B171" s="9" t="s">
        <v>395</v>
      </c>
      <c r="C171" s="9" t="s">
        <v>920</v>
      </c>
      <c r="D171" s="10">
        <v>43</v>
      </c>
      <c r="E171" s="10" t="s">
        <v>11</v>
      </c>
      <c r="F171" s="10">
        <v>3</v>
      </c>
    </row>
    <row r="172" spans="1:6" outlineLevel="2">
      <c r="A172" s="9" t="s">
        <v>335</v>
      </c>
      <c r="B172" s="9" t="s">
        <v>397</v>
      </c>
      <c r="C172" s="9" t="s">
        <v>340</v>
      </c>
      <c r="D172" s="10">
        <v>55</v>
      </c>
      <c r="E172" s="10" t="s">
        <v>11</v>
      </c>
      <c r="F172" s="10">
        <v>2</v>
      </c>
    </row>
    <row r="173" spans="1:6" outlineLevel="2">
      <c r="A173" s="9" t="s">
        <v>335</v>
      </c>
      <c r="B173" s="9" t="s">
        <v>397</v>
      </c>
      <c r="C173" s="9" t="s">
        <v>636</v>
      </c>
      <c r="D173" s="10">
        <v>53</v>
      </c>
      <c r="E173" s="10" t="s">
        <v>11</v>
      </c>
      <c r="F173" s="10">
        <v>3</v>
      </c>
    </row>
    <row r="174" spans="1:6" outlineLevel="2">
      <c r="A174" s="9" t="s">
        <v>335</v>
      </c>
      <c r="B174" s="9" t="s">
        <v>659</v>
      </c>
      <c r="C174" s="9" t="s">
        <v>702</v>
      </c>
      <c r="D174" s="10">
        <v>58</v>
      </c>
      <c r="E174" s="10" t="s">
        <v>11</v>
      </c>
      <c r="F174" s="10">
        <v>2</v>
      </c>
    </row>
    <row r="175" spans="1:6" outlineLevel="2">
      <c r="A175" s="9" t="s">
        <v>335</v>
      </c>
      <c r="B175" s="9" t="s">
        <v>659</v>
      </c>
      <c r="C175" s="9" t="s">
        <v>920</v>
      </c>
      <c r="D175" s="10">
        <v>48</v>
      </c>
      <c r="E175" s="10" t="s">
        <v>11</v>
      </c>
      <c r="F175" s="10">
        <v>3</v>
      </c>
    </row>
    <row r="176" spans="1:6" outlineLevel="2">
      <c r="A176" s="9" t="s">
        <v>335</v>
      </c>
      <c r="B176" s="9" t="s">
        <v>659</v>
      </c>
      <c r="C176" s="9" t="s">
        <v>636</v>
      </c>
      <c r="D176" s="10">
        <v>42</v>
      </c>
      <c r="E176" s="10" t="s">
        <v>11</v>
      </c>
      <c r="F176" s="10">
        <v>3</v>
      </c>
    </row>
    <row r="177" spans="1:6" outlineLevel="2">
      <c r="A177" s="9" t="s">
        <v>335</v>
      </c>
      <c r="B177" s="9" t="s">
        <v>399</v>
      </c>
      <c r="C177" s="9" t="s">
        <v>702</v>
      </c>
      <c r="D177" s="10">
        <v>57</v>
      </c>
      <c r="E177" s="10" t="s">
        <v>11</v>
      </c>
      <c r="F177" s="10">
        <v>2</v>
      </c>
    </row>
    <row r="178" spans="1:6" outlineLevel="2">
      <c r="A178" s="9" t="s">
        <v>335</v>
      </c>
      <c r="B178" s="9" t="s">
        <v>399</v>
      </c>
      <c r="C178" s="9" t="s">
        <v>340</v>
      </c>
      <c r="D178" s="10">
        <v>54</v>
      </c>
      <c r="E178" s="10" t="s">
        <v>11</v>
      </c>
      <c r="F178" s="10">
        <v>2</v>
      </c>
    </row>
    <row r="179" spans="1:6" outlineLevel="2">
      <c r="A179" s="9" t="s">
        <v>335</v>
      </c>
      <c r="B179" s="9" t="s">
        <v>661</v>
      </c>
      <c r="C179" s="9" t="s">
        <v>920</v>
      </c>
      <c r="D179" s="10">
        <v>47</v>
      </c>
      <c r="E179" s="10" t="s">
        <v>11</v>
      </c>
      <c r="F179" s="10">
        <v>3</v>
      </c>
    </row>
    <row r="180" spans="1:6" outlineLevel="2">
      <c r="A180" s="9" t="s">
        <v>335</v>
      </c>
      <c r="B180" s="9" t="s">
        <v>661</v>
      </c>
      <c r="C180" s="9" t="s">
        <v>636</v>
      </c>
      <c r="D180" s="10">
        <v>59</v>
      </c>
      <c r="E180" s="10" t="s">
        <v>11</v>
      </c>
      <c r="F180" s="10">
        <v>3</v>
      </c>
    </row>
    <row r="181" spans="1:6" outlineLevel="2">
      <c r="A181" s="9" t="s">
        <v>335</v>
      </c>
      <c r="B181" s="9" t="s">
        <v>401</v>
      </c>
      <c r="C181" s="9" t="s">
        <v>340</v>
      </c>
      <c r="D181" s="10">
        <v>40</v>
      </c>
      <c r="E181" s="10" t="s">
        <v>11</v>
      </c>
      <c r="F181" s="10">
        <v>2</v>
      </c>
    </row>
    <row r="182" spans="1:6" outlineLevel="2">
      <c r="A182" s="9" t="s">
        <v>335</v>
      </c>
      <c r="B182" s="9" t="s">
        <v>401</v>
      </c>
      <c r="C182" s="9" t="s">
        <v>636</v>
      </c>
      <c r="D182" s="10">
        <v>49</v>
      </c>
      <c r="E182" s="10" t="s">
        <v>11</v>
      </c>
      <c r="F182" s="10">
        <v>3</v>
      </c>
    </row>
    <row r="183" spans="1:6" outlineLevel="2">
      <c r="A183" s="9" t="s">
        <v>335</v>
      </c>
      <c r="B183" s="9" t="s">
        <v>663</v>
      </c>
      <c r="C183" s="9" t="s">
        <v>793</v>
      </c>
      <c r="D183" s="10">
        <v>52</v>
      </c>
      <c r="E183" s="10" t="s">
        <v>11</v>
      </c>
      <c r="F183" s="10">
        <v>1</v>
      </c>
    </row>
    <row r="184" spans="1:6" outlineLevel="2">
      <c r="A184" s="9" t="s">
        <v>335</v>
      </c>
      <c r="B184" s="9" t="s">
        <v>663</v>
      </c>
      <c r="C184" s="9" t="s">
        <v>636</v>
      </c>
      <c r="D184" s="10">
        <v>41</v>
      </c>
      <c r="E184" s="10" t="s">
        <v>11</v>
      </c>
      <c r="F184" s="10">
        <v>3</v>
      </c>
    </row>
    <row r="185" spans="1:6" outlineLevel="2">
      <c r="A185" s="9" t="s">
        <v>335</v>
      </c>
      <c r="B185" s="9" t="s">
        <v>665</v>
      </c>
      <c r="C185" s="9" t="s">
        <v>636</v>
      </c>
      <c r="D185" s="10">
        <v>45</v>
      </c>
      <c r="E185" s="10" t="s">
        <v>11</v>
      </c>
      <c r="F185" s="10">
        <v>3</v>
      </c>
    </row>
    <row r="186" spans="1:6" outlineLevel="2">
      <c r="A186" s="9" t="s">
        <v>335</v>
      </c>
      <c r="B186" s="9" t="s">
        <v>403</v>
      </c>
      <c r="C186" s="9" t="s">
        <v>340</v>
      </c>
      <c r="D186" s="10">
        <v>40</v>
      </c>
      <c r="E186" s="10" t="s">
        <v>11</v>
      </c>
      <c r="F186" s="10">
        <v>2</v>
      </c>
    </row>
    <row r="187" spans="1:6" outlineLevel="2">
      <c r="A187" s="9" t="s">
        <v>335</v>
      </c>
      <c r="B187" s="9" t="s">
        <v>403</v>
      </c>
      <c r="C187" s="9" t="s">
        <v>636</v>
      </c>
      <c r="D187" s="10">
        <v>40</v>
      </c>
      <c r="E187" s="10" t="s">
        <v>11</v>
      </c>
      <c r="F187" s="10">
        <v>3</v>
      </c>
    </row>
    <row r="188" spans="1:6" outlineLevel="2">
      <c r="A188" s="9" t="s">
        <v>335</v>
      </c>
      <c r="B188" s="9" t="s">
        <v>405</v>
      </c>
      <c r="C188" s="9" t="s">
        <v>340</v>
      </c>
      <c r="D188" s="10">
        <v>40</v>
      </c>
      <c r="E188" s="10" t="s">
        <v>11</v>
      </c>
      <c r="F188" s="10">
        <v>2</v>
      </c>
    </row>
    <row r="189" spans="1:6" outlineLevel="2">
      <c r="A189" s="9" t="s">
        <v>335</v>
      </c>
      <c r="B189" s="9" t="s">
        <v>405</v>
      </c>
      <c r="C189" s="9" t="s">
        <v>636</v>
      </c>
      <c r="D189" s="10">
        <v>40</v>
      </c>
      <c r="E189" s="10" t="s">
        <v>11</v>
      </c>
      <c r="F189" s="10">
        <v>3</v>
      </c>
    </row>
    <row r="190" spans="1:6" outlineLevel="2">
      <c r="A190" s="9" t="s">
        <v>335</v>
      </c>
      <c r="B190" s="9" t="s">
        <v>407</v>
      </c>
      <c r="C190" s="9" t="s">
        <v>340</v>
      </c>
      <c r="D190" s="10">
        <v>55</v>
      </c>
      <c r="E190" s="10" t="s">
        <v>11</v>
      </c>
      <c r="F190" s="10">
        <v>2</v>
      </c>
    </row>
    <row r="191" spans="1:6" outlineLevel="2">
      <c r="A191" s="9" t="s">
        <v>335</v>
      </c>
      <c r="B191" s="9" t="s">
        <v>409</v>
      </c>
      <c r="C191" s="9" t="s">
        <v>340</v>
      </c>
      <c r="D191" s="10">
        <v>48</v>
      </c>
      <c r="E191" s="10" t="s">
        <v>11</v>
      </c>
      <c r="F191" s="10">
        <v>2</v>
      </c>
    </row>
    <row r="192" spans="1:6" outlineLevel="2">
      <c r="A192" s="9" t="s">
        <v>335</v>
      </c>
      <c r="B192" s="9" t="s">
        <v>336</v>
      </c>
      <c r="C192" s="9" t="s">
        <v>340</v>
      </c>
      <c r="D192" s="10">
        <v>46</v>
      </c>
      <c r="E192" s="10" t="s">
        <v>11</v>
      </c>
      <c r="F192" s="10">
        <v>2</v>
      </c>
    </row>
    <row r="193" spans="1:6" outlineLevel="2">
      <c r="A193" s="9" t="s">
        <v>335</v>
      </c>
      <c r="B193" s="9" t="s">
        <v>336</v>
      </c>
      <c r="C193" s="9" t="s">
        <v>10</v>
      </c>
      <c r="D193" s="10">
        <v>56</v>
      </c>
      <c r="E193" s="10" t="s">
        <v>11</v>
      </c>
      <c r="F193" s="10">
        <v>3</v>
      </c>
    </row>
    <row r="194" spans="1:6" outlineLevel="2">
      <c r="A194" s="9" t="s">
        <v>335</v>
      </c>
      <c r="B194" s="9" t="s">
        <v>336</v>
      </c>
      <c r="C194" s="9" t="s">
        <v>920</v>
      </c>
      <c r="D194" s="10">
        <v>46</v>
      </c>
      <c r="E194" s="10" t="s">
        <v>11</v>
      </c>
      <c r="F194" s="10">
        <v>3</v>
      </c>
    </row>
    <row r="195" spans="1:6" outlineLevel="1">
      <c r="A195" s="18" t="s">
        <v>1844</v>
      </c>
      <c r="B195" s="9">
        <f>SUBTOTAL(3,B162:B194)</f>
        <v>33</v>
      </c>
      <c r="C195" s="9"/>
      <c r="D195" s="10"/>
      <c r="E195" s="10"/>
      <c r="F195" s="10"/>
    </row>
    <row r="196" spans="1:6" outlineLevel="2">
      <c r="A196" s="9" t="s">
        <v>234</v>
      </c>
      <c r="B196" s="9" t="s">
        <v>918</v>
      </c>
      <c r="C196" s="9" t="s">
        <v>920</v>
      </c>
      <c r="D196" s="10">
        <v>42</v>
      </c>
      <c r="E196" s="10" t="s">
        <v>11</v>
      </c>
      <c r="F196" s="10">
        <v>3</v>
      </c>
    </row>
    <row r="197" spans="1:6" outlineLevel="2">
      <c r="A197" s="9" t="s">
        <v>234</v>
      </c>
      <c r="B197" s="9" t="s">
        <v>614</v>
      </c>
      <c r="C197" s="9" t="s">
        <v>920</v>
      </c>
      <c r="D197" s="10">
        <v>40</v>
      </c>
      <c r="E197" s="10" t="s">
        <v>11</v>
      </c>
      <c r="F197" s="10">
        <v>3</v>
      </c>
    </row>
    <row r="198" spans="1:6" outlineLevel="2">
      <c r="A198" s="9" t="s">
        <v>234</v>
      </c>
      <c r="B198" s="9" t="s">
        <v>616</v>
      </c>
      <c r="C198" s="9" t="s">
        <v>793</v>
      </c>
      <c r="D198" s="10">
        <v>50</v>
      </c>
      <c r="E198" s="10" t="s">
        <v>11</v>
      </c>
      <c r="F198" s="10">
        <v>1</v>
      </c>
    </row>
    <row r="199" spans="1:6" outlineLevel="2">
      <c r="A199" s="9" t="s">
        <v>234</v>
      </c>
      <c r="B199" s="9" t="s">
        <v>643</v>
      </c>
      <c r="C199" s="9" t="s">
        <v>636</v>
      </c>
      <c r="D199" s="10">
        <v>51</v>
      </c>
      <c r="E199" s="10" t="s">
        <v>11</v>
      </c>
      <c r="F199" s="10">
        <v>3</v>
      </c>
    </row>
    <row r="200" spans="1:6" outlineLevel="2">
      <c r="A200" s="9" t="s">
        <v>234</v>
      </c>
      <c r="B200" s="9" t="s">
        <v>921</v>
      </c>
      <c r="C200" s="9" t="s">
        <v>920</v>
      </c>
      <c r="D200" s="10">
        <v>47</v>
      </c>
      <c r="E200" s="10" t="s">
        <v>11</v>
      </c>
      <c r="F200" s="10">
        <v>3</v>
      </c>
    </row>
    <row r="201" spans="1:6" outlineLevel="2">
      <c r="A201" s="9" t="s">
        <v>234</v>
      </c>
      <c r="B201" s="9" t="s">
        <v>645</v>
      </c>
      <c r="C201" s="9" t="s">
        <v>636</v>
      </c>
      <c r="D201" s="10">
        <v>58</v>
      </c>
      <c r="E201" s="10" t="s">
        <v>11</v>
      </c>
      <c r="F201" s="10">
        <v>3</v>
      </c>
    </row>
    <row r="202" spans="1:6" outlineLevel="2">
      <c r="A202" s="9" t="s">
        <v>234</v>
      </c>
      <c r="B202" s="9" t="s">
        <v>647</v>
      </c>
      <c r="C202" s="9" t="s">
        <v>636</v>
      </c>
      <c r="D202" s="10">
        <v>42</v>
      </c>
      <c r="E202" s="10" t="s">
        <v>11</v>
      </c>
      <c r="F202" s="10">
        <v>3</v>
      </c>
    </row>
    <row r="203" spans="1:6" outlineLevel="2">
      <c r="A203" s="9" t="s">
        <v>234</v>
      </c>
      <c r="B203" s="9" t="s">
        <v>649</v>
      </c>
      <c r="C203" s="9" t="s">
        <v>636</v>
      </c>
      <c r="D203" s="10">
        <v>57</v>
      </c>
      <c r="E203" s="10" t="s">
        <v>11</v>
      </c>
      <c r="F203" s="10">
        <v>3</v>
      </c>
    </row>
    <row r="204" spans="1:6" outlineLevel="2">
      <c r="A204" s="9" t="s">
        <v>234</v>
      </c>
      <c r="B204" s="9" t="s">
        <v>651</v>
      </c>
      <c r="C204" s="9" t="s">
        <v>636</v>
      </c>
      <c r="D204" s="10">
        <v>58</v>
      </c>
      <c r="E204" s="10" t="s">
        <v>11</v>
      </c>
      <c r="F204" s="10">
        <v>3</v>
      </c>
    </row>
    <row r="205" spans="1:6" outlineLevel="2">
      <c r="A205" s="9" t="s">
        <v>234</v>
      </c>
      <c r="B205" s="9" t="s">
        <v>235</v>
      </c>
      <c r="C205" s="9" t="s">
        <v>340</v>
      </c>
      <c r="D205" s="10">
        <v>55</v>
      </c>
      <c r="E205" s="10" t="s">
        <v>11</v>
      </c>
      <c r="F205" s="10">
        <v>2</v>
      </c>
    </row>
    <row r="206" spans="1:6" outlineLevel="2">
      <c r="A206" s="9" t="s">
        <v>234</v>
      </c>
      <c r="B206" s="9" t="s">
        <v>235</v>
      </c>
      <c r="C206" s="9" t="s">
        <v>10</v>
      </c>
      <c r="D206" s="10">
        <v>55</v>
      </c>
      <c r="E206" s="10" t="s">
        <v>11</v>
      </c>
      <c r="F206" s="10">
        <v>3</v>
      </c>
    </row>
    <row r="207" spans="1:6" outlineLevel="2">
      <c r="A207" s="9" t="s">
        <v>234</v>
      </c>
      <c r="B207" s="9" t="s">
        <v>235</v>
      </c>
      <c r="C207" s="9" t="s">
        <v>636</v>
      </c>
      <c r="D207" s="10">
        <v>53</v>
      </c>
      <c r="E207" s="10" t="s">
        <v>11</v>
      </c>
      <c r="F207" s="10">
        <v>3</v>
      </c>
    </row>
    <row r="208" spans="1:6" outlineLevel="2">
      <c r="A208" s="9" t="s">
        <v>234</v>
      </c>
      <c r="B208" s="9" t="s">
        <v>653</v>
      </c>
      <c r="C208" s="9" t="s">
        <v>636</v>
      </c>
      <c r="D208" s="10">
        <v>56</v>
      </c>
      <c r="E208" s="10" t="s">
        <v>11</v>
      </c>
      <c r="F208" s="10">
        <v>3</v>
      </c>
    </row>
    <row r="209" spans="1:6" outlineLevel="2">
      <c r="A209" s="9" t="s">
        <v>234</v>
      </c>
      <c r="B209" s="9" t="s">
        <v>237</v>
      </c>
      <c r="C209" s="9" t="s">
        <v>340</v>
      </c>
      <c r="D209" s="10">
        <v>53</v>
      </c>
      <c r="E209" s="10" t="s">
        <v>11</v>
      </c>
      <c r="F209" s="10">
        <v>2</v>
      </c>
    </row>
    <row r="210" spans="1:6" outlineLevel="2">
      <c r="A210" s="9" t="s">
        <v>234</v>
      </c>
      <c r="B210" s="9" t="s">
        <v>237</v>
      </c>
      <c r="C210" s="9" t="s">
        <v>10</v>
      </c>
      <c r="D210" s="10">
        <v>50</v>
      </c>
      <c r="E210" s="10" t="s">
        <v>11</v>
      </c>
      <c r="F210" s="10">
        <v>3</v>
      </c>
    </row>
    <row r="211" spans="1:6" outlineLevel="2">
      <c r="A211" s="9" t="s">
        <v>234</v>
      </c>
      <c r="B211" s="9" t="s">
        <v>655</v>
      </c>
      <c r="C211" s="9" t="s">
        <v>920</v>
      </c>
      <c r="D211" s="10">
        <v>49</v>
      </c>
      <c r="E211" s="10" t="s">
        <v>11</v>
      </c>
      <c r="F211" s="10">
        <v>3</v>
      </c>
    </row>
    <row r="212" spans="1:6" outlineLevel="2">
      <c r="A212" s="9" t="s">
        <v>234</v>
      </c>
      <c r="B212" s="9" t="s">
        <v>655</v>
      </c>
      <c r="C212" s="9" t="s">
        <v>636</v>
      </c>
      <c r="D212" s="10">
        <v>47</v>
      </c>
      <c r="E212" s="10" t="s">
        <v>11</v>
      </c>
      <c r="F212" s="10">
        <v>3</v>
      </c>
    </row>
    <row r="213" spans="1:6" outlineLevel="2">
      <c r="A213" s="9" t="s">
        <v>234</v>
      </c>
      <c r="B213" s="9" t="s">
        <v>479</v>
      </c>
      <c r="C213" s="9" t="s">
        <v>340</v>
      </c>
      <c r="D213" s="10">
        <v>41</v>
      </c>
      <c r="E213" s="10" t="s">
        <v>11</v>
      </c>
      <c r="F213" s="10">
        <v>2</v>
      </c>
    </row>
    <row r="214" spans="1:6" outlineLevel="2">
      <c r="A214" s="9" t="s">
        <v>234</v>
      </c>
      <c r="B214" s="9" t="s">
        <v>657</v>
      </c>
      <c r="C214" s="9" t="s">
        <v>636</v>
      </c>
      <c r="D214" s="10">
        <v>44</v>
      </c>
      <c r="E214" s="10" t="s">
        <v>11</v>
      </c>
      <c r="F214" s="10">
        <v>3</v>
      </c>
    </row>
    <row r="215" spans="1:6" outlineLevel="1">
      <c r="A215" s="18" t="s">
        <v>1845</v>
      </c>
      <c r="B215" s="9">
        <f>SUBTOTAL(3,B196:B214)</f>
        <v>19</v>
      </c>
      <c r="C215" s="9"/>
      <c r="D215" s="10"/>
      <c r="E215" s="10"/>
      <c r="F215" s="10"/>
    </row>
    <row r="216" spans="1:6" outlineLevel="2">
      <c r="A216" s="9" t="s">
        <v>158</v>
      </c>
      <c r="B216" s="9" t="s">
        <v>876</v>
      </c>
      <c r="C216" s="9" t="s">
        <v>871</v>
      </c>
      <c r="D216" s="10">
        <v>49</v>
      </c>
      <c r="E216" s="10" t="s">
        <v>11</v>
      </c>
      <c r="F216" s="10">
        <v>3</v>
      </c>
    </row>
    <row r="217" spans="1:6" outlineLevel="2">
      <c r="A217" s="9" t="s">
        <v>158</v>
      </c>
      <c r="B217" s="9" t="s">
        <v>878</v>
      </c>
      <c r="C217" s="9" t="s">
        <v>871</v>
      </c>
      <c r="D217" s="10">
        <v>44</v>
      </c>
      <c r="E217" s="10" t="s">
        <v>11</v>
      </c>
      <c r="F217" s="10">
        <v>3</v>
      </c>
    </row>
    <row r="218" spans="1:6" outlineLevel="2">
      <c r="A218" s="9" t="s">
        <v>158</v>
      </c>
      <c r="B218" s="9" t="s">
        <v>507</v>
      </c>
      <c r="C218" s="9" t="s">
        <v>340</v>
      </c>
      <c r="D218" s="10">
        <v>43</v>
      </c>
      <c r="E218" s="10" t="s">
        <v>11</v>
      </c>
      <c r="F218" s="10">
        <v>2</v>
      </c>
    </row>
    <row r="219" spans="1:6" outlineLevel="2">
      <c r="A219" s="9" t="s">
        <v>158</v>
      </c>
      <c r="B219" s="9" t="s">
        <v>507</v>
      </c>
      <c r="C219" s="9" t="s">
        <v>907</v>
      </c>
      <c r="D219" s="10">
        <v>40</v>
      </c>
      <c r="E219" s="10" t="s">
        <v>11</v>
      </c>
      <c r="F219" s="10">
        <v>2</v>
      </c>
    </row>
    <row r="220" spans="1:6" outlineLevel="2">
      <c r="A220" s="9" t="s">
        <v>158</v>
      </c>
      <c r="B220" s="9" t="s">
        <v>509</v>
      </c>
      <c r="C220" s="9" t="s">
        <v>340</v>
      </c>
      <c r="D220" s="10">
        <v>53</v>
      </c>
      <c r="E220" s="10" t="s">
        <v>11</v>
      </c>
      <c r="F220" s="10">
        <v>2</v>
      </c>
    </row>
    <row r="221" spans="1:6" outlineLevel="2">
      <c r="A221" s="9" t="s">
        <v>158</v>
      </c>
      <c r="B221" s="9" t="s">
        <v>880</v>
      </c>
      <c r="C221" s="9" t="s">
        <v>871</v>
      </c>
      <c r="D221" s="10">
        <v>53</v>
      </c>
      <c r="E221" s="10" t="s">
        <v>11</v>
      </c>
      <c r="F221" s="10">
        <v>3</v>
      </c>
    </row>
    <row r="222" spans="1:6" outlineLevel="2">
      <c r="A222" s="9" t="s">
        <v>158</v>
      </c>
      <c r="B222" s="9" t="s">
        <v>637</v>
      </c>
      <c r="C222" s="9" t="s">
        <v>871</v>
      </c>
      <c r="D222" s="10">
        <v>56</v>
      </c>
      <c r="E222" s="10" t="s">
        <v>11</v>
      </c>
      <c r="F222" s="10">
        <v>3</v>
      </c>
    </row>
    <row r="223" spans="1:6" outlineLevel="2">
      <c r="A223" s="9" t="s">
        <v>158</v>
      </c>
      <c r="B223" s="9" t="s">
        <v>637</v>
      </c>
      <c r="C223" s="9" t="s">
        <v>636</v>
      </c>
      <c r="D223" s="10">
        <v>45</v>
      </c>
      <c r="E223" s="10" t="s">
        <v>11</v>
      </c>
      <c r="F223" s="10">
        <v>4</v>
      </c>
    </row>
    <row r="224" spans="1:6" outlineLevel="2">
      <c r="A224" s="9" t="s">
        <v>158</v>
      </c>
      <c r="B224" s="9" t="s">
        <v>639</v>
      </c>
      <c r="C224" s="9" t="s">
        <v>907</v>
      </c>
      <c r="D224" s="10">
        <v>42</v>
      </c>
      <c r="E224" s="10" t="s">
        <v>11</v>
      </c>
      <c r="F224" s="10">
        <v>2</v>
      </c>
    </row>
    <row r="225" spans="1:6" outlineLevel="2">
      <c r="A225" s="9" t="s">
        <v>158</v>
      </c>
      <c r="B225" s="9" t="s">
        <v>639</v>
      </c>
      <c r="C225" s="9" t="s">
        <v>636</v>
      </c>
      <c r="D225" s="10">
        <v>40</v>
      </c>
      <c r="E225" s="10" t="s">
        <v>11</v>
      </c>
      <c r="F225" s="10">
        <v>4</v>
      </c>
    </row>
    <row r="226" spans="1:6" outlineLevel="2">
      <c r="A226" s="9" t="s">
        <v>158</v>
      </c>
      <c r="B226" s="9" t="s">
        <v>626</v>
      </c>
      <c r="C226" s="9" t="s">
        <v>871</v>
      </c>
      <c r="D226" s="10">
        <v>43</v>
      </c>
      <c r="E226" s="10" t="s">
        <v>11</v>
      </c>
      <c r="F226" s="10">
        <v>3</v>
      </c>
    </row>
    <row r="227" spans="1:6" outlineLevel="2">
      <c r="A227" s="9" t="s">
        <v>158</v>
      </c>
      <c r="B227" s="9" t="s">
        <v>159</v>
      </c>
      <c r="C227" s="9" t="s">
        <v>340</v>
      </c>
      <c r="D227" s="10">
        <v>52</v>
      </c>
      <c r="E227" s="10" t="s">
        <v>11</v>
      </c>
      <c r="F227" s="10">
        <v>2</v>
      </c>
    </row>
    <row r="228" spans="1:6" outlineLevel="2">
      <c r="A228" s="9" t="s">
        <v>158</v>
      </c>
      <c r="B228" s="9" t="s">
        <v>159</v>
      </c>
      <c r="C228" s="9" t="s">
        <v>10</v>
      </c>
      <c r="D228" s="10">
        <v>55</v>
      </c>
      <c r="E228" s="10" t="s">
        <v>11</v>
      </c>
      <c r="F228" s="10">
        <v>3</v>
      </c>
    </row>
    <row r="229" spans="1:6" outlineLevel="2">
      <c r="A229" s="9" t="s">
        <v>158</v>
      </c>
      <c r="B229" s="9" t="s">
        <v>159</v>
      </c>
      <c r="C229" s="9" t="s">
        <v>871</v>
      </c>
      <c r="D229" s="10">
        <v>42</v>
      </c>
      <c r="E229" s="10" t="s">
        <v>11</v>
      </c>
      <c r="F229" s="10">
        <v>3</v>
      </c>
    </row>
    <row r="230" spans="1:6" outlineLevel="2">
      <c r="A230" s="9" t="s">
        <v>158</v>
      </c>
      <c r="B230" s="9" t="s">
        <v>641</v>
      </c>
      <c r="C230" s="9" t="s">
        <v>871</v>
      </c>
      <c r="D230" s="10">
        <v>49</v>
      </c>
      <c r="E230" s="10" t="s">
        <v>11</v>
      </c>
      <c r="F230" s="10">
        <v>3</v>
      </c>
    </row>
    <row r="231" spans="1:6" outlineLevel="2">
      <c r="A231" s="9" t="s">
        <v>158</v>
      </c>
      <c r="B231" s="9" t="s">
        <v>641</v>
      </c>
      <c r="C231" s="9" t="s">
        <v>636</v>
      </c>
      <c r="D231" s="10">
        <v>40</v>
      </c>
      <c r="E231" s="10" t="s">
        <v>11</v>
      </c>
      <c r="F231" s="10">
        <v>4</v>
      </c>
    </row>
    <row r="232" spans="1:6" outlineLevel="2">
      <c r="A232" s="9" t="s">
        <v>158</v>
      </c>
      <c r="B232" s="9" t="s">
        <v>511</v>
      </c>
      <c r="C232" s="9" t="s">
        <v>340</v>
      </c>
      <c r="D232" s="10">
        <v>48</v>
      </c>
      <c r="E232" s="10" t="s">
        <v>11</v>
      </c>
      <c r="F232" s="10">
        <v>2</v>
      </c>
    </row>
    <row r="233" spans="1:6" outlineLevel="2">
      <c r="A233" s="9" t="s">
        <v>158</v>
      </c>
      <c r="B233" s="9" t="s">
        <v>882</v>
      </c>
      <c r="C233" s="9" t="s">
        <v>871</v>
      </c>
      <c r="D233" s="10">
        <v>57</v>
      </c>
      <c r="E233" s="10" t="s">
        <v>11</v>
      </c>
      <c r="F233" s="10">
        <v>3</v>
      </c>
    </row>
    <row r="234" spans="1:6" outlineLevel="2">
      <c r="A234" s="9" t="s">
        <v>158</v>
      </c>
      <c r="B234" s="9" t="s">
        <v>161</v>
      </c>
      <c r="C234" s="9" t="s">
        <v>10</v>
      </c>
      <c r="D234" s="10">
        <v>40</v>
      </c>
      <c r="E234" s="10" t="s">
        <v>11</v>
      </c>
      <c r="F234" s="10">
        <v>3</v>
      </c>
    </row>
    <row r="235" spans="1:6" outlineLevel="2">
      <c r="A235" s="9" t="s">
        <v>158</v>
      </c>
      <c r="B235" s="9" t="s">
        <v>161</v>
      </c>
      <c r="C235" s="9" t="s">
        <v>871</v>
      </c>
      <c r="D235" s="10">
        <v>42</v>
      </c>
      <c r="E235" s="10" t="s">
        <v>11</v>
      </c>
      <c r="F235" s="10">
        <v>3</v>
      </c>
    </row>
    <row r="236" spans="1:6" outlineLevel="2">
      <c r="A236" s="9" t="s">
        <v>158</v>
      </c>
      <c r="B236" s="9" t="s">
        <v>161</v>
      </c>
      <c r="C236" s="9" t="s">
        <v>907</v>
      </c>
      <c r="D236" s="10">
        <v>40</v>
      </c>
      <c r="E236" s="10" t="s">
        <v>11</v>
      </c>
      <c r="F236" s="10">
        <v>2</v>
      </c>
    </row>
    <row r="237" spans="1:6" outlineLevel="2">
      <c r="A237" s="9" t="s">
        <v>158</v>
      </c>
      <c r="B237" s="9" t="s">
        <v>163</v>
      </c>
      <c r="C237" s="9" t="s">
        <v>10</v>
      </c>
      <c r="D237" s="10">
        <v>50</v>
      </c>
      <c r="E237" s="10" t="s">
        <v>11</v>
      </c>
      <c r="F237" s="10">
        <v>3</v>
      </c>
    </row>
    <row r="238" spans="1:6" outlineLevel="2">
      <c r="A238" s="9" t="s">
        <v>158</v>
      </c>
      <c r="B238" s="9" t="s">
        <v>884</v>
      </c>
      <c r="C238" s="9" t="s">
        <v>871</v>
      </c>
      <c r="D238" s="10">
        <v>49</v>
      </c>
      <c r="E238" s="10" t="s">
        <v>11</v>
      </c>
      <c r="F238" s="10">
        <v>3</v>
      </c>
    </row>
    <row r="239" spans="1:6" outlineLevel="2">
      <c r="A239" s="9" t="s">
        <v>158</v>
      </c>
      <c r="B239" s="9" t="s">
        <v>884</v>
      </c>
      <c r="C239" s="9" t="s">
        <v>907</v>
      </c>
      <c r="D239" s="10">
        <v>40</v>
      </c>
      <c r="E239" s="10" t="s">
        <v>11</v>
      </c>
      <c r="F239" s="10">
        <v>2</v>
      </c>
    </row>
    <row r="240" spans="1:6" outlineLevel="2">
      <c r="A240" s="9" t="s">
        <v>158</v>
      </c>
      <c r="B240" s="9" t="s">
        <v>165</v>
      </c>
      <c r="C240" s="9" t="s">
        <v>340</v>
      </c>
      <c r="D240" s="10">
        <v>53</v>
      </c>
      <c r="E240" s="10" t="s">
        <v>11</v>
      </c>
      <c r="F240" s="10">
        <v>2</v>
      </c>
    </row>
    <row r="241" spans="1:6" outlineLevel="2">
      <c r="A241" s="9" t="s">
        <v>158</v>
      </c>
      <c r="B241" s="9" t="s">
        <v>165</v>
      </c>
      <c r="C241" s="9" t="s">
        <v>10</v>
      </c>
      <c r="D241" s="10">
        <v>57</v>
      </c>
      <c r="E241" s="10" t="s">
        <v>11</v>
      </c>
      <c r="F241" s="10">
        <v>3</v>
      </c>
    </row>
    <row r="242" spans="1:6" outlineLevel="2">
      <c r="A242" s="9" t="s">
        <v>158</v>
      </c>
      <c r="B242" s="9" t="s">
        <v>165</v>
      </c>
      <c r="C242" s="9" t="s">
        <v>871</v>
      </c>
      <c r="D242" s="10">
        <v>42</v>
      </c>
      <c r="E242" s="10" t="s">
        <v>11</v>
      </c>
      <c r="F242" s="10">
        <v>3</v>
      </c>
    </row>
    <row r="243" spans="1:6" outlineLevel="2">
      <c r="A243" s="9" t="s">
        <v>158</v>
      </c>
      <c r="B243" s="9" t="s">
        <v>513</v>
      </c>
      <c r="C243" s="9" t="s">
        <v>340</v>
      </c>
      <c r="D243" s="10">
        <v>52</v>
      </c>
      <c r="E243" s="10" t="s">
        <v>11</v>
      </c>
      <c r="F243" s="10">
        <v>2</v>
      </c>
    </row>
    <row r="244" spans="1:6" outlineLevel="2">
      <c r="A244" s="9" t="s">
        <v>158</v>
      </c>
      <c r="B244" s="9" t="s">
        <v>513</v>
      </c>
      <c r="C244" s="9" t="s">
        <v>636</v>
      </c>
      <c r="D244" s="10">
        <v>50</v>
      </c>
      <c r="E244" s="10" t="s">
        <v>11</v>
      </c>
      <c r="F244" s="10">
        <v>4</v>
      </c>
    </row>
    <row r="245" spans="1:6" outlineLevel="2">
      <c r="A245" s="9" t="s">
        <v>158</v>
      </c>
      <c r="B245" s="9" t="s">
        <v>886</v>
      </c>
      <c r="C245" s="9" t="s">
        <v>871</v>
      </c>
      <c r="D245" s="10">
        <v>41</v>
      </c>
      <c r="E245" s="10" t="s">
        <v>11</v>
      </c>
      <c r="F245" s="10">
        <v>3</v>
      </c>
    </row>
    <row r="246" spans="1:6" outlineLevel="2">
      <c r="A246" s="9" t="s">
        <v>158</v>
      </c>
      <c r="B246" s="9" t="s">
        <v>167</v>
      </c>
      <c r="C246" s="9" t="s">
        <v>10</v>
      </c>
      <c r="D246" s="10">
        <v>50</v>
      </c>
      <c r="E246" s="10" t="s">
        <v>11</v>
      </c>
      <c r="F246" s="10">
        <v>3</v>
      </c>
    </row>
    <row r="247" spans="1:6" outlineLevel="2">
      <c r="A247" s="9" t="s">
        <v>158</v>
      </c>
      <c r="B247" s="9" t="s">
        <v>167</v>
      </c>
      <c r="C247" s="9" t="s">
        <v>871</v>
      </c>
      <c r="D247" s="10">
        <v>49</v>
      </c>
      <c r="E247" s="10" t="s">
        <v>11</v>
      </c>
      <c r="F247" s="10">
        <v>3</v>
      </c>
    </row>
    <row r="248" spans="1:6" outlineLevel="2">
      <c r="A248" s="9" t="s">
        <v>158</v>
      </c>
      <c r="B248" s="9" t="s">
        <v>888</v>
      </c>
      <c r="C248" s="9" t="s">
        <v>871</v>
      </c>
      <c r="D248" s="10">
        <v>45</v>
      </c>
      <c r="E248" s="10" t="s">
        <v>11</v>
      </c>
      <c r="F248" s="10">
        <v>3</v>
      </c>
    </row>
    <row r="249" spans="1:6" outlineLevel="2">
      <c r="A249" s="9" t="s">
        <v>158</v>
      </c>
      <c r="B249" s="9" t="s">
        <v>515</v>
      </c>
      <c r="C249" s="9" t="s">
        <v>340</v>
      </c>
      <c r="D249" s="10">
        <v>56</v>
      </c>
      <c r="E249" s="10" t="s">
        <v>11</v>
      </c>
      <c r="F249" s="10">
        <v>2</v>
      </c>
    </row>
    <row r="250" spans="1:6" outlineLevel="2">
      <c r="A250" s="9" t="s">
        <v>158</v>
      </c>
      <c r="B250" s="9" t="s">
        <v>515</v>
      </c>
      <c r="C250" s="9" t="s">
        <v>871</v>
      </c>
      <c r="D250" s="10">
        <v>51</v>
      </c>
      <c r="E250" s="10" t="s">
        <v>11</v>
      </c>
      <c r="F250" s="10">
        <v>3</v>
      </c>
    </row>
    <row r="251" spans="1:6" outlineLevel="2">
      <c r="A251" s="9" t="s">
        <v>158</v>
      </c>
      <c r="B251" s="9" t="s">
        <v>517</v>
      </c>
      <c r="C251" s="9" t="s">
        <v>340</v>
      </c>
      <c r="D251" s="10">
        <v>50</v>
      </c>
      <c r="E251" s="10" t="s">
        <v>11</v>
      </c>
      <c r="F251" s="10">
        <v>2</v>
      </c>
    </row>
    <row r="252" spans="1:6" outlineLevel="2">
      <c r="A252" s="9" t="s">
        <v>158</v>
      </c>
      <c r="B252" s="9" t="s">
        <v>169</v>
      </c>
      <c r="C252" s="9" t="s">
        <v>10</v>
      </c>
      <c r="D252" s="10">
        <v>43</v>
      </c>
      <c r="E252" s="10" t="s">
        <v>11</v>
      </c>
      <c r="F252" s="10">
        <v>3</v>
      </c>
    </row>
    <row r="253" spans="1:6" outlineLevel="2">
      <c r="A253" s="9" t="s">
        <v>158</v>
      </c>
      <c r="B253" s="9" t="s">
        <v>169</v>
      </c>
      <c r="C253" s="9" t="s">
        <v>871</v>
      </c>
      <c r="D253" s="10">
        <v>40</v>
      </c>
      <c r="E253" s="10" t="s">
        <v>11</v>
      </c>
      <c r="F253" s="10">
        <v>3</v>
      </c>
    </row>
    <row r="254" spans="1:6" outlineLevel="2">
      <c r="A254" s="9" t="s">
        <v>158</v>
      </c>
      <c r="B254" s="9" t="s">
        <v>169</v>
      </c>
      <c r="C254" s="9" t="s">
        <v>907</v>
      </c>
      <c r="D254" s="10">
        <v>40</v>
      </c>
      <c r="E254" s="10" t="s">
        <v>11</v>
      </c>
      <c r="F254" s="10">
        <v>2</v>
      </c>
    </row>
    <row r="255" spans="1:6" outlineLevel="1">
      <c r="A255" s="18" t="s">
        <v>1846</v>
      </c>
      <c r="B255" s="9">
        <f>SUBTOTAL(3,B216:B254)</f>
        <v>39</v>
      </c>
      <c r="C255" s="9"/>
      <c r="D255" s="10"/>
      <c r="E255" s="10"/>
      <c r="F255" s="10"/>
    </row>
    <row r="256" spans="1:6" outlineLevel="2">
      <c r="A256" s="9" t="s">
        <v>97</v>
      </c>
      <c r="B256" s="9" t="s">
        <v>98</v>
      </c>
      <c r="C256" s="9" t="s">
        <v>340</v>
      </c>
      <c r="D256" s="10">
        <v>46</v>
      </c>
      <c r="E256" s="10" t="s">
        <v>11</v>
      </c>
      <c r="F256" s="10">
        <v>2</v>
      </c>
    </row>
    <row r="257" spans="1:6" outlineLevel="2">
      <c r="A257" s="9" t="s">
        <v>97</v>
      </c>
      <c r="B257" s="9" t="s">
        <v>98</v>
      </c>
      <c r="C257" s="9" t="s">
        <v>10</v>
      </c>
      <c r="D257" s="10">
        <v>40</v>
      </c>
      <c r="E257" s="10" t="s">
        <v>11</v>
      </c>
      <c r="F257" s="10">
        <v>3</v>
      </c>
    </row>
    <row r="258" spans="1:6" outlineLevel="2">
      <c r="A258" s="9" t="s">
        <v>97</v>
      </c>
      <c r="B258" s="9" t="s">
        <v>905</v>
      </c>
      <c r="C258" s="9" t="s">
        <v>907</v>
      </c>
      <c r="D258" s="10">
        <v>50</v>
      </c>
      <c r="E258" s="10" t="s">
        <v>11</v>
      </c>
      <c r="F258" s="10">
        <v>2</v>
      </c>
    </row>
    <row r="259" spans="1:6" outlineLevel="2">
      <c r="A259" s="9" t="s">
        <v>97</v>
      </c>
      <c r="B259" s="9" t="s">
        <v>892</v>
      </c>
      <c r="C259" s="9" t="s">
        <v>871</v>
      </c>
      <c r="D259" s="10">
        <v>42</v>
      </c>
      <c r="E259" s="10" t="s">
        <v>11</v>
      </c>
      <c r="F259" s="10">
        <v>3</v>
      </c>
    </row>
    <row r="260" spans="1:6" outlineLevel="2">
      <c r="A260" s="9" t="s">
        <v>97</v>
      </c>
      <c r="B260" s="9" t="s">
        <v>100</v>
      </c>
      <c r="C260" s="9" t="s">
        <v>10</v>
      </c>
      <c r="D260" s="10">
        <v>51</v>
      </c>
      <c r="E260" s="10" t="s">
        <v>11</v>
      </c>
      <c r="F260" s="10">
        <v>3</v>
      </c>
    </row>
    <row r="261" spans="1:6" outlineLevel="2">
      <c r="A261" s="9" t="s">
        <v>97</v>
      </c>
      <c r="B261" s="9" t="s">
        <v>100</v>
      </c>
      <c r="C261" s="9" t="s">
        <v>871</v>
      </c>
      <c r="D261" s="10">
        <v>55</v>
      </c>
      <c r="E261" s="10" t="s">
        <v>11</v>
      </c>
      <c r="F261" s="10">
        <v>3</v>
      </c>
    </row>
    <row r="262" spans="1:6" outlineLevel="2">
      <c r="A262" s="9" t="s">
        <v>97</v>
      </c>
      <c r="B262" s="9" t="s">
        <v>100</v>
      </c>
      <c r="C262" s="9" t="s">
        <v>907</v>
      </c>
      <c r="D262" s="10">
        <v>41</v>
      </c>
      <c r="E262" s="10" t="s">
        <v>11</v>
      </c>
      <c r="F262" s="10">
        <v>2</v>
      </c>
    </row>
    <row r="263" spans="1:6" outlineLevel="2">
      <c r="A263" s="9" t="s">
        <v>97</v>
      </c>
      <c r="B263" s="9" t="s">
        <v>102</v>
      </c>
      <c r="C263" s="9" t="s">
        <v>10</v>
      </c>
      <c r="D263" s="10">
        <v>53</v>
      </c>
      <c r="E263" s="10" t="s">
        <v>11</v>
      </c>
      <c r="F263" s="10">
        <v>3</v>
      </c>
    </row>
    <row r="264" spans="1:6" outlineLevel="2">
      <c r="A264" s="9" t="s">
        <v>97</v>
      </c>
      <c r="B264" s="9" t="s">
        <v>102</v>
      </c>
      <c r="C264" s="9" t="s">
        <v>871</v>
      </c>
      <c r="D264" s="10">
        <v>47</v>
      </c>
      <c r="E264" s="10" t="s">
        <v>11</v>
      </c>
      <c r="F264" s="10">
        <v>3</v>
      </c>
    </row>
    <row r="265" spans="1:6" outlineLevel="2">
      <c r="A265" s="9" t="s">
        <v>97</v>
      </c>
      <c r="B265" s="9" t="s">
        <v>102</v>
      </c>
      <c r="C265" s="9" t="s">
        <v>907</v>
      </c>
      <c r="D265" s="10">
        <v>49</v>
      </c>
      <c r="E265" s="10" t="s">
        <v>11</v>
      </c>
      <c r="F265" s="10">
        <v>2</v>
      </c>
    </row>
    <row r="266" spans="1:6" outlineLevel="2">
      <c r="A266" s="9" t="s">
        <v>97</v>
      </c>
      <c r="B266" s="9" t="s">
        <v>104</v>
      </c>
      <c r="C266" s="9" t="s">
        <v>10</v>
      </c>
      <c r="D266" s="10">
        <v>45</v>
      </c>
      <c r="E266" s="10" t="s">
        <v>11</v>
      </c>
      <c r="F266" s="10">
        <v>3</v>
      </c>
    </row>
    <row r="267" spans="1:6" outlineLevel="2">
      <c r="A267" s="9" t="s">
        <v>97</v>
      </c>
      <c r="B267" s="9" t="s">
        <v>106</v>
      </c>
      <c r="C267" s="9" t="s">
        <v>10</v>
      </c>
      <c r="D267" s="10">
        <v>51</v>
      </c>
      <c r="E267" s="10" t="s">
        <v>11</v>
      </c>
      <c r="F267" s="10">
        <v>3</v>
      </c>
    </row>
    <row r="268" spans="1:6" outlineLevel="2">
      <c r="A268" s="9" t="s">
        <v>97</v>
      </c>
      <c r="B268" s="9" t="s">
        <v>108</v>
      </c>
      <c r="C268" s="9" t="s">
        <v>10</v>
      </c>
      <c r="D268" s="10">
        <v>40</v>
      </c>
      <c r="E268" s="10" t="s">
        <v>11</v>
      </c>
      <c r="F268" s="10">
        <v>3</v>
      </c>
    </row>
    <row r="269" spans="1:6" outlineLevel="2">
      <c r="A269" s="9" t="s">
        <v>97</v>
      </c>
      <c r="B269" s="9" t="s">
        <v>894</v>
      </c>
      <c r="C269" s="9" t="s">
        <v>871</v>
      </c>
      <c r="D269" s="10">
        <v>59</v>
      </c>
      <c r="E269" s="10" t="s">
        <v>11</v>
      </c>
      <c r="F269" s="10">
        <v>3</v>
      </c>
    </row>
    <row r="270" spans="1:6" outlineLevel="2">
      <c r="A270" s="9" t="s">
        <v>97</v>
      </c>
      <c r="B270" s="9" t="s">
        <v>110</v>
      </c>
      <c r="C270" s="9" t="s">
        <v>340</v>
      </c>
      <c r="D270" s="10">
        <v>33</v>
      </c>
      <c r="E270" s="10" t="s">
        <v>11</v>
      </c>
      <c r="F270" s="10">
        <v>2</v>
      </c>
    </row>
    <row r="271" spans="1:6" outlineLevel="2">
      <c r="A271" s="9" t="s">
        <v>97</v>
      </c>
      <c r="B271" s="9" t="s">
        <v>110</v>
      </c>
      <c r="C271" s="9" t="s">
        <v>10</v>
      </c>
      <c r="D271" s="10">
        <v>30</v>
      </c>
      <c r="E271" s="10" t="s">
        <v>11</v>
      </c>
      <c r="F271" s="10">
        <v>3</v>
      </c>
    </row>
    <row r="272" spans="1:6" outlineLevel="2">
      <c r="A272" s="9" t="s">
        <v>97</v>
      </c>
      <c r="B272" s="9" t="s">
        <v>110</v>
      </c>
      <c r="C272" s="9" t="s">
        <v>907</v>
      </c>
      <c r="D272" s="10">
        <v>35</v>
      </c>
      <c r="E272" s="10" t="s">
        <v>11</v>
      </c>
      <c r="F272" s="10">
        <v>2</v>
      </c>
    </row>
    <row r="273" spans="1:6" outlineLevel="2">
      <c r="A273" s="9" t="s">
        <v>97</v>
      </c>
      <c r="B273" s="9" t="s">
        <v>110</v>
      </c>
      <c r="C273" s="9" t="s">
        <v>636</v>
      </c>
      <c r="D273" s="10">
        <v>38</v>
      </c>
      <c r="E273" s="10" t="s">
        <v>11</v>
      </c>
      <c r="F273" s="10">
        <v>4</v>
      </c>
    </row>
    <row r="274" spans="1:6" outlineLevel="2">
      <c r="A274" s="9" t="s">
        <v>97</v>
      </c>
      <c r="B274" s="9" t="s">
        <v>112</v>
      </c>
      <c r="C274" s="9" t="s">
        <v>340</v>
      </c>
      <c r="D274" s="10">
        <v>46</v>
      </c>
      <c r="E274" s="10" t="s">
        <v>11</v>
      </c>
      <c r="F274" s="10">
        <v>2</v>
      </c>
    </row>
    <row r="275" spans="1:6" outlineLevel="2">
      <c r="A275" s="9" t="s">
        <v>97</v>
      </c>
      <c r="B275" s="9" t="s">
        <v>112</v>
      </c>
      <c r="C275" s="9" t="s">
        <v>10</v>
      </c>
      <c r="D275" s="10">
        <v>40</v>
      </c>
      <c r="E275" s="10" t="s">
        <v>11</v>
      </c>
      <c r="F275" s="10">
        <v>3</v>
      </c>
    </row>
    <row r="276" spans="1:6" outlineLevel="2">
      <c r="A276" s="9" t="s">
        <v>97</v>
      </c>
      <c r="B276" s="9" t="s">
        <v>114</v>
      </c>
      <c r="C276" s="9" t="s">
        <v>10</v>
      </c>
      <c r="D276" s="10">
        <v>50</v>
      </c>
      <c r="E276" s="10" t="s">
        <v>11</v>
      </c>
      <c r="F276" s="10">
        <v>3</v>
      </c>
    </row>
    <row r="277" spans="1:6" outlineLevel="2">
      <c r="A277" s="9" t="s">
        <v>97</v>
      </c>
      <c r="B277" s="9" t="s">
        <v>114</v>
      </c>
      <c r="C277" s="9" t="s">
        <v>871</v>
      </c>
      <c r="D277" s="10">
        <v>40</v>
      </c>
      <c r="E277" s="10" t="s">
        <v>11</v>
      </c>
      <c r="F277" s="10">
        <v>3</v>
      </c>
    </row>
    <row r="278" spans="1:6" outlineLevel="2">
      <c r="A278" s="9" t="s">
        <v>97</v>
      </c>
      <c r="B278" s="9" t="s">
        <v>630</v>
      </c>
      <c r="C278" s="9" t="s">
        <v>907</v>
      </c>
      <c r="D278" s="10">
        <v>45</v>
      </c>
      <c r="E278" s="10" t="s">
        <v>11</v>
      </c>
      <c r="F278" s="10">
        <v>2</v>
      </c>
    </row>
    <row r="279" spans="1:6" outlineLevel="2">
      <c r="A279" s="9" t="s">
        <v>97</v>
      </c>
      <c r="B279" s="9" t="s">
        <v>908</v>
      </c>
      <c r="C279" s="9" t="s">
        <v>907</v>
      </c>
      <c r="D279" s="10">
        <v>54</v>
      </c>
      <c r="E279" s="10" t="s">
        <v>11</v>
      </c>
      <c r="F279" s="10">
        <v>2</v>
      </c>
    </row>
    <row r="280" spans="1:6" outlineLevel="2">
      <c r="A280" s="9" t="s">
        <v>97</v>
      </c>
      <c r="B280" s="9" t="s">
        <v>519</v>
      </c>
      <c r="C280" s="9" t="s">
        <v>340</v>
      </c>
      <c r="D280" s="10">
        <v>45</v>
      </c>
      <c r="E280" s="10" t="s">
        <v>11</v>
      </c>
      <c r="F280" s="10">
        <v>2</v>
      </c>
    </row>
    <row r="281" spans="1:6" outlineLevel="2">
      <c r="A281" s="9" t="s">
        <v>97</v>
      </c>
      <c r="B281" s="9" t="s">
        <v>519</v>
      </c>
      <c r="C281" s="9" t="s">
        <v>871</v>
      </c>
      <c r="D281" s="10">
        <v>40</v>
      </c>
      <c r="E281" s="10" t="s">
        <v>11</v>
      </c>
      <c r="F281" s="10">
        <v>3</v>
      </c>
    </row>
    <row r="282" spans="1:6" outlineLevel="2">
      <c r="A282" s="9" t="s">
        <v>97</v>
      </c>
      <c r="B282" s="9" t="s">
        <v>116</v>
      </c>
      <c r="C282" s="9" t="s">
        <v>340</v>
      </c>
      <c r="D282" s="10">
        <v>44</v>
      </c>
      <c r="E282" s="10" t="s">
        <v>11</v>
      </c>
      <c r="F282" s="10">
        <v>2</v>
      </c>
    </row>
    <row r="283" spans="1:6" outlineLevel="2">
      <c r="A283" s="9" t="s">
        <v>97</v>
      </c>
      <c r="B283" s="9" t="s">
        <v>116</v>
      </c>
      <c r="C283" s="9" t="s">
        <v>10</v>
      </c>
      <c r="D283" s="10">
        <v>52</v>
      </c>
      <c r="E283" s="10" t="s">
        <v>11</v>
      </c>
      <c r="F283" s="10">
        <v>3</v>
      </c>
    </row>
    <row r="284" spans="1:6" outlineLevel="2">
      <c r="A284" s="9" t="s">
        <v>97</v>
      </c>
      <c r="B284" s="9" t="s">
        <v>118</v>
      </c>
      <c r="C284" s="9" t="s">
        <v>340</v>
      </c>
      <c r="D284" s="10">
        <v>48</v>
      </c>
      <c r="E284" s="10" t="s">
        <v>11</v>
      </c>
      <c r="F284" s="10">
        <v>2</v>
      </c>
    </row>
    <row r="285" spans="1:6" outlineLevel="2">
      <c r="A285" s="9" t="s">
        <v>97</v>
      </c>
      <c r="B285" s="9" t="s">
        <v>118</v>
      </c>
      <c r="C285" s="9" t="s">
        <v>10</v>
      </c>
      <c r="D285" s="10">
        <v>41</v>
      </c>
      <c r="E285" s="10" t="s">
        <v>11</v>
      </c>
      <c r="F285" s="10">
        <v>3</v>
      </c>
    </row>
    <row r="286" spans="1:6" outlineLevel="2">
      <c r="A286" s="9" t="s">
        <v>97</v>
      </c>
      <c r="B286" s="9" t="s">
        <v>120</v>
      </c>
      <c r="C286" s="9" t="s">
        <v>10</v>
      </c>
      <c r="D286" s="10">
        <v>56</v>
      </c>
      <c r="E286" s="10" t="s">
        <v>11</v>
      </c>
      <c r="F286" s="10">
        <v>3</v>
      </c>
    </row>
    <row r="287" spans="1:6" outlineLevel="2">
      <c r="A287" s="9" t="s">
        <v>97</v>
      </c>
      <c r="B287" s="9" t="s">
        <v>521</v>
      </c>
      <c r="C287" s="9" t="s">
        <v>340</v>
      </c>
      <c r="D287" s="10">
        <v>53</v>
      </c>
      <c r="E287" s="10" t="s">
        <v>11</v>
      </c>
      <c r="F287" s="10">
        <v>2</v>
      </c>
    </row>
    <row r="288" spans="1:6" outlineLevel="2">
      <c r="A288" s="9" t="s">
        <v>97</v>
      </c>
      <c r="B288" s="9" t="s">
        <v>632</v>
      </c>
      <c r="C288" s="9" t="s">
        <v>871</v>
      </c>
      <c r="D288" s="10">
        <v>47</v>
      </c>
      <c r="E288" s="10" t="s">
        <v>11</v>
      </c>
      <c r="F288" s="10">
        <v>3</v>
      </c>
    </row>
    <row r="289" spans="1:6" outlineLevel="2">
      <c r="A289" s="9" t="s">
        <v>97</v>
      </c>
      <c r="B289" s="9" t="s">
        <v>896</v>
      </c>
      <c r="C289" s="9" t="s">
        <v>871</v>
      </c>
      <c r="D289" s="10">
        <v>34</v>
      </c>
      <c r="E289" s="10" t="s">
        <v>11</v>
      </c>
      <c r="F289" s="10">
        <v>3</v>
      </c>
    </row>
    <row r="290" spans="1:6" outlineLevel="2">
      <c r="A290" s="9" t="s">
        <v>97</v>
      </c>
      <c r="B290" s="9" t="s">
        <v>896</v>
      </c>
      <c r="C290" s="9" t="s">
        <v>907</v>
      </c>
      <c r="D290" s="10">
        <v>38</v>
      </c>
      <c r="E290" s="10" t="s">
        <v>11</v>
      </c>
      <c r="F290" s="10">
        <v>2</v>
      </c>
    </row>
    <row r="291" spans="1:6" outlineLevel="1">
      <c r="A291" s="18" t="s">
        <v>1847</v>
      </c>
      <c r="B291" s="9">
        <f>SUBTOTAL(3,B256:B290)</f>
        <v>35</v>
      </c>
      <c r="C291" s="9"/>
      <c r="D291" s="10"/>
      <c r="E291" s="10"/>
      <c r="F291" s="10"/>
    </row>
    <row r="292" spans="1:6" outlineLevel="2">
      <c r="A292" s="9" t="s">
        <v>44</v>
      </c>
      <c r="B292" s="9" t="s">
        <v>449</v>
      </c>
      <c r="C292" s="9" t="s">
        <v>340</v>
      </c>
      <c r="D292" s="10">
        <v>46</v>
      </c>
      <c r="E292" s="10" t="s">
        <v>11</v>
      </c>
      <c r="F292" s="10">
        <v>2</v>
      </c>
    </row>
    <row r="293" spans="1:6" outlineLevel="2">
      <c r="A293" s="9" t="s">
        <v>44</v>
      </c>
      <c r="B293" s="9" t="s">
        <v>45</v>
      </c>
      <c r="C293" s="9" t="s">
        <v>340</v>
      </c>
      <c r="D293" s="10">
        <v>52</v>
      </c>
      <c r="E293" s="10" t="s">
        <v>11</v>
      </c>
      <c r="F293" s="10">
        <v>2</v>
      </c>
    </row>
    <row r="294" spans="1:6" outlineLevel="2">
      <c r="A294" s="9" t="s">
        <v>44</v>
      </c>
      <c r="B294" s="9" t="s">
        <v>45</v>
      </c>
      <c r="C294" s="9" t="s">
        <v>10</v>
      </c>
      <c r="D294" s="10">
        <v>49</v>
      </c>
      <c r="E294" s="10" t="s">
        <v>11</v>
      </c>
      <c r="F294" s="10">
        <v>3</v>
      </c>
    </row>
    <row r="295" spans="1:6" outlineLevel="2">
      <c r="A295" s="9" t="s">
        <v>44</v>
      </c>
      <c r="B295" s="9" t="s">
        <v>45</v>
      </c>
      <c r="C295" s="9" t="s">
        <v>871</v>
      </c>
      <c r="D295" s="10">
        <v>49</v>
      </c>
      <c r="E295" s="10" t="s">
        <v>11</v>
      </c>
      <c r="F295" s="10">
        <v>3</v>
      </c>
    </row>
    <row r="296" spans="1:6" outlineLevel="2">
      <c r="A296" s="9" t="s">
        <v>44</v>
      </c>
      <c r="B296" s="9" t="s">
        <v>608</v>
      </c>
      <c r="C296" s="9" t="s">
        <v>871</v>
      </c>
      <c r="D296" s="10">
        <v>40</v>
      </c>
      <c r="E296" s="10" t="s">
        <v>11</v>
      </c>
      <c r="F296" s="10">
        <v>3</v>
      </c>
    </row>
    <row r="297" spans="1:6" outlineLevel="2">
      <c r="A297" s="9" t="s">
        <v>44</v>
      </c>
      <c r="B297" s="9" t="s">
        <v>608</v>
      </c>
      <c r="C297" s="9" t="s">
        <v>907</v>
      </c>
      <c r="D297" s="10">
        <v>40</v>
      </c>
      <c r="E297" s="10" t="s">
        <v>11</v>
      </c>
      <c r="F297" s="10">
        <v>2</v>
      </c>
    </row>
    <row r="298" spans="1:6" outlineLevel="2">
      <c r="A298" s="9" t="s">
        <v>44</v>
      </c>
      <c r="B298" s="9" t="s">
        <v>890</v>
      </c>
      <c r="C298" s="9" t="s">
        <v>871</v>
      </c>
      <c r="D298" s="10">
        <v>39</v>
      </c>
      <c r="E298" s="10" t="s">
        <v>11</v>
      </c>
      <c r="F298" s="10">
        <v>3</v>
      </c>
    </row>
    <row r="299" spans="1:6" outlineLevel="2">
      <c r="A299" s="9" t="s">
        <v>44</v>
      </c>
      <c r="B299" s="9" t="s">
        <v>451</v>
      </c>
      <c r="C299" s="9" t="s">
        <v>340</v>
      </c>
      <c r="D299" s="10">
        <v>49</v>
      </c>
      <c r="E299" s="10" t="s">
        <v>11</v>
      </c>
      <c r="F299" s="10">
        <v>2</v>
      </c>
    </row>
    <row r="300" spans="1:6" outlineLevel="2">
      <c r="A300" s="9" t="s">
        <v>44</v>
      </c>
      <c r="B300" s="9" t="s">
        <v>47</v>
      </c>
      <c r="C300" s="9" t="s">
        <v>10</v>
      </c>
      <c r="D300" s="10">
        <v>54</v>
      </c>
      <c r="E300" s="10" t="s">
        <v>11</v>
      </c>
      <c r="F300" s="10">
        <v>3</v>
      </c>
    </row>
    <row r="301" spans="1:6" outlineLevel="2">
      <c r="A301" s="9" t="s">
        <v>44</v>
      </c>
      <c r="B301" s="9" t="s">
        <v>49</v>
      </c>
      <c r="C301" s="9" t="s">
        <v>10</v>
      </c>
      <c r="D301" s="10">
        <v>52</v>
      </c>
      <c r="E301" s="10" t="s">
        <v>11</v>
      </c>
      <c r="F301" s="10">
        <v>3</v>
      </c>
    </row>
    <row r="302" spans="1:6" outlineLevel="2">
      <c r="A302" s="9" t="s">
        <v>44</v>
      </c>
      <c r="B302" s="9" t="s">
        <v>610</v>
      </c>
      <c r="C302" s="9" t="s">
        <v>871</v>
      </c>
      <c r="D302" s="10">
        <v>54</v>
      </c>
      <c r="E302" s="10" t="s">
        <v>11</v>
      </c>
      <c r="F302" s="10">
        <v>3</v>
      </c>
    </row>
    <row r="303" spans="1:6" outlineLevel="2">
      <c r="A303" s="9" t="s">
        <v>44</v>
      </c>
      <c r="B303" s="9" t="s">
        <v>610</v>
      </c>
      <c r="C303" s="9" t="s">
        <v>907</v>
      </c>
      <c r="D303" s="10">
        <v>40</v>
      </c>
      <c r="E303" s="10" t="s">
        <v>11</v>
      </c>
      <c r="F303" s="10">
        <v>2</v>
      </c>
    </row>
    <row r="304" spans="1:6" outlineLevel="2">
      <c r="A304" s="9" t="s">
        <v>44</v>
      </c>
      <c r="B304" s="9" t="s">
        <v>610</v>
      </c>
      <c r="C304" s="9" t="s">
        <v>636</v>
      </c>
      <c r="D304" s="10">
        <v>40</v>
      </c>
      <c r="E304" s="10" t="s">
        <v>11</v>
      </c>
      <c r="F304" s="10">
        <v>4</v>
      </c>
    </row>
    <row r="305" spans="1:6" outlineLevel="2">
      <c r="A305" s="9" t="s">
        <v>44</v>
      </c>
      <c r="B305" s="9" t="s">
        <v>51</v>
      </c>
      <c r="C305" s="9" t="s">
        <v>828</v>
      </c>
      <c r="D305" s="10">
        <v>47</v>
      </c>
      <c r="E305" s="10" t="s">
        <v>11</v>
      </c>
      <c r="F305" s="10">
        <v>1</v>
      </c>
    </row>
    <row r="306" spans="1:6" outlineLevel="2">
      <c r="A306" s="9" t="s">
        <v>44</v>
      </c>
      <c r="B306" s="9" t="s">
        <v>51</v>
      </c>
      <c r="C306" s="9" t="s">
        <v>10</v>
      </c>
      <c r="D306" s="10">
        <v>46</v>
      </c>
      <c r="E306" s="10" t="s">
        <v>11</v>
      </c>
      <c r="F306" s="10">
        <v>3</v>
      </c>
    </row>
    <row r="307" spans="1:6" outlineLevel="2">
      <c r="A307" s="9" t="s">
        <v>44</v>
      </c>
      <c r="B307" s="9" t="s">
        <v>51</v>
      </c>
      <c r="C307" s="9" t="s">
        <v>871</v>
      </c>
      <c r="D307" s="10">
        <v>43</v>
      </c>
      <c r="E307" s="10" t="s">
        <v>11</v>
      </c>
      <c r="F307" s="10">
        <v>3</v>
      </c>
    </row>
    <row r="308" spans="1:6" outlineLevel="2">
      <c r="A308" s="9" t="s">
        <v>44</v>
      </c>
      <c r="B308" s="9" t="s">
        <v>51</v>
      </c>
      <c r="C308" s="9" t="s">
        <v>907</v>
      </c>
      <c r="D308" s="10">
        <v>41</v>
      </c>
      <c r="E308" s="10" t="s">
        <v>11</v>
      </c>
      <c r="F308" s="10">
        <v>2</v>
      </c>
    </row>
    <row r="309" spans="1:6" outlineLevel="2">
      <c r="A309" s="9" t="s">
        <v>44</v>
      </c>
      <c r="B309" s="9" t="s">
        <v>51</v>
      </c>
      <c r="C309" s="9" t="s">
        <v>636</v>
      </c>
      <c r="D309" s="10">
        <v>40</v>
      </c>
      <c r="E309" s="10" t="s">
        <v>11</v>
      </c>
      <c r="F309" s="10">
        <v>4</v>
      </c>
    </row>
    <row r="310" spans="1:6" outlineLevel="2">
      <c r="A310" s="9" t="s">
        <v>44</v>
      </c>
      <c r="B310" s="9" t="s">
        <v>910</v>
      </c>
      <c r="C310" s="9" t="s">
        <v>907</v>
      </c>
      <c r="D310" s="10">
        <v>40</v>
      </c>
      <c r="E310" s="10" t="s">
        <v>11</v>
      </c>
      <c r="F310" s="10">
        <v>2</v>
      </c>
    </row>
    <row r="311" spans="1:6" outlineLevel="2">
      <c r="A311" s="9" t="s">
        <v>44</v>
      </c>
      <c r="B311" s="9" t="s">
        <v>53</v>
      </c>
      <c r="C311" s="9" t="s">
        <v>340</v>
      </c>
      <c r="D311" s="10">
        <v>44</v>
      </c>
      <c r="E311" s="10" t="s">
        <v>11</v>
      </c>
      <c r="F311" s="10">
        <v>2</v>
      </c>
    </row>
    <row r="312" spans="1:6" outlineLevel="2">
      <c r="A312" s="9" t="s">
        <v>44</v>
      </c>
      <c r="B312" s="9" t="s">
        <v>53</v>
      </c>
      <c r="C312" s="9" t="s">
        <v>10</v>
      </c>
      <c r="D312" s="10">
        <v>51</v>
      </c>
      <c r="E312" s="10" t="s">
        <v>11</v>
      </c>
      <c r="F312" s="10">
        <v>3</v>
      </c>
    </row>
    <row r="313" spans="1:6" outlineLevel="2">
      <c r="A313" s="9" t="s">
        <v>44</v>
      </c>
      <c r="B313" s="9" t="s">
        <v>681</v>
      </c>
      <c r="C313" s="9" t="s">
        <v>871</v>
      </c>
      <c r="D313" s="10">
        <v>41</v>
      </c>
      <c r="E313" s="10" t="s">
        <v>11</v>
      </c>
      <c r="F313" s="10">
        <v>3</v>
      </c>
    </row>
    <row r="314" spans="1:6" outlineLevel="2">
      <c r="A314" s="9" t="s">
        <v>44</v>
      </c>
      <c r="B314" s="9" t="s">
        <v>681</v>
      </c>
      <c r="C314" s="9" t="s">
        <v>907</v>
      </c>
      <c r="D314" s="10">
        <v>40</v>
      </c>
      <c r="E314" s="10" t="s">
        <v>11</v>
      </c>
      <c r="F314" s="10">
        <v>2</v>
      </c>
    </row>
    <row r="315" spans="1:6" outlineLevel="2">
      <c r="A315" s="9" t="s">
        <v>44</v>
      </c>
      <c r="B315" s="9" t="s">
        <v>681</v>
      </c>
      <c r="C315" s="9" t="s">
        <v>636</v>
      </c>
      <c r="D315" s="10">
        <v>48</v>
      </c>
      <c r="E315" s="10" t="s">
        <v>11</v>
      </c>
      <c r="F315" s="10">
        <v>4</v>
      </c>
    </row>
    <row r="316" spans="1:6" outlineLevel="2">
      <c r="A316" s="9" t="s">
        <v>44</v>
      </c>
      <c r="B316" s="9" t="s">
        <v>453</v>
      </c>
      <c r="C316" s="9" t="s">
        <v>340</v>
      </c>
      <c r="D316" s="10">
        <v>53</v>
      </c>
      <c r="E316" s="10" t="s">
        <v>11</v>
      </c>
      <c r="F316" s="10">
        <v>2</v>
      </c>
    </row>
    <row r="317" spans="1:6" outlineLevel="2">
      <c r="A317" s="9" t="s">
        <v>44</v>
      </c>
      <c r="B317" s="9" t="s">
        <v>683</v>
      </c>
      <c r="C317" s="9" t="s">
        <v>636</v>
      </c>
      <c r="D317" s="10">
        <v>52</v>
      </c>
      <c r="E317" s="10" t="s">
        <v>11</v>
      </c>
      <c r="F317" s="10">
        <v>4</v>
      </c>
    </row>
    <row r="318" spans="1:6" outlineLevel="2">
      <c r="A318" s="9" t="s">
        <v>44</v>
      </c>
      <c r="B318" s="9" t="s">
        <v>455</v>
      </c>
      <c r="C318" s="9" t="s">
        <v>340</v>
      </c>
      <c r="D318" s="10">
        <v>52</v>
      </c>
      <c r="E318" s="10" t="s">
        <v>11</v>
      </c>
      <c r="F318" s="10">
        <v>2</v>
      </c>
    </row>
    <row r="319" spans="1:6" outlineLevel="2">
      <c r="A319" s="9" t="s">
        <v>44</v>
      </c>
      <c r="B319" s="9" t="s">
        <v>455</v>
      </c>
      <c r="C319" s="9" t="s">
        <v>871</v>
      </c>
      <c r="D319" s="10">
        <v>55</v>
      </c>
      <c r="E319" s="10" t="s">
        <v>11</v>
      </c>
      <c r="F319" s="10">
        <v>3</v>
      </c>
    </row>
    <row r="320" spans="1:6" outlineLevel="2">
      <c r="A320" s="9" t="s">
        <v>44</v>
      </c>
      <c r="B320" s="9" t="s">
        <v>457</v>
      </c>
      <c r="C320" s="9" t="s">
        <v>340</v>
      </c>
      <c r="D320" s="10">
        <v>56</v>
      </c>
      <c r="E320" s="10" t="s">
        <v>11</v>
      </c>
      <c r="F320" s="10">
        <v>2</v>
      </c>
    </row>
    <row r="321" spans="1:6" outlineLevel="2">
      <c r="A321" s="9" t="s">
        <v>44</v>
      </c>
      <c r="B321" s="9" t="s">
        <v>457</v>
      </c>
      <c r="C321" s="9" t="s">
        <v>871</v>
      </c>
      <c r="D321" s="10">
        <v>44</v>
      </c>
      <c r="E321" s="10" t="s">
        <v>11</v>
      </c>
      <c r="F321" s="10">
        <v>3</v>
      </c>
    </row>
    <row r="322" spans="1:6" outlineLevel="2">
      <c r="A322" s="9" t="s">
        <v>44</v>
      </c>
      <c r="B322" s="9" t="s">
        <v>459</v>
      </c>
      <c r="C322" s="9" t="s">
        <v>340</v>
      </c>
      <c r="D322" s="10">
        <v>55</v>
      </c>
      <c r="E322" s="10" t="s">
        <v>11</v>
      </c>
      <c r="F322" s="10">
        <v>2</v>
      </c>
    </row>
    <row r="323" spans="1:6" outlineLevel="2">
      <c r="A323" s="9" t="s">
        <v>44</v>
      </c>
      <c r="B323" s="9" t="s">
        <v>459</v>
      </c>
      <c r="C323" s="9" t="s">
        <v>871</v>
      </c>
      <c r="D323" s="10">
        <v>52</v>
      </c>
      <c r="E323" s="10" t="s">
        <v>11</v>
      </c>
      <c r="F323" s="10">
        <v>3</v>
      </c>
    </row>
    <row r="324" spans="1:6" outlineLevel="2">
      <c r="A324" s="9" t="s">
        <v>44</v>
      </c>
      <c r="B324" s="9" t="s">
        <v>55</v>
      </c>
      <c r="C324" s="9" t="s">
        <v>10</v>
      </c>
      <c r="D324" s="10">
        <v>47</v>
      </c>
      <c r="E324" s="10" t="s">
        <v>11</v>
      </c>
      <c r="F324" s="10">
        <v>3</v>
      </c>
    </row>
    <row r="325" spans="1:6" outlineLevel="2">
      <c r="A325" s="9" t="s">
        <v>44</v>
      </c>
      <c r="B325" s="9" t="s">
        <v>57</v>
      </c>
      <c r="C325" s="9" t="s">
        <v>10</v>
      </c>
      <c r="D325" s="10">
        <v>56</v>
      </c>
      <c r="E325" s="10" t="s">
        <v>11</v>
      </c>
      <c r="F325" s="10">
        <v>3</v>
      </c>
    </row>
    <row r="326" spans="1:6" outlineLevel="2">
      <c r="A326" s="9" t="s">
        <v>44</v>
      </c>
      <c r="B326" s="9" t="s">
        <v>685</v>
      </c>
      <c r="C326" s="9" t="s">
        <v>871</v>
      </c>
      <c r="D326" s="10">
        <v>48</v>
      </c>
      <c r="E326" s="10" t="s">
        <v>11</v>
      </c>
      <c r="F326" s="10">
        <v>3</v>
      </c>
    </row>
    <row r="327" spans="1:6" outlineLevel="2">
      <c r="A327" s="9" t="s">
        <v>44</v>
      </c>
      <c r="B327" s="9" t="s">
        <v>685</v>
      </c>
      <c r="C327" s="9" t="s">
        <v>636</v>
      </c>
      <c r="D327" s="10">
        <v>52</v>
      </c>
      <c r="E327" s="10" t="s">
        <v>11</v>
      </c>
      <c r="F327" s="10">
        <v>4</v>
      </c>
    </row>
    <row r="328" spans="1:6" outlineLevel="2">
      <c r="A328" s="9" t="s">
        <v>44</v>
      </c>
      <c r="B328" s="9" t="s">
        <v>59</v>
      </c>
      <c r="C328" s="9" t="s">
        <v>340</v>
      </c>
      <c r="D328" s="10">
        <v>54</v>
      </c>
      <c r="E328" s="10" t="s">
        <v>11</v>
      </c>
      <c r="F328" s="10">
        <v>2</v>
      </c>
    </row>
    <row r="329" spans="1:6" outlineLevel="2">
      <c r="A329" s="9" t="s">
        <v>44</v>
      </c>
      <c r="B329" s="9" t="s">
        <v>59</v>
      </c>
      <c r="C329" s="9" t="s">
        <v>10</v>
      </c>
      <c r="D329" s="10">
        <v>53</v>
      </c>
      <c r="E329" s="10" t="s">
        <v>11</v>
      </c>
      <c r="F329" s="10">
        <v>3</v>
      </c>
    </row>
    <row r="330" spans="1:6" outlineLevel="2">
      <c r="A330" s="9" t="s">
        <v>44</v>
      </c>
      <c r="B330" s="9" t="s">
        <v>59</v>
      </c>
      <c r="C330" s="9" t="s">
        <v>871</v>
      </c>
      <c r="D330" s="10">
        <v>56</v>
      </c>
      <c r="E330" s="10" t="s">
        <v>11</v>
      </c>
      <c r="F330" s="10">
        <v>3</v>
      </c>
    </row>
    <row r="331" spans="1:6" outlineLevel="2">
      <c r="A331" s="9" t="s">
        <v>44</v>
      </c>
      <c r="B331" s="9" t="s">
        <v>59</v>
      </c>
      <c r="C331" s="9" t="s">
        <v>636</v>
      </c>
      <c r="D331" s="10">
        <v>47</v>
      </c>
      <c r="E331" s="10" t="s">
        <v>11</v>
      </c>
      <c r="F331" s="10">
        <v>4</v>
      </c>
    </row>
    <row r="332" spans="1:6" outlineLevel="2">
      <c r="A332" s="9" t="s">
        <v>44</v>
      </c>
      <c r="B332" s="9" t="s">
        <v>61</v>
      </c>
      <c r="C332" s="9" t="s">
        <v>10</v>
      </c>
      <c r="D332" s="10">
        <v>53</v>
      </c>
      <c r="E332" s="10" t="s">
        <v>11</v>
      </c>
      <c r="F332" s="10">
        <v>3</v>
      </c>
    </row>
    <row r="333" spans="1:6" outlineLevel="2">
      <c r="A333" s="9" t="s">
        <v>44</v>
      </c>
      <c r="B333" s="9" t="s">
        <v>61</v>
      </c>
      <c r="C333" s="9" t="s">
        <v>907</v>
      </c>
      <c r="D333" s="10">
        <v>40</v>
      </c>
      <c r="E333" s="10" t="s">
        <v>11</v>
      </c>
      <c r="F333" s="10">
        <v>2</v>
      </c>
    </row>
    <row r="334" spans="1:6" outlineLevel="2">
      <c r="A334" s="9" t="s">
        <v>44</v>
      </c>
      <c r="B334" s="9" t="s">
        <v>61</v>
      </c>
      <c r="C334" s="9" t="s">
        <v>636</v>
      </c>
      <c r="D334" s="10">
        <v>54</v>
      </c>
      <c r="E334" s="10" t="s">
        <v>11</v>
      </c>
      <c r="F334" s="10">
        <v>4</v>
      </c>
    </row>
    <row r="335" spans="1:6" outlineLevel="2">
      <c r="A335" s="9" t="s">
        <v>44</v>
      </c>
      <c r="B335" s="9" t="s">
        <v>63</v>
      </c>
      <c r="C335" s="9" t="s">
        <v>10</v>
      </c>
      <c r="D335" s="10">
        <v>56</v>
      </c>
      <c r="E335" s="10" t="s">
        <v>11</v>
      </c>
      <c r="F335" s="10">
        <v>3</v>
      </c>
    </row>
    <row r="336" spans="1:6" outlineLevel="2">
      <c r="A336" s="9" t="s">
        <v>44</v>
      </c>
      <c r="B336" s="9" t="s">
        <v>63</v>
      </c>
      <c r="C336" s="9" t="s">
        <v>871</v>
      </c>
      <c r="D336" s="10">
        <v>43</v>
      </c>
      <c r="E336" s="10" t="s">
        <v>11</v>
      </c>
      <c r="F336" s="10">
        <v>3</v>
      </c>
    </row>
    <row r="337" spans="1:6" outlineLevel="2">
      <c r="A337" s="9" t="s">
        <v>44</v>
      </c>
      <c r="B337" s="9" t="s">
        <v>63</v>
      </c>
      <c r="C337" s="9" t="s">
        <v>636</v>
      </c>
      <c r="D337" s="10">
        <v>53</v>
      </c>
      <c r="E337" s="10" t="s">
        <v>11</v>
      </c>
      <c r="F337" s="10">
        <v>4</v>
      </c>
    </row>
    <row r="338" spans="1:6" outlineLevel="2">
      <c r="A338" s="9" t="s">
        <v>44</v>
      </c>
      <c r="B338" s="9" t="s">
        <v>461</v>
      </c>
      <c r="C338" s="9" t="s">
        <v>340</v>
      </c>
      <c r="D338" s="10">
        <v>52</v>
      </c>
      <c r="E338" s="10" t="s">
        <v>11</v>
      </c>
      <c r="F338" s="10">
        <v>2</v>
      </c>
    </row>
    <row r="339" spans="1:6" outlineLevel="2">
      <c r="A339" s="9" t="s">
        <v>44</v>
      </c>
      <c r="B339" s="9" t="s">
        <v>461</v>
      </c>
      <c r="C339" s="9" t="s">
        <v>871</v>
      </c>
      <c r="D339" s="10">
        <v>51</v>
      </c>
      <c r="E339" s="10" t="s">
        <v>11</v>
      </c>
      <c r="F339" s="10">
        <v>3</v>
      </c>
    </row>
    <row r="340" spans="1:6" outlineLevel="2">
      <c r="A340" s="9" t="s">
        <v>44</v>
      </c>
      <c r="B340" s="9" t="s">
        <v>461</v>
      </c>
      <c r="C340" s="9" t="s">
        <v>636</v>
      </c>
      <c r="D340" s="10">
        <v>50</v>
      </c>
      <c r="E340" s="10" t="s">
        <v>11</v>
      </c>
      <c r="F340" s="10">
        <v>4</v>
      </c>
    </row>
    <row r="341" spans="1:6" outlineLevel="1">
      <c r="A341" s="18" t="s">
        <v>1848</v>
      </c>
      <c r="B341" s="9">
        <f>SUBTOTAL(3,B292:B340)</f>
        <v>49</v>
      </c>
      <c r="C341" s="9"/>
      <c r="D341" s="10"/>
      <c r="E341" s="10"/>
      <c r="F341" s="10"/>
    </row>
    <row r="342" spans="1:6" outlineLevel="2">
      <c r="A342" s="9" t="s">
        <v>217</v>
      </c>
      <c r="B342" s="9" t="s">
        <v>775</v>
      </c>
      <c r="C342" s="9" t="s">
        <v>712</v>
      </c>
      <c r="D342" s="10">
        <v>53</v>
      </c>
      <c r="E342" s="10" t="s">
        <v>11</v>
      </c>
      <c r="F342" s="10">
        <v>2</v>
      </c>
    </row>
    <row r="343" spans="1:6" outlineLevel="2">
      <c r="A343" s="9" t="s">
        <v>217</v>
      </c>
      <c r="B343" s="9" t="s">
        <v>367</v>
      </c>
      <c r="C343" s="9" t="s">
        <v>340</v>
      </c>
      <c r="D343" s="10">
        <v>48</v>
      </c>
      <c r="E343" s="10" t="s">
        <v>11</v>
      </c>
      <c r="F343" s="10">
        <v>2</v>
      </c>
    </row>
    <row r="344" spans="1:6" outlineLevel="2">
      <c r="A344" s="9" t="s">
        <v>217</v>
      </c>
      <c r="B344" s="9" t="s">
        <v>369</v>
      </c>
      <c r="C344" s="9" t="s">
        <v>340</v>
      </c>
      <c r="D344" s="10">
        <v>56</v>
      </c>
      <c r="E344" s="10" t="s">
        <v>11</v>
      </c>
      <c r="F344" s="10">
        <v>2</v>
      </c>
    </row>
    <row r="345" spans="1:6" outlineLevel="2">
      <c r="A345" s="9" t="s">
        <v>217</v>
      </c>
      <c r="B345" s="9" t="s">
        <v>218</v>
      </c>
      <c r="C345" s="9" t="s">
        <v>10</v>
      </c>
      <c r="D345" s="10">
        <v>55</v>
      </c>
      <c r="E345" s="10" t="s">
        <v>11</v>
      </c>
      <c r="F345" s="10">
        <v>3</v>
      </c>
    </row>
    <row r="346" spans="1:6" outlineLevel="2">
      <c r="A346" s="9" t="s">
        <v>217</v>
      </c>
      <c r="B346" s="9" t="s">
        <v>220</v>
      </c>
      <c r="C346" s="9" t="s">
        <v>340</v>
      </c>
      <c r="D346" s="10">
        <v>40</v>
      </c>
      <c r="E346" s="10" t="s">
        <v>11</v>
      </c>
      <c r="F346" s="10">
        <v>2</v>
      </c>
    </row>
    <row r="347" spans="1:6" outlineLevel="2">
      <c r="A347" s="9" t="s">
        <v>217</v>
      </c>
      <c r="B347" s="9" t="s">
        <v>220</v>
      </c>
      <c r="C347" s="9" t="s">
        <v>10</v>
      </c>
      <c r="D347" s="10">
        <v>54</v>
      </c>
      <c r="E347" s="10" t="s">
        <v>11</v>
      </c>
      <c r="F347" s="10">
        <v>3</v>
      </c>
    </row>
    <row r="348" spans="1:6" outlineLevel="2">
      <c r="A348" s="9" t="s">
        <v>217</v>
      </c>
      <c r="B348" s="9" t="s">
        <v>220</v>
      </c>
      <c r="C348" s="9" t="s">
        <v>636</v>
      </c>
      <c r="D348" s="10">
        <v>40</v>
      </c>
      <c r="E348" s="10" t="s">
        <v>11</v>
      </c>
      <c r="F348" s="10">
        <v>4</v>
      </c>
    </row>
    <row r="349" spans="1:6" outlineLevel="2">
      <c r="A349" s="9" t="s">
        <v>217</v>
      </c>
      <c r="B349" s="9" t="s">
        <v>220</v>
      </c>
      <c r="C349" s="9" t="s">
        <v>838</v>
      </c>
      <c r="D349" s="10">
        <v>40</v>
      </c>
      <c r="E349" s="10" t="s">
        <v>11</v>
      </c>
      <c r="F349" s="10">
        <v>2</v>
      </c>
    </row>
    <row r="350" spans="1:6" outlineLevel="2">
      <c r="A350" s="9" t="s">
        <v>217</v>
      </c>
      <c r="B350" s="9" t="s">
        <v>371</v>
      </c>
      <c r="C350" s="9" t="s">
        <v>340</v>
      </c>
      <c r="D350" s="10">
        <v>46</v>
      </c>
      <c r="E350" s="10" t="s">
        <v>11</v>
      </c>
      <c r="F350" s="10">
        <v>2</v>
      </c>
    </row>
    <row r="351" spans="1:6" outlineLevel="2">
      <c r="A351" s="9" t="s">
        <v>217</v>
      </c>
      <c r="B351" s="9" t="s">
        <v>373</v>
      </c>
      <c r="C351" s="9" t="s">
        <v>712</v>
      </c>
      <c r="D351" s="10">
        <v>57</v>
      </c>
      <c r="E351" s="10" t="s">
        <v>11</v>
      </c>
      <c r="F351" s="10">
        <v>2</v>
      </c>
    </row>
    <row r="352" spans="1:6" outlineLevel="2">
      <c r="A352" s="9" t="s">
        <v>217</v>
      </c>
      <c r="B352" s="9" t="s">
        <v>373</v>
      </c>
      <c r="C352" s="9" t="s">
        <v>340</v>
      </c>
      <c r="D352" s="10">
        <v>40</v>
      </c>
      <c r="E352" s="10" t="s">
        <v>11</v>
      </c>
      <c r="F352" s="10">
        <v>2</v>
      </c>
    </row>
    <row r="353" spans="1:6" outlineLevel="2">
      <c r="A353" s="9" t="s">
        <v>217</v>
      </c>
      <c r="B353" s="9" t="s">
        <v>375</v>
      </c>
      <c r="C353" s="9" t="s">
        <v>340</v>
      </c>
      <c r="D353" s="10">
        <v>52</v>
      </c>
      <c r="E353" s="10" t="s">
        <v>11</v>
      </c>
      <c r="F353" s="10">
        <v>2</v>
      </c>
    </row>
    <row r="354" spans="1:6" outlineLevel="2">
      <c r="A354" s="9" t="s">
        <v>217</v>
      </c>
      <c r="B354" s="9" t="s">
        <v>848</v>
      </c>
      <c r="C354" s="9" t="s">
        <v>838</v>
      </c>
      <c r="D354" s="10">
        <v>43</v>
      </c>
      <c r="E354" s="10" t="s">
        <v>11</v>
      </c>
      <c r="F354" s="10">
        <v>2</v>
      </c>
    </row>
    <row r="355" spans="1:6" outlineLevel="2">
      <c r="A355" s="9" t="s">
        <v>217</v>
      </c>
      <c r="B355" s="9" t="s">
        <v>377</v>
      </c>
      <c r="C355" s="9" t="s">
        <v>340</v>
      </c>
      <c r="D355" s="10">
        <v>49</v>
      </c>
      <c r="E355" s="10" t="s">
        <v>11</v>
      </c>
      <c r="F355" s="10">
        <v>2</v>
      </c>
    </row>
    <row r="356" spans="1:6" outlineLevel="2">
      <c r="A356" s="9" t="s">
        <v>217</v>
      </c>
      <c r="B356" s="9" t="s">
        <v>379</v>
      </c>
      <c r="C356" s="9" t="s">
        <v>340</v>
      </c>
      <c r="D356" s="10">
        <v>42</v>
      </c>
      <c r="E356" s="10" t="s">
        <v>11</v>
      </c>
      <c r="F356" s="10">
        <v>2</v>
      </c>
    </row>
    <row r="357" spans="1:6" outlineLevel="2">
      <c r="A357" s="9" t="s">
        <v>217</v>
      </c>
      <c r="B357" s="9" t="s">
        <v>222</v>
      </c>
      <c r="C357" s="9" t="s">
        <v>340</v>
      </c>
      <c r="D357" s="10">
        <v>56</v>
      </c>
      <c r="E357" s="10" t="s">
        <v>11</v>
      </c>
      <c r="F357" s="10">
        <v>2</v>
      </c>
    </row>
    <row r="358" spans="1:6" outlineLevel="2">
      <c r="A358" s="9" t="s">
        <v>217</v>
      </c>
      <c r="B358" s="9" t="s">
        <v>222</v>
      </c>
      <c r="C358" s="9" t="s">
        <v>10</v>
      </c>
      <c r="D358" s="10">
        <v>55</v>
      </c>
      <c r="E358" s="10" t="s">
        <v>11</v>
      </c>
      <c r="F358" s="10">
        <v>3</v>
      </c>
    </row>
    <row r="359" spans="1:6" outlineLevel="2">
      <c r="A359" s="9" t="s">
        <v>217</v>
      </c>
      <c r="B359" s="9" t="s">
        <v>224</v>
      </c>
      <c r="C359" s="9" t="s">
        <v>340</v>
      </c>
      <c r="D359" s="10">
        <v>48</v>
      </c>
      <c r="E359" s="10" t="s">
        <v>11</v>
      </c>
      <c r="F359" s="10">
        <v>2</v>
      </c>
    </row>
    <row r="360" spans="1:6" outlineLevel="2">
      <c r="A360" s="9" t="s">
        <v>217</v>
      </c>
      <c r="B360" s="9" t="s">
        <v>224</v>
      </c>
      <c r="C360" s="9" t="s">
        <v>10</v>
      </c>
      <c r="D360" s="10">
        <v>52</v>
      </c>
      <c r="E360" s="10" t="s">
        <v>11</v>
      </c>
      <c r="F360" s="10">
        <v>3</v>
      </c>
    </row>
    <row r="361" spans="1:6" outlineLevel="2">
      <c r="A361" s="9" t="s">
        <v>217</v>
      </c>
      <c r="B361" s="9" t="s">
        <v>224</v>
      </c>
      <c r="C361" s="9" t="s">
        <v>636</v>
      </c>
      <c r="D361" s="10">
        <v>51</v>
      </c>
      <c r="E361" s="10" t="s">
        <v>11</v>
      </c>
      <c r="F361" s="10">
        <v>4</v>
      </c>
    </row>
    <row r="362" spans="1:6" outlineLevel="2">
      <c r="A362" s="9" t="s">
        <v>217</v>
      </c>
      <c r="B362" s="9" t="s">
        <v>381</v>
      </c>
      <c r="C362" s="9" t="s">
        <v>340</v>
      </c>
      <c r="D362" s="10">
        <v>55</v>
      </c>
      <c r="E362" s="10" t="s">
        <v>11</v>
      </c>
      <c r="F362" s="10">
        <v>2</v>
      </c>
    </row>
    <row r="363" spans="1:6" outlineLevel="2">
      <c r="A363" s="9" t="s">
        <v>217</v>
      </c>
      <c r="B363" s="9" t="s">
        <v>381</v>
      </c>
      <c r="C363" s="9" t="s">
        <v>838</v>
      </c>
      <c r="D363" s="10">
        <v>40</v>
      </c>
      <c r="E363" s="10" t="s">
        <v>11</v>
      </c>
      <c r="F363" s="10">
        <v>2</v>
      </c>
    </row>
    <row r="364" spans="1:6" outlineLevel="2">
      <c r="A364" s="9" t="s">
        <v>217</v>
      </c>
      <c r="B364" s="9" t="s">
        <v>675</v>
      </c>
      <c r="C364" s="9" t="s">
        <v>636</v>
      </c>
      <c r="D364" s="10">
        <v>31</v>
      </c>
      <c r="E364" s="10" t="s">
        <v>11</v>
      </c>
      <c r="F364" s="10">
        <v>4</v>
      </c>
    </row>
    <row r="365" spans="1:6" outlineLevel="2">
      <c r="A365" s="9" t="s">
        <v>217</v>
      </c>
      <c r="B365" s="9" t="s">
        <v>383</v>
      </c>
      <c r="C365" s="9" t="s">
        <v>712</v>
      </c>
      <c r="D365" s="10">
        <v>58</v>
      </c>
      <c r="E365" s="10" t="s">
        <v>11</v>
      </c>
      <c r="F365" s="10">
        <v>2</v>
      </c>
    </row>
    <row r="366" spans="1:6" outlineLevel="2">
      <c r="A366" s="9" t="s">
        <v>217</v>
      </c>
      <c r="B366" s="9" t="s">
        <v>383</v>
      </c>
      <c r="C366" s="9" t="s">
        <v>340</v>
      </c>
      <c r="D366" s="10">
        <v>48</v>
      </c>
      <c r="E366" s="10" t="s">
        <v>11</v>
      </c>
      <c r="F366" s="10">
        <v>2</v>
      </c>
    </row>
    <row r="367" spans="1:6" outlineLevel="2">
      <c r="A367" s="9" t="s">
        <v>217</v>
      </c>
      <c r="B367" s="9" t="s">
        <v>801</v>
      </c>
      <c r="C367" s="9" t="s">
        <v>838</v>
      </c>
      <c r="D367" s="10">
        <v>48</v>
      </c>
      <c r="E367" s="10" t="s">
        <v>11</v>
      </c>
      <c r="F367" s="10">
        <v>2</v>
      </c>
    </row>
    <row r="368" spans="1:6" outlineLevel="2">
      <c r="A368" s="9" t="s">
        <v>217</v>
      </c>
      <c r="B368" s="9" t="s">
        <v>385</v>
      </c>
      <c r="C368" s="9" t="s">
        <v>712</v>
      </c>
      <c r="D368" s="10">
        <v>58</v>
      </c>
      <c r="E368" s="10" t="s">
        <v>11</v>
      </c>
      <c r="F368" s="10">
        <v>2</v>
      </c>
    </row>
    <row r="369" spans="1:6" outlineLevel="2">
      <c r="A369" s="9" t="s">
        <v>217</v>
      </c>
      <c r="B369" s="9" t="s">
        <v>385</v>
      </c>
      <c r="C369" s="9" t="s">
        <v>340</v>
      </c>
      <c r="D369" s="10">
        <v>50</v>
      </c>
      <c r="E369" s="10" t="s">
        <v>11</v>
      </c>
      <c r="F369" s="10">
        <v>2</v>
      </c>
    </row>
    <row r="370" spans="1:6" outlineLevel="2">
      <c r="A370" s="9" t="s">
        <v>217</v>
      </c>
      <c r="B370" s="9" t="s">
        <v>226</v>
      </c>
      <c r="C370" s="9" t="s">
        <v>10</v>
      </c>
      <c r="D370" s="10">
        <v>40</v>
      </c>
      <c r="E370" s="10" t="s">
        <v>11</v>
      </c>
      <c r="F370" s="10">
        <v>3</v>
      </c>
    </row>
    <row r="371" spans="1:6" outlineLevel="2">
      <c r="A371" s="9" t="s">
        <v>217</v>
      </c>
      <c r="B371" s="9" t="s">
        <v>228</v>
      </c>
      <c r="C371" s="9" t="s">
        <v>10</v>
      </c>
      <c r="D371" s="10">
        <v>58</v>
      </c>
      <c r="E371" s="10" t="s">
        <v>11</v>
      </c>
      <c r="F371" s="10">
        <v>3</v>
      </c>
    </row>
    <row r="372" spans="1:6" outlineLevel="2">
      <c r="A372" s="9" t="s">
        <v>217</v>
      </c>
      <c r="B372" s="9" t="s">
        <v>230</v>
      </c>
      <c r="C372" s="9" t="s">
        <v>10</v>
      </c>
      <c r="D372" s="10">
        <v>45</v>
      </c>
      <c r="E372" s="10" t="s">
        <v>11</v>
      </c>
      <c r="F372" s="10">
        <v>3</v>
      </c>
    </row>
    <row r="373" spans="1:6" outlineLevel="2">
      <c r="A373" s="9" t="s">
        <v>217</v>
      </c>
      <c r="B373" s="9" t="s">
        <v>232</v>
      </c>
      <c r="C373" s="9" t="s">
        <v>10</v>
      </c>
      <c r="D373" s="10">
        <v>41</v>
      </c>
      <c r="E373" s="10" t="s">
        <v>11</v>
      </c>
      <c r="F373" s="10">
        <v>3</v>
      </c>
    </row>
    <row r="374" spans="1:6" outlineLevel="2">
      <c r="A374" s="9" t="s">
        <v>217</v>
      </c>
      <c r="B374" s="9" t="s">
        <v>232</v>
      </c>
      <c r="C374" s="9" t="s">
        <v>636</v>
      </c>
      <c r="D374" s="10">
        <v>40</v>
      </c>
      <c r="E374" s="10" t="s">
        <v>11</v>
      </c>
      <c r="F374" s="10">
        <v>4</v>
      </c>
    </row>
    <row r="375" spans="1:6" outlineLevel="1">
      <c r="A375" s="18" t="s">
        <v>1849</v>
      </c>
      <c r="B375" s="9">
        <f>SUBTOTAL(3,B342:B374)</f>
        <v>33</v>
      </c>
      <c r="C375" s="9"/>
      <c r="D375" s="10"/>
      <c r="E375" s="10"/>
      <c r="F375" s="10"/>
    </row>
    <row r="376" spans="1:6" outlineLevel="2">
      <c r="A376" s="9" t="s">
        <v>122</v>
      </c>
      <c r="B376" s="9" t="s">
        <v>123</v>
      </c>
      <c r="C376" s="9" t="s">
        <v>712</v>
      </c>
      <c r="D376" s="10">
        <v>54</v>
      </c>
      <c r="E376" s="10" t="s">
        <v>11</v>
      </c>
      <c r="F376" s="10">
        <v>2</v>
      </c>
    </row>
    <row r="377" spans="1:6" outlineLevel="2">
      <c r="A377" s="9" t="s">
        <v>122</v>
      </c>
      <c r="B377" s="9" t="s">
        <v>123</v>
      </c>
      <c r="C377" s="9" t="s">
        <v>10</v>
      </c>
      <c r="D377" s="10">
        <v>55</v>
      </c>
      <c r="E377" s="10" t="s">
        <v>11</v>
      </c>
      <c r="F377" s="10">
        <v>3</v>
      </c>
    </row>
    <row r="378" spans="1:6" outlineLevel="2">
      <c r="A378" s="9" t="s">
        <v>122</v>
      </c>
      <c r="B378" s="9" t="s">
        <v>123</v>
      </c>
      <c r="C378" s="9" t="s">
        <v>838</v>
      </c>
      <c r="D378" s="10">
        <v>50</v>
      </c>
      <c r="E378" s="10" t="s">
        <v>11</v>
      </c>
      <c r="F378" s="10">
        <v>2</v>
      </c>
    </row>
    <row r="379" spans="1:6" outlineLevel="2">
      <c r="A379" s="9" t="s">
        <v>122</v>
      </c>
      <c r="B379" s="9" t="s">
        <v>431</v>
      </c>
      <c r="C379" s="9" t="s">
        <v>712</v>
      </c>
      <c r="D379" s="10">
        <v>54</v>
      </c>
      <c r="E379" s="10" t="s">
        <v>11</v>
      </c>
      <c r="F379" s="10">
        <v>2</v>
      </c>
    </row>
    <row r="380" spans="1:6" outlineLevel="2">
      <c r="A380" s="9" t="s">
        <v>122</v>
      </c>
      <c r="B380" s="9" t="s">
        <v>431</v>
      </c>
      <c r="C380" s="9" t="s">
        <v>340</v>
      </c>
      <c r="D380" s="10">
        <v>56</v>
      </c>
      <c r="E380" s="10" t="s">
        <v>11</v>
      </c>
      <c r="F380" s="10">
        <v>2</v>
      </c>
    </row>
    <row r="381" spans="1:6" outlineLevel="2">
      <c r="A381" s="9" t="s">
        <v>122</v>
      </c>
      <c r="B381" s="9" t="s">
        <v>777</v>
      </c>
      <c r="C381" s="9" t="s">
        <v>712</v>
      </c>
      <c r="D381" s="10">
        <v>56</v>
      </c>
      <c r="E381" s="10" t="s">
        <v>11</v>
      </c>
      <c r="F381" s="10">
        <v>2</v>
      </c>
    </row>
    <row r="382" spans="1:6" outlineLevel="2">
      <c r="A382" s="9" t="s">
        <v>122</v>
      </c>
      <c r="B382" s="9" t="s">
        <v>779</v>
      </c>
      <c r="C382" s="9" t="s">
        <v>712</v>
      </c>
      <c r="D382" s="10">
        <v>57</v>
      </c>
      <c r="E382" s="10" t="s">
        <v>11</v>
      </c>
      <c r="F382" s="10">
        <v>2</v>
      </c>
    </row>
    <row r="383" spans="1:6" outlineLevel="2">
      <c r="A383" s="9" t="s">
        <v>122</v>
      </c>
      <c r="B383" s="9" t="s">
        <v>779</v>
      </c>
      <c r="C383" s="9" t="s">
        <v>838</v>
      </c>
      <c r="D383" s="10">
        <v>50</v>
      </c>
      <c r="E383" s="10" t="s">
        <v>11</v>
      </c>
      <c r="F383" s="10">
        <v>2</v>
      </c>
    </row>
    <row r="384" spans="1:6" outlineLevel="2">
      <c r="A384" s="9" t="s">
        <v>122</v>
      </c>
      <c r="B384" s="9" t="s">
        <v>125</v>
      </c>
      <c r="C384" s="9" t="s">
        <v>712</v>
      </c>
      <c r="D384" s="10">
        <v>55</v>
      </c>
      <c r="E384" s="10" t="s">
        <v>11</v>
      </c>
      <c r="F384" s="10">
        <v>2</v>
      </c>
    </row>
    <row r="385" spans="1:6" outlineLevel="2">
      <c r="A385" s="9" t="s">
        <v>122</v>
      </c>
      <c r="B385" s="9" t="s">
        <v>125</v>
      </c>
      <c r="C385" s="9" t="s">
        <v>340</v>
      </c>
      <c r="D385" s="10">
        <v>56</v>
      </c>
      <c r="E385" s="10" t="s">
        <v>11</v>
      </c>
      <c r="F385" s="10">
        <v>2</v>
      </c>
    </row>
    <row r="386" spans="1:6" outlineLevel="2">
      <c r="A386" s="9" t="s">
        <v>122</v>
      </c>
      <c r="B386" s="9" t="s">
        <v>125</v>
      </c>
      <c r="C386" s="9" t="s">
        <v>10</v>
      </c>
      <c r="D386" s="10">
        <v>55</v>
      </c>
      <c r="E386" s="10" t="s">
        <v>11</v>
      </c>
      <c r="F386" s="10">
        <v>3</v>
      </c>
    </row>
    <row r="387" spans="1:6" outlineLevel="2">
      <c r="A387" s="9" t="s">
        <v>122</v>
      </c>
      <c r="B387" s="9" t="s">
        <v>125</v>
      </c>
      <c r="C387" s="9" t="s">
        <v>838</v>
      </c>
      <c r="D387" s="10">
        <v>50</v>
      </c>
      <c r="E387" s="10" t="s">
        <v>11</v>
      </c>
      <c r="F387" s="10">
        <v>2</v>
      </c>
    </row>
    <row r="388" spans="1:6" outlineLevel="2">
      <c r="A388" s="9" t="s">
        <v>122</v>
      </c>
      <c r="B388" s="9" t="s">
        <v>781</v>
      </c>
      <c r="C388" s="9" t="s">
        <v>712</v>
      </c>
      <c r="D388" s="10">
        <v>57</v>
      </c>
      <c r="E388" s="10" t="s">
        <v>11</v>
      </c>
      <c r="F388" s="10">
        <v>2</v>
      </c>
    </row>
    <row r="389" spans="1:6" outlineLevel="2">
      <c r="A389" s="9" t="s">
        <v>122</v>
      </c>
      <c r="B389" s="9" t="s">
        <v>783</v>
      </c>
      <c r="C389" s="9" t="s">
        <v>712</v>
      </c>
      <c r="D389" s="10">
        <v>58</v>
      </c>
      <c r="E389" s="10" t="s">
        <v>11</v>
      </c>
      <c r="F389" s="10">
        <v>2</v>
      </c>
    </row>
    <row r="390" spans="1:6" outlineLevel="2">
      <c r="A390" s="9" t="s">
        <v>122</v>
      </c>
      <c r="B390" s="9" t="s">
        <v>785</v>
      </c>
      <c r="C390" s="9" t="s">
        <v>712</v>
      </c>
      <c r="D390" s="10">
        <v>58</v>
      </c>
      <c r="E390" s="10" t="s">
        <v>11</v>
      </c>
      <c r="F390" s="10">
        <v>2</v>
      </c>
    </row>
    <row r="391" spans="1:6" outlineLevel="2">
      <c r="A391" s="9" t="s">
        <v>122</v>
      </c>
      <c r="B391" s="9" t="s">
        <v>822</v>
      </c>
      <c r="C391" s="9" t="s">
        <v>838</v>
      </c>
      <c r="D391" s="10">
        <v>55</v>
      </c>
      <c r="E391" s="10" t="s">
        <v>11</v>
      </c>
      <c r="F391" s="10">
        <v>2</v>
      </c>
    </row>
    <row r="392" spans="1:6" outlineLevel="2">
      <c r="A392" s="9" t="s">
        <v>122</v>
      </c>
      <c r="B392" s="9" t="s">
        <v>433</v>
      </c>
      <c r="C392" s="9" t="s">
        <v>712</v>
      </c>
      <c r="D392" s="10">
        <v>57</v>
      </c>
      <c r="E392" s="10" t="s">
        <v>11</v>
      </c>
      <c r="F392" s="10">
        <v>2</v>
      </c>
    </row>
    <row r="393" spans="1:6" outlineLevel="2">
      <c r="A393" s="9" t="s">
        <v>122</v>
      </c>
      <c r="B393" s="9" t="s">
        <v>433</v>
      </c>
      <c r="C393" s="9" t="s">
        <v>340</v>
      </c>
      <c r="D393" s="10">
        <v>47</v>
      </c>
      <c r="E393" s="10" t="s">
        <v>11</v>
      </c>
      <c r="F393" s="10">
        <v>2</v>
      </c>
    </row>
    <row r="394" spans="1:6" outlineLevel="2">
      <c r="A394" s="9" t="s">
        <v>122</v>
      </c>
      <c r="B394" s="9" t="s">
        <v>433</v>
      </c>
      <c r="C394" s="9" t="s">
        <v>838</v>
      </c>
      <c r="D394" s="10">
        <v>50</v>
      </c>
      <c r="E394" s="10" t="s">
        <v>11</v>
      </c>
      <c r="F394" s="10">
        <v>2</v>
      </c>
    </row>
    <row r="395" spans="1:6" outlineLevel="2">
      <c r="A395" s="9" t="s">
        <v>122</v>
      </c>
      <c r="B395" s="9" t="s">
        <v>787</v>
      </c>
      <c r="C395" s="9" t="s">
        <v>712</v>
      </c>
      <c r="D395" s="10">
        <v>58</v>
      </c>
      <c r="E395" s="10" t="s">
        <v>11</v>
      </c>
      <c r="F395" s="10">
        <v>2</v>
      </c>
    </row>
    <row r="396" spans="1:6" outlineLevel="2">
      <c r="A396" s="9" t="s">
        <v>122</v>
      </c>
      <c r="B396" s="9" t="s">
        <v>127</v>
      </c>
      <c r="C396" s="9" t="s">
        <v>712</v>
      </c>
      <c r="D396" s="10">
        <v>55</v>
      </c>
      <c r="E396" s="10" t="s">
        <v>11</v>
      </c>
      <c r="F396" s="10">
        <v>2</v>
      </c>
    </row>
    <row r="397" spans="1:6" outlineLevel="2">
      <c r="A397" s="9" t="s">
        <v>122</v>
      </c>
      <c r="B397" s="9" t="s">
        <v>127</v>
      </c>
      <c r="C397" s="9" t="s">
        <v>340</v>
      </c>
      <c r="D397" s="10">
        <v>47</v>
      </c>
      <c r="E397" s="10" t="s">
        <v>11</v>
      </c>
      <c r="F397" s="10">
        <v>2</v>
      </c>
    </row>
    <row r="398" spans="1:6" outlineLevel="2">
      <c r="A398" s="9" t="s">
        <v>122</v>
      </c>
      <c r="B398" s="9" t="s">
        <v>127</v>
      </c>
      <c r="C398" s="9" t="s">
        <v>10</v>
      </c>
      <c r="D398" s="10">
        <v>50</v>
      </c>
      <c r="E398" s="10" t="s">
        <v>11</v>
      </c>
      <c r="F398" s="10">
        <v>3</v>
      </c>
    </row>
    <row r="399" spans="1:6" outlineLevel="2">
      <c r="A399" s="9" t="s">
        <v>122</v>
      </c>
      <c r="B399" s="9" t="s">
        <v>127</v>
      </c>
      <c r="C399" s="9" t="s">
        <v>838</v>
      </c>
      <c r="D399" s="10">
        <v>40</v>
      </c>
      <c r="E399" s="10" t="s">
        <v>11</v>
      </c>
      <c r="F399" s="10">
        <v>2</v>
      </c>
    </row>
    <row r="400" spans="1:6" outlineLevel="2">
      <c r="A400" s="9" t="s">
        <v>122</v>
      </c>
      <c r="B400" s="9" t="s">
        <v>435</v>
      </c>
      <c r="C400" s="9" t="s">
        <v>340</v>
      </c>
      <c r="D400" s="10">
        <v>49</v>
      </c>
      <c r="E400" s="10" t="s">
        <v>11</v>
      </c>
      <c r="F400" s="10">
        <v>2</v>
      </c>
    </row>
    <row r="401" spans="1:6" outlineLevel="2">
      <c r="A401" s="9" t="s">
        <v>122</v>
      </c>
      <c r="B401" s="9" t="s">
        <v>435</v>
      </c>
      <c r="C401" s="9" t="s">
        <v>838</v>
      </c>
      <c r="D401" s="10">
        <v>40</v>
      </c>
      <c r="E401" s="10" t="s">
        <v>11</v>
      </c>
      <c r="F401" s="10">
        <v>2</v>
      </c>
    </row>
    <row r="402" spans="1:6" outlineLevel="2">
      <c r="A402" s="9" t="s">
        <v>122</v>
      </c>
      <c r="B402" s="9" t="s">
        <v>437</v>
      </c>
      <c r="C402" s="9" t="s">
        <v>340</v>
      </c>
      <c r="D402" s="10">
        <v>56</v>
      </c>
      <c r="E402" s="10" t="s">
        <v>11</v>
      </c>
      <c r="F402" s="10">
        <v>2</v>
      </c>
    </row>
    <row r="403" spans="1:6" outlineLevel="2">
      <c r="A403" s="9" t="s">
        <v>122</v>
      </c>
      <c r="B403" s="9" t="s">
        <v>439</v>
      </c>
      <c r="C403" s="9" t="s">
        <v>340</v>
      </c>
      <c r="D403" s="10">
        <v>51</v>
      </c>
      <c r="E403" s="10" t="s">
        <v>11</v>
      </c>
      <c r="F403" s="10">
        <v>2</v>
      </c>
    </row>
    <row r="404" spans="1:6" outlineLevel="2">
      <c r="A404" s="9" t="s">
        <v>122</v>
      </c>
      <c r="B404" s="9" t="s">
        <v>129</v>
      </c>
      <c r="C404" s="9" t="s">
        <v>712</v>
      </c>
      <c r="D404" s="10">
        <v>58</v>
      </c>
      <c r="E404" s="10" t="s">
        <v>11</v>
      </c>
      <c r="F404" s="10">
        <v>2</v>
      </c>
    </row>
    <row r="405" spans="1:6" outlineLevel="2">
      <c r="A405" s="9" t="s">
        <v>122</v>
      </c>
      <c r="B405" s="9" t="s">
        <v>129</v>
      </c>
      <c r="C405" s="9" t="s">
        <v>10</v>
      </c>
      <c r="D405" s="10">
        <v>50</v>
      </c>
      <c r="E405" s="10" t="s">
        <v>11</v>
      </c>
      <c r="F405" s="10">
        <v>3</v>
      </c>
    </row>
    <row r="406" spans="1:6" outlineLevel="2">
      <c r="A406" s="9" t="s">
        <v>122</v>
      </c>
      <c r="B406" s="9" t="s">
        <v>789</v>
      </c>
      <c r="C406" s="9" t="s">
        <v>712</v>
      </c>
      <c r="D406" s="10">
        <v>58</v>
      </c>
      <c r="E406" s="10" t="s">
        <v>11</v>
      </c>
      <c r="F406" s="10">
        <v>2</v>
      </c>
    </row>
    <row r="407" spans="1:6" outlineLevel="2">
      <c r="A407" s="9" t="s">
        <v>122</v>
      </c>
      <c r="B407" s="9" t="s">
        <v>789</v>
      </c>
      <c r="C407" s="9" t="s">
        <v>838</v>
      </c>
      <c r="D407" s="10">
        <v>52</v>
      </c>
      <c r="E407" s="10" t="s">
        <v>11</v>
      </c>
      <c r="F407" s="10">
        <v>2</v>
      </c>
    </row>
    <row r="408" spans="1:6" outlineLevel="2">
      <c r="A408" s="9" t="s">
        <v>122</v>
      </c>
      <c r="B408" s="9" t="s">
        <v>131</v>
      </c>
      <c r="C408" s="9" t="s">
        <v>712</v>
      </c>
      <c r="D408" s="10">
        <v>49</v>
      </c>
      <c r="E408" s="10" t="s">
        <v>11</v>
      </c>
      <c r="F408" s="10">
        <v>2</v>
      </c>
    </row>
    <row r="409" spans="1:6" outlineLevel="2">
      <c r="A409" s="9" t="s">
        <v>122</v>
      </c>
      <c r="B409" s="9" t="s">
        <v>131</v>
      </c>
      <c r="C409" s="9" t="s">
        <v>828</v>
      </c>
      <c r="D409" s="10">
        <v>43</v>
      </c>
      <c r="E409" s="10" t="s">
        <v>11</v>
      </c>
      <c r="F409" s="10">
        <v>1</v>
      </c>
    </row>
    <row r="410" spans="1:6" outlineLevel="2">
      <c r="A410" s="9" t="s">
        <v>122</v>
      </c>
      <c r="B410" s="9" t="s">
        <v>131</v>
      </c>
      <c r="C410" s="9" t="s">
        <v>10</v>
      </c>
      <c r="D410" s="10">
        <v>45</v>
      </c>
      <c r="E410" s="10" t="s">
        <v>11</v>
      </c>
      <c r="F410" s="10">
        <v>3</v>
      </c>
    </row>
    <row r="411" spans="1:6" outlineLevel="2">
      <c r="A411" s="9" t="s">
        <v>122</v>
      </c>
      <c r="B411" s="9" t="s">
        <v>133</v>
      </c>
      <c r="C411" s="9" t="s">
        <v>10</v>
      </c>
      <c r="D411" s="10">
        <v>46</v>
      </c>
      <c r="E411" s="10" t="s">
        <v>11</v>
      </c>
      <c r="F411" s="10">
        <v>3</v>
      </c>
    </row>
    <row r="412" spans="1:6" outlineLevel="2">
      <c r="A412" s="9" t="s">
        <v>122</v>
      </c>
      <c r="B412" s="9" t="s">
        <v>133</v>
      </c>
      <c r="C412" s="9" t="s">
        <v>838</v>
      </c>
      <c r="D412" s="10">
        <v>40</v>
      </c>
      <c r="E412" s="10" t="s">
        <v>11</v>
      </c>
      <c r="F412" s="10">
        <v>2</v>
      </c>
    </row>
    <row r="413" spans="1:6" outlineLevel="2">
      <c r="A413" s="9" t="s">
        <v>122</v>
      </c>
      <c r="B413" s="9" t="s">
        <v>791</v>
      </c>
      <c r="C413" s="9" t="s">
        <v>712</v>
      </c>
      <c r="D413" s="10">
        <v>58</v>
      </c>
      <c r="E413" s="10" t="s">
        <v>11</v>
      </c>
      <c r="F413" s="10">
        <v>2</v>
      </c>
    </row>
    <row r="414" spans="1:6" outlineLevel="2">
      <c r="A414" s="9" t="s">
        <v>122</v>
      </c>
      <c r="B414" s="9" t="s">
        <v>135</v>
      </c>
      <c r="C414" s="9" t="s">
        <v>10</v>
      </c>
      <c r="D414" s="10">
        <v>52</v>
      </c>
      <c r="E414" s="10" t="s">
        <v>11</v>
      </c>
      <c r="F414" s="10">
        <v>3</v>
      </c>
    </row>
    <row r="415" spans="1:6" outlineLevel="2">
      <c r="A415" s="9" t="s">
        <v>122</v>
      </c>
      <c r="B415" s="9" t="s">
        <v>135</v>
      </c>
      <c r="C415" s="9" t="s">
        <v>838</v>
      </c>
      <c r="D415" s="10">
        <v>53</v>
      </c>
      <c r="E415" s="10" t="s">
        <v>11</v>
      </c>
      <c r="F415" s="10">
        <v>2</v>
      </c>
    </row>
    <row r="416" spans="1:6" outlineLevel="2">
      <c r="A416" s="9" t="s">
        <v>122</v>
      </c>
      <c r="B416" s="9" t="s">
        <v>137</v>
      </c>
      <c r="C416" s="9" t="s">
        <v>340</v>
      </c>
      <c r="D416" s="10">
        <v>48</v>
      </c>
      <c r="E416" s="10" t="s">
        <v>11</v>
      </c>
      <c r="F416" s="10">
        <v>2</v>
      </c>
    </row>
    <row r="417" spans="1:6" outlineLevel="2">
      <c r="A417" s="9" t="s">
        <v>122</v>
      </c>
      <c r="B417" s="9" t="s">
        <v>137</v>
      </c>
      <c r="C417" s="9" t="s">
        <v>10</v>
      </c>
      <c r="D417" s="10">
        <v>40</v>
      </c>
      <c r="E417" s="10" t="s">
        <v>11</v>
      </c>
      <c r="F417" s="10">
        <v>3</v>
      </c>
    </row>
    <row r="418" spans="1:6" outlineLevel="2">
      <c r="A418" s="9" t="s">
        <v>122</v>
      </c>
      <c r="B418" s="9" t="s">
        <v>137</v>
      </c>
      <c r="C418" s="9" t="s">
        <v>838</v>
      </c>
      <c r="D418" s="10">
        <v>40</v>
      </c>
      <c r="E418" s="10" t="s">
        <v>11</v>
      </c>
      <c r="F418" s="10">
        <v>2</v>
      </c>
    </row>
    <row r="419" spans="1:6" outlineLevel="2">
      <c r="A419" s="9" t="s">
        <v>122</v>
      </c>
      <c r="B419" s="9" t="s">
        <v>139</v>
      </c>
      <c r="C419" s="9" t="s">
        <v>712</v>
      </c>
      <c r="D419" s="10">
        <v>56</v>
      </c>
      <c r="E419" s="10" t="s">
        <v>11</v>
      </c>
      <c r="F419" s="10">
        <v>2</v>
      </c>
    </row>
    <row r="420" spans="1:6" outlineLevel="2">
      <c r="A420" s="9" t="s">
        <v>122</v>
      </c>
      <c r="B420" s="9" t="s">
        <v>139</v>
      </c>
      <c r="C420" s="9" t="s">
        <v>340</v>
      </c>
      <c r="D420" s="10">
        <v>56</v>
      </c>
      <c r="E420" s="10" t="s">
        <v>11</v>
      </c>
      <c r="F420" s="10">
        <v>2</v>
      </c>
    </row>
    <row r="421" spans="1:6" outlineLevel="2">
      <c r="A421" s="9" t="s">
        <v>122</v>
      </c>
      <c r="B421" s="9" t="s">
        <v>139</v>
      </c>
      <c r="C421" s="9" t="s">
        <v>10</v>
      </c>
      <c r="D421" s="10">
        <v>50</v>
      </c>
      <c r="E421" s="10" t="s">
        <v>11</v>
      </c>
      <c r="F421" s="10">
        <v>3</v>
      </c>
    </row>
    <row r="422" spans="1:6" outlineLevel="2">
      <c r="A422" s="9" t="s">
        <v>122</v>
      </c>
      <c r="B422" s="9" t="s">
        <v>139</v>
      </c>
      <c r="C422" s="9" t="s">
        <v>838</v>
      </c>
      <c r="D422" s="10">
        <v>51</v>
      </c>
      <c r="E422" s="10" t="s">
        <v>11</v>
      </c>
      <c r="F422" s="10">
        <v>2</v>
      </c>
    </row>
    <row r="423" spans="1:6" outlineLevel="1">
      <c r="A423" s="18" t="s">
        <v>1850</v>
      </c>
      <c r="B423" s="9">
        <f>SUBTOTAL(3,B376:B422)</f>
        <v>47</v>
      </c>
      <c r="C423" s="9"/>
      <c r="D423" s="10"/>
      <c r="E423" s="10"/>
      <c r="F423" s="10"/>
    </row>
    <row r="424" spans="1:6" outlineLevel="2">
      <c r="A424" s="9" t="s">
        <v>322</v>
      </c>
      <c r="B424" s="9" t="s">
        <v>763</v>
      </c>
      <c r="C424" s="9" t="s">
        <v>712</v>
      </c>
      <c r="D424" s="10">
        <v>53</v>
      </c>
      <c r="E424" s="10" t="s">
        <v>11</v>
      </c>
      <c r="F424" s="10">
        <v>2</v>
      </c>
    </row>
    <row r="425" spans="1:6" outlineLevel="2">
      <c r="A425" s="9" t="s">
        <v>322</v>
      </c>
      <c r="B425" s="9" t="s">
        <v>765</v>
      </c>
      <c r="C425" s="9" t="s">
        <v>712</v>
      </c>
      <c r="D425" s="10">
        <v>58</v>
      </c>
      <c r="E425" s="10" t="s">
        <v>11</v>
      </c>
      <c r="F425" s="10">
        <v>2</v>
      </c>
    </row>
    <row r="426" spans="1:6" outlineLevel="2">
      <c r="A426" s="9" t="s">
        <v>322</v>
      </c>
      <c r="B426" s="9" t="s">
        <v>767</v>
      </c>
      <c r="C426" s="9" t="s">
        <v>712</v>
      </c>
      <c r="D426" s="10">
        <v>58</v>
      </c>
      <c r="E426" s="10" t="s">
        <v>11</v>
      </c>
      <c r="F426" s="10">
        <v>2</v>
      </c>
    </row>
    <row r="427" spans="1:6" outlineLevel="2">
      <c r="A427" s="9" t="s">
        <v>322</v>
      </c>
      <c r="B427" s="9" t="s">
        <v>769</v>
      </c>
      <c r="C427" s="9" t="s">
        <v>712</v>
      </c>
      <c r="D427" s="10">
        <v>58</v>
      </c>
      <c r="E427" s="10" t="s">
        <v>11</v>
      </c>
      <c r="F427" s="10">
        <v>2</v>
      </c>
    </row>
    <row r="428" spans="1:6" outlineLevel="2">
      <c r="A428" s="9" t="s">
        <v>322</v>
      </c>
      <c r="B428" s="9" t="s">
        <v>771</v>
      </c>
      <c r="C428" s="9" t="s">
        <v>712</v>
      </c>
      <c r="D428" s="10">
        <v>51</v>
      </c>
      <c r="E428" s="10" t="s">
        <v>11</v>
      </c>
      <c r="F428" s="10">
        <v>2</v>
      </c>
    </row>
    <row r="429" spans="1:6" outlineLevel="2">
      <c r="A429" s="9" t="s">
        <v>322</v>
      </c>
      <c r="B429" s="9" t="s">
        <v>773</v>
      </c>
      <c r="C429" s="9" t="s">
        <v>712</v>
      </c>
      <c r="D429" s="10">
        <v>56</v>
      </c>
      <c r="E429" s="10" t="s">
        <v>11</v>
      </c>
      <c r="F429" s="10">
        <v>2</v>
      </c>
    </row>
    <row r="430" spans="1:6" outlineLevel="2">
      <c r="A430" s="9" t="s">
        <v>322</v>
      </c>
      <c r="B430" s="9" t="s">
        <v>773</v>
      </c>
      <c r="C430" s="9" t="s">
        <v>838</v>
      </c>
      <c r="D430" s="10">
        <v>50</v>
      </c>
      <c r="E430" s="10" t="s">
        <v>11</v>
      </c>
      <c r="F430" s="10">
        <v>2</v>
      </c>
    </row>
    <row r="431" spans="1:6" outlineLevel="2">
      <c r="A431" s="9" t="s">
        <v>322</v>
      </c>
      <c r="B431" s="9" t="s">
        <v>323</v>
      </c>
      <c r="C431" s="9" t="s">
        <v>702</v>
      </c>
      <c r="D431" s="10">
        <v>59</v>
      </c>
      <c r="E431" s="10" t="s">
        <v>11</v>
      </c>
      <c r="F431" s="10">
        <v>2</v>
      </c>
    </row>
    <row r="432" spans="1:6" outlineLevel="2">
      <c r="A432" s="9" t="s">
        <v>322</v>
      </c>
      <c r="B432" s="9" t="s">
        <v>323</v>
      </c>
      <c r="C432" s="9" t="s">
        <v>10</v>
      </c>
      <c r="D432" s="10">
        <v>48</v>
      </c>
      <c r="E432" s="10" t="s">
        <v>11</v>
      </c>
      <c r="F432" s="10">
        <v>3</v>
      </c>
    </row>
    <row r="433" spans="1:6" outlineLevel="2">
      <c r="A433" s="9" t="s">
        <v>322</v>
      </c>
      <c r="B433" s="9" t="s">
        <v>323</v>
      </c>
      <c r="C433" s="9" t="s">
        <v>838</v>
      </c>
      <c r="D433" s="10">
        <v>51</v>
      </c>
      <c r="E433" s="10" t="s">
        <v>11</v>
      </c>
      <c r="F433" s="10">
        <v>2</v>
      </c>
    </row>
    <row r="434" spans="1:6" outlineLevel="2">
      <c r="A434" s="9" t="s">
        <v>322</v>
      </c>
      <c r="B434" s="9" t="s">
        <v>537</v>
      </c>
      <c r="C434" s="9" t="s">
        <v>340</v>
      </c>
      <c r="D434" s="10">
        <v>40</v>
      </c>
      <c r="E434" s="10" t="s">
        <v>11</v>
      </c>
      <c r="F434" s="10">
        <v>2</v>
      </c>
    </row>
    <row r="435" spans="1:6" outlineLevel="2">
      <c r="A435" s="9" t="s">
        <v>322</v>
      </c>
      <c r="B435" s="9" t="s">
        <v>842</v>
      </c>
      <c r="C435" s="9" t="s">
        <v>838</v>
      </c>
      <c r="D435" s="10">
        <v>55</v>
      </c>
      <c r="E435" s="10" t="s">
        <v>11</v>
      </c>
      <c r="F435" s="10">
        <v>2</v>
      </c>
    </row>
    <row r="436" spans="1:6" outlineLevel="2">
      <c r="A436" s="9" t="s">
        <v>322</v>
      </c>
      <c r="B436" s="9" t="s">
        <v>844</v>
      </c>
      <c r="C436" s="9" t="s">
        <v>838</v>
      </c>
      <c r="D436" s="10">
        <v>52</v>
      </c>
      <c r="E436" s="10" t="s">
        <v>11</v>
      </c>
      <c r="F436" s="10">
        <v>2</v>
      </c>
    </row>
    <row r="437" spans="1:6" outlineLevel="2">
      <c r="A437" s="9" t="s">
        <v>322</v>
      </c>
      <c r="B437" s="9" t="s">
        <v>539</v>
      </c>
      <c r="C437" s="9" t="s">
        <v>340</v>
      </c>
      <c r="D437" s="10">
        <v>42</v>
      </c>
      <c r="E437" s="10" t="s">
        <v>11</v>
      </c>
      <c r="F437" s="10">
        <v>2</v>
      </c>
    </row>
    <row r="438" spans="1:6" outlineLevel="2">
      <c r="A438" s="9" t="s">
        <v>322</v>
      </c>
      <c r="B438" s="9" t="s">
        <v>325</v>
      </c>
      <c r="C438" s="9" t="s">
        <v>712</v>
      </c>
      <c r="D438" s="10">
        <v>42</v>
      </c>
      <c r="E438" s="10" t="s">
        <v>11</v>
      </c>
      <c r="F438" s="10">
        <v>2</v>
      </c>
    </row>
    <row r="439" spans="1:6" outlineLevel="2">
      <c r="A439" s="9" t="s">
        <v>322</v>
      </c>
      <c r="B439" s="9" t="s">
        <v>325</v>
      </c>
      <c r="C439" s="9" t="s">
        <v>340</v>
      </c>
      <c r="D439" s="10">
        <v>40</v>
      </c>
      <c r="E439" s="10" t="s">
        <v>11</v>
      </c>
      <c r="F439" s="10">
        <v>2</v>
      </c>
    </row>
    <row r="440" spans="1:6" outlineLevel="2">
      <c r="A440" s="9" t="s">
        <v>322</v>
      </c>
      <c r="B440" s="9" t="s">
        <v>325</v>
      </c>
      <c r="C440" s="9" t="s">
        <v>10</v>
      </c>
      <c r="D440" s="10">
        <v>51</v>
      </c>
      <c r="E440" s="10" t="s">
        <v>11</v>
      </c>
      <c r="F440" s="10">
        <v>3</v>
      </c>
    </row>
    <row r="441" spans="1:6" outlineLevel="2">
      <c r="A441" s="9" t="s">
        <v>322</v>
      </c>
      <c r="B441" s="9" t="s">
        <v>325</v>
      </c>
      <c r="C441" s="9" t="s">
        <v>636</v>
      </c>
      <c r="D441" s="10">
        <v>50</v>
      </c>
      <c r="E441" s="10" t="s">
        <v>11</v>
      </c>
      <c r="F441" s="10">
        <v>4</v>
      </c>
    </row>
    <row r="442" spans="1:6" outlineLevel="2">
      <c r="A442" s="9" t="s">
        <v>322</v>
      </c>
      <c r="B442" s="9" t="s">
        <v>325</v>
      </c>
      <c r="C442" s="9" t="s">
        <v>838</v>
      </c>
      <c r="D442" s="10">
        <v>40</v>
      </c>
      <c r="E442" s="10" t="s">
        <v>11</v>
      </c>
      <c r="F442" s="10">
        <v>2</v>
      </c>
    </row>
    <row r="443" spans="1:6" outlineLevel="2">
      <c r="A443" s="9" t="s">
        <v>322</v>
      </c>
      <c r="B443" s="9" t="s">
        <v>327</v>
      </c>
      <c r="C443" s="9" t="s">
        <v>10</v>
      </c>
      <c r="D443" s="10">
        <v>52</v>
      </c>
      <c r="E443" s="10" t="s">
        <v>11</v>
      </c>
      <c r="F443" s="10">
        <v>3</v>
      </c>
    </row>
    <row r="444" spans="1:6" outlineLevel="2">
      <c r="A444" s="9" t="s">
        <v>322</v>
      </c>
      <c r="B444" s="9" t="s">
        <v>327</v>
      </c>
      <c r="C444" s="9" t="s">
        <v>838</v>
      </c>
      <c r="D444" s="10">
        <v>40</v>
      </c>
      <c r="E444" s="10" t="s">
        <v>11</v>
      </c>
      <c r="F444" s="10">
        <v>2</v>
      </c>
    </row>
    <row r="445" spans="1:6" outlineLevel="2">
      <c r="A445" s="9" t="s">
        <v>322</v>
      </c>
      <c r="B445" s="9" t="s">
        <v>329</v>
      </c>
      <c r="C445" s="9" t="s">
        <v>340</v>
      </c>
      <c r="D445" s="10">
        <v>45</v>
      </c>
      <c r="E445" s="10" t="s">
        <v>11</v>
      </c>
      <c r="F445" s="10">
        <v>2</v>
      </c>
    </row>
    <row r="446" spans="1:6" outlineLevel="2">
      <c r="A446" s="9" t="s">
        <v>322</v>
      </c>
      <c r="B446" s="9" t="s">
        <v>329</v>
      </c>
      <c r="C446" s="9" t="s">
        <v>10</v>
      </c>
      <c r="D446" s="10">
        <v>56</v>
      </c>
      <c r="E446" s="10" t="s">
        <v>11</v>
      </c>
      <c r="F446" s="10">
        <v>3</v>
      </c>
    </row>
    <row r="447" spans="1:6" outlineLevel="2">
      <c r="A447" s="9" t="s">
        <v>322</v>
      </c>
      <c r="B447" s="9" t="s">
        <v>329</v>
      </c>
      <c r="C447" s="9" t="s">
        <v>838</v>
      </c>
      <c r="D447" s="10">
        <v>53</v>
      </c>
      <c r="E447" s="10" t="s">
        <v>11</v>
      </c>
      <c r="F447" s="10">
        <v>2</v>
      </c>
    </row>
    <row r="448" spans="1:6" outlineLevel="2">
      <c r="A448" s="9" t="s">
        <v>322</v>
      </c>
      <c r="B448" s="9" t="s">
        <v>331</v>
      </c>
      <c r="C448" s="9" t="s">
        <v>10</v>
      </c>
      <c r="D448" s="10">
        <v>58</v>
      </c>
      <c r="E448" s="10" t="s">
        <v>11</v>
      </c>
      <c r="F448" s="10">
        <v>3</v>
      </c>
    </row>
    <row r="449" spans="1:6" outlineLevel="2">
      <c r="A449" s="9" t="s">
        <v>322</v>
      </c>
      <c r="B449" s="9" t="s">
        <v>333</v>
      </c>
      <c r="C449" s="9" t="s">
        <v>10</v>
      </c>
      <c r="D449" s="10">
        <v>53</v>
      </c>
      <c r="E449" s="10" t="s">
        <v>11</v>
      </c>
      <c r="F449" s="10">
        <v>3</v>
      </c>
    </row>
    <row r="450" spans="1:6" outlineLevel="2">
      <c r="A450" s="9" t="s">
        <v>322</v>
      </c>
      <c r="B450" s="9" t="s">
        <v>846</v>
      </c>
      <c r="C450" s="9" t="s">
        <v>838</v>
      </c>
      <c r="D450" s="10">
        <v>50</v>
      </c>
      <c r="E450" s="10" t="s">
        <v>11</v>
      </c>
      <c r="F450" s="10">
        <v>2</v>
      </c>
    </row>
    <row r="451" spans="1:6" outlineLevel="1">
      <c r="A451" s="18" t="s">
        <v>1851</v>
      </c>
      <c r="B451" s="9">
        <f>SUBTOTAL(3,B424:B450)</f>
        <v>27</v>
      </c>
      <c r="C451" s="9"/>
      <c r="D451" s="10"/>
      <c r="E451" s="10"/>
      <c r="F451" s="10"/>
    </row>
    <row r="452" spans="1:6" outlineLevel="2">
      <c r="A452" s="9" t="s">
        <v>194</v>
      </c>
      <c r="B452" s="9" t="s">
        <v>195</v>
      </c>
      <c r="C452" s="9" t="s">
        <v>712</v>
      </c>
      <c r="D452" s="10">
        <v>43</v>
      </c>
      <c r="E452" s="10" t="s">
        <v>11</v>
      </c>
      <c r="F452" s="10">
        <v>2</v>
      </c>
    </row>
    <row r="453" spans="1:6" outlineLevel="2">
      <c r="A453" s="9" t="s">
        <v>194</v>
      </c>
      <c r="B453" s="9" t="s">
        <v>195</v>
      </c>
      <c r="C453" s="9" t="s">
        <v>10</v>
      </c>
      <c r="D453" s="10">
        <v>55</v>
      </c>
      <c r="E453" s="10" t="s">
        <v>11</v>
      </c>
      <c r="F453" s="10">
        <v>3</v>
      </c>
    </row>
    <row r="454" spans="1:6" outlineLevel="2">
      <c r="A454" s="9" t="s">
        <v>194</v>
      </c>
      <c r="B454" s="9" t="s">
        <v>523</v>
      </c>
      <c r="C454" s="9" t="s">
        <v>340</v>
      </c>
      <c r="D454" s="10">
        <v>46</v>
      </c>
      <c r="E454" s="10" t="s">
        <v>11</v>
      </c>
      <c r="F454" s="10">
        <v>2</v>
      </c>
    </row>
    <row r="455" spans="1:6" outlineLevel="2">
      <c r="A455" s="9" t="s">
        <v>194</v>
      </c>
      <c r="B455" s="9" t="s">
        <v>197</v>
      </c>
      <c r="C455" s="9" t="s">
        <v>340</v>
      </c>
      <c r="D455" s="10">
        <v>44</v>
      </c>
      <c r="E455" s="10" t="s">
        <v>11</v>
      </c>
      <c r="F455" s="10">
        <v>2</v>
      </c>
    </row>
    <row r="456" spans="1:6" outlineLevel="2">
      <c r="A456" s="9" t="s">
        <v>194</v>
      </c>
      <c r="B456" s="9" t="s">
        <v>197</v>
      </c>
      <c r="C456" s="9" t="s">
        <v>10</v>
      </c>
      <c r="D456" s="10">
        <v>46</v>
      </c>
      <c r="E456" s="10" t="s">
        <v>11</v>
      </c>
      <c r="F456" s="10">
        <v>3</v>
      </c>
    </row>
    <row r="457" spans="1:6" outlineLevel="2">
      <c r="A457" s="9" t="s">
        <v>194</v>
      </c>
      <c r="B457" s="9" t="s">
        <v>199</v>
      </c>
      <c r="C457" s="9" t="s">
        <v>712</v>
      </c>
      <c r="D457" s="10">
        <v>40</v>
      </c>
      <c r="E457" s="10" t="s">
        <v>11</v>
      </c>
      <c r="F457" s="10">
        <v>2</v>
      </c>
    </row>
    <row r="458" spans="1:6" outlineLevel="2">
      <c r="A458" s="9" t="s">
        <v>194</v>
      </c>
      <c r="B458" s="9" t="s">
        <v>199</v>
      </c>
      <c r="C458" s="9" t="s">
        <v>10</v>
      </c>
      <c r="D458" s="10">
        <v>40</v>
      </c>
      <c r="E458" s="10" t="s">
        <v>11</v>
      </c>
      <c r="F458" s="10">
        <v>3</v>
      </c>
    </row>
    <row r="459" spans="1:6" outlineLevel="2">
      <c r="A459" s="9" t="s">
        <v>194</v>
      </c>
      <c r="B459" s="9" t="s">
        <v>757</v>
      </c>
      <c r="C459" s="9" t="s">
        <v>712</v>
      </c>
      <c r="D459" s="10">
        <v>45</v>
      </c>
      <c r="E459" s="10" t="s">
        <v>11</v>
      </c>
      <c r="F459" s="10">
        <v>2</v>
      </c>
    </row>
    <row r="460" spans="1:6" outlineLevel="2">
      <c r="A460" s="9" t="s">
        <v>194</v>
      </c>
      <c r="B460" s="9" t="s">
        <v>201</v>
      </c>
      <c r="C460" s="9" t="s">
        <v>10</v>
      </c>
      <c r="D460" s="10">
        <v>53</v>
      </c>
      <c r="E460" s="10" t="s">
        <v>11</v>
      </c>
      <c r="F460" s="10">
        <v>3</v>
      </c>
    </row>
    <row r="461" spans="1:6" outlineLevel="2">
      <c r="A461" s="9" t="s">
        <v>194</v>
      </c>
      <c r="B461" s="9" t="s">
        <v>203</v>
      </c>
      <c r="C461" s="9" t="s">
        <v>712</v>
      </c>
      <c r="D461" s="10">
        <v>50</v>
      </c>
      <c r="E461" s="10" t="s">
        <v>11</v>
      </c>
      <c r="F461" s="10">
        <v>2</v>
      </c>
    </row>
    <row r="462" spans="1:6" outlineLevel="2">
      <c r="A462" s="9" t="s">
        <v>194</v>
      </c>
      <c r="B462" s="9" t="s">
        <v>203</v>
      </c>
      <c r="C462" s="9" t="s">
        <v>340</v>
      </c>
      <c r="D462" s="10">
        <v>41</v>
      </c>
      <c r="E462" s="10" t="s">
        <v>11</v>
      </c>
      <c r="F462" s="10">
        <v>2</v>
      </c>
    </row>
    <row r="463" spans="1:6" outlineLevel="2">
      <c r="A463" s="9" t="s">
        <v>194</v>
      </c>
      <c r="B463" s="9" t="s">
        <v>203</v>
      </c>
      <c r="C463" s="9" t="s">
        <v>10</v>
      </c>
      <c r="D463" s="10">
        <v>50</v>
      </c>
      <c r="E463" s="10" t="s">
        <v>11</v>
      </c>
      <c r="F463" s="10">
        <v>3</v>
      </c>
    </row>
    <row r="464" spans="1:6" outlineLevel="2">
      <c r="A464" s="9" t="s">
        <v>194</v>
      </c>
      <c r="B464" s="9" t="s">
        <v>203</v>
      </c>
      <c r="C464" s="9" t="s">
        <v>636</v>
      </c>
      <c r="D464" s="10">
        <v>40</v>
      </c>
      <c r="E464" s="10" t="s">
        <v>11</v>
      </c>
      <c r="F464" s="10">
        <v>4</v>
      </c>
    </row>
    <row r="465" spans="1:6" outlineLevel="2">
      <c r="A465" s="9" t="s">
        <v>194</v>
      </c>
      <c r="B465" s="9" t="s">
        <v>759</v>
      </c>
      <c r="C465" s="9" t="s">
        <v>712</v>
      </c>
      <c r="D465" s="10">
        <v>52</v>
      </c>
      <c r="E465" s="10" t="s">
        <v>11</v>
      </c>
      <c r="F465" s="10">
        <v>2</v>
      </c>
    </row>
    <row r="466" spans="1:6" outlineLevel="2">
      <c r="A466" s="9" t="s">
        <v>194</v>
      </c>
      <c r="B466" s="9" t="s">
        <v>205</v>
      </c>
      <c r="C466" s="9" t="s">
        <v>712</v>
      </c>
      <c r="D466" s="10">
        <v>44</v>
      </c>
      <c r="E466" s="10" t="s">
        <v>11</v>
      </c>
      <c r="F466" s="10">
        <v>2</v>
      </c>
    </row>
    <row r="467" spans="1:6" outlineLevel="2">
      <c r="A467" s="9" t="s">
        <v>194</v>
      </c>
      <c r="B467" s="9" t="s">
        <v>205</v>
      </c>
      <c r="C467" s="9" t="s">
        <v>10</v>
      </c>
      <c r="D467" s="10">
        <v>40</v>
      </c>
      <c r="E467" s="10" t="s">
        <v>11</v>
      </c>
      <c r="F467" s="10">
        <v>3</v>
      </c>
    </row>
    <row r="468" spans="1:6" outlineLevel="2">
      <c r="A468" s="9" t="s">
        <v>194</v>
      </c>
      <c r="B468" s="9" t="s">
        <v>207</v>
      </c>
      <c r="C468" s="9" t="s">
        <v>712</v>
      </c>
      <c r="D468" s="10">
        <v>40</v>
      </c>
      <c r="E468" s="10" t="s">
        <v>11</v>
      </c>
      <c r="F468" s="10">
        <v>2</v>
      </c>
    </row>
    <row r="469" spans="1:6" outlineLevel="2">
      <c r="A469" s="9" t="s">
        <v>194</v>
      </c>
      <c r="B469" s="9" t="s">
        <v>207</v>
      </c>
      <c r="C469" s="9" t="s">
        <v>10</v>
      </c>
      <c r="D469" s="10">
        <v>40</v>
      </c>
      <c r="E469" s="10" t="s">
        <v>11</v>
      </c>
      <c r="F469" s="10">
        <v>3</v>
      </c>
    </row>
    <row r="470" spans="1:6" outlineLevel="2">
      <c r="A470" s="9" t="s">
        <v>194</v>
      </c>
      <c r="B470" s="9" t="s">
        <v>525</v>
      </c>
      <c r="C470" s="9" t="s">
        <v>340</v>
      </c>
      <c r="D470" s="10">
        <v>46</v>
      </c>
      <c r="E470" s="10" t="s">
        <v>11</v>
      </c>
      <c r="F470" s="10">
        <v>2</v>
      </c>
    </row>
    <row r="471" spans="1:6" outlineLevel="2">
      <c r="A471" s="9" t="s">
        <v>194</v>
      </c>
      <c r="B471" s="9" t="s">
        <v>527</v>
      </c>
      <c r="C471" s="9" t="s">
        <v>712</v>
      </c>
      <c r="D471" s="10">
        <v>44</v>
      </c>
      <c r="E471" s="10" t="s">
        <v>11</v>
      </c>
      <c r="F471" s="10">
        <v>2</v>
      </c>
    </row>
    <row r="472" spans="1:6" outlineLevel="2">
      <c r="A472" s="9" t="s">
        <v>194</v>
      </c>
      <c r="B472" s="9" t="s">
        <v>527</v>
      </c>
      <c r="C472" s="9" t="s">
        <v>340</v>
      </c>
      <c r="D472" s="10">
        <v>42</v>
      </c>
      <c r="E472" s="10" t="s">
        <v>11</v>
      </c>
      <c r="F472" s="10">
        <v>2</v>
      </c>
    </row>
    <row r="473" spans="1:6" outlineLevel="2">
      <c r="A473" s="9" t="s">
        <v>194</v>
      </c>
      <c r="B473" s="9" t="s">
        <v>527</v>
      </c>
      <c r="C473" s="9" t="s">
        <v>636</v>
      </c>
      <c r="D473" s="10">
        <v>40</v>
      </c>
      <c r="E473" s="10" t="s">
        <v>11</v>
      </c>
      <c r="F473" s="10">
        <v>4</v>
      </c>
    </row>
    <row r="474" spans="1:6" outlineLevel="2">
      <c r="A474" s="9" t="s">
        <v>194</v>
      </c>
      <c r="B474" s="9" t="s">
        <v>761</v>
      </c>
      <c r="C474" s="9" t="s">
        <v>712</v>
      </c>
      <c r="D474" s="10">
        <v>40</v>
      </c>
      <c r="E474" s="10" t="s">
        <v>11</v>
      </c>
      <c r="F474" s="10">
        <v>2</v>
      </c>
    </row>
    <row r="475" spans="1:6" outlineLevel="2">
      <c r="A475" s="9" t="s">
        <v>194</v>
      </c>
      <c r="B475" s="9" t="s">
        <v>761</v>
      </c>
      <c r="C475" s="9" t="s">
        <v>828</v>
      </c>
      <c r="D475" s="10">
        <v>40</v>
      </c>
      <c r="E475" s="10" t="s">
        <v>11</v>
      </c>
      <c r="F475" s="10">
        <v>1</v>
      </c>
    </row>
    <row r="476" spans="1:6" outlineLevel="2">
      <c r="A476" s="9" t="s">
        <v>194</v>
      </c>
      <c r="B476" s="9" t="s">
        <v>529</v>
      </c>
      <c r="C476" s="9" t="s">
        <v>712</v>
      </c>
      <c r="D476" s="10">
        <v>41</v>
      </c>
      <c r="E476" s="10" t="s">
        <v>11</v>
      </c>
      <c r="F476" s="10">
        <v>2</v>
      </c>
    </row>
    <row r="477" spans="1:6" outlineLevel="2">
      <c r="A477" s="9" t="s">
        <v>194</v>
      </c>
      <c r="B477" s="9" t="s">
        <v>529</v>
      </c>
      <c r="C477" s="9" t="s">
        <v>340</v>
      </c>
      <c r="D477" s="10">
        <v>42</v>
      </c>
      <c r="E477" s="10" t="s">
        <v>11</v>
      </c>
      <c r="F477" s="10">
        <v>2</v>
      </c>
    </row>
    <row r="478" spans="1:6" outlineLevel="2">
      <c r="A478" s="9" t="s">
        <v>194</v>
      </c>
      <c r="B478" s="9" t="s">
        <v>634</v>
      </c>
      <c r="C478" s="9" t="s">
        <v>712</v>
      </c>
      <c r="D478" s="10">
        <v>50</v>
      </c>
      <c r="E478" s="10" t="s">
        <v>11</v>
      </c>
      <c r="F478" s="10">
        <v>2</v>
      </c>
    </row>
    <row r="479" spans="1:6" outlineLevel="2">
      <c r="A479" s="9" t="s">
        <v>194</v>
      </c>
      <c r="B479" s="9" t="s">
        <v>531</v>
      </c>
      <c r="C479" s="9" t="s">
        <v>340</v>
      </c>
      <c r="D479" s="10">
        <v>46</v>
      </c>
      <c r="E479" s="10" t="s">
        <v>11</v>
      </c>
      <c r="F479" s="10">
        <v>2</v>
      </c>
    </row>
    <row r="480" spans="1:6" outlineLevel="2">
      <c r="A480" s="9" t="s">
        <v>194</v>
      </c>
      <c r="B480" s="9" t="s">
        <v>533</v>
      </c>
      <c r="C480" s="9" t="s">
        <v>340</v>
      </c>
      <c r="D480" s="10">
        <v>42</v>
      </c>
      <c r="E480" s="10" t="s">
        <v>11</v>
      </c>
      <c r="F480" s="10">
        <v>2</v>
      </c>
    </row>
    <row r="481" spans="1:6" outlineLevel="2">
      <c r="A481" s="9" t="s">
        <v>194</v>
      </c>
      <c r="B481" s="9" t="s">
        <v>209</v>
      </c>
      <c r="C481" s="9" t="s">
        <v>10</v>
      </c>
      <c r="D481" s="10">
        <v>50</v>
      </c>
      <c r="E481" s="10" t="s">
        <v>11</v>
      </c>
      <c r="F481" s="10">
        <v>3</v>
      </c>
    </row>
    <row r="482" spans="1:6" outlineLevel="2">
      <c r="A482" s="9" t="s">
        <v>194</v>
      </c>
      <c r="B482" s="9" t="s">
        <v>211</v>
      </c>
      <c r="C482" s="9" t="s">
        <v>712</v>
      </c>
      <c r="D482" s="10">
        <v>43</v>
      </c>
      <c r="E482" s="10" t="s">
        <v>11</v>
      </c>
      <c r="F482" s="10">
        <v>2</v>
      </c>
    </row>
    <row r="483" spans="1:6" outlineLevel="2">
      <c r="A483" s="9" t="s">
        <v>194</v>
      </c>
      <c r="B483" s="9" t="s">
        <v>211</v>
      </c>
      <c r="C483" s="9" t="s">
        <v>10</v>
      </c>
      <c r="D483" s="10">
        <v>40</v>
      </c>
      <c r="E483" s="10" t="s">
        <v>11</v>
      </c>
      <c r="F483" s="10">
        <v>3</v>
      </c>
    </row>
    <row r="484" spans="1:6" outlineLevel="2">
      <c r="A484" s="9" t="s">
        <v>194</v>
      </c>
      <c r="B484" s="9" t="s">
        <v>213</v>
      </c>
      <c r="C484" s="9" t="s">
        <v>712</v>
      </c>
      <c r="D484" s="10">
        <v>50</v>
      </c>
      <c r="E484" s="10" t="s">
        <v>11</v>
      </c>
      <c r="F484" s="10">
        <v>2</v>
      </c>
    </row>
    <row r="485" spans="1:6" outlineLevel="2">
      <c r="A485" s="9" t="s">
        <v>194</v>
      </c>
      <c r="B485" s="9" t="s">
        <v>213</v>
      </c>
      <c r="C485" s="9" t="s">
        <v>340</v>
      </c>
      <c r="D485" s="10">
        <v>44</v>
      </c>
      <c r="E485" s="10" t="s">
        <v>11</v>
      </c>
      <c r="F485" s="10">
        <v>2</v>
      </c>
    </row>
    <row r="486" spans="1:6" outlineLevel="2">
      <c r="A486" s="9" t="s">
        <v>194</v>
      </c>
      <c r="B486" s="9" t="s">
        <v>213</v>
      </c>
      <c r="C486" s="9" t="s">
        <v>10</v>
      </c>
      <c r="D486" s="10">
        <v>50</v>
      </c>
      <c r="E486" s="10" t="s">
        <v>11</v>
      </c>
      <c r="F486" s="10">
        <v>3</v>
      </c>
    </row>
    <row r="487" spans="1:6" outlineLevel="2">
      <c r="A487" s="9" t="s">
        <v>194</v>
      </c>
      <c r="B487" s="9" t="s">
        <v>215</v>
      </c>
      <c r="C487" s="9" t="s">
        <v>712</v>
      </c>
      <c r="D487" s="10">
        <v>40</v>
      </c>
      <c r="E487" s="10" t="s">
        <v>11</v>
      </c>
      <c r="F487" s="10">
        <v>2</v>
      </c>
    </row>
    <row r="488" spans="1:6" outlineLevel="2">
      <c r="A488" s="9" t="s">
        <v>194</v>
      </c>
      <c r="B488" s="9" t="s">
        <v>215</v>
      </c>
      <c r="C488" s="9" t="s">
        <v>10</v>
      </c>
      <c r="D488" s="10">
        <v>40</v>
      </c>
      <c r="E488" s="10" t="s">
        <v>11</v>
      </c>
      <c r="F488" s="10">
        <v>3</v>
      </c>
    </row>
    <row r="489" spans="1:6" outlineLevel="2">
      <c r="A489" s="9" t="s">
        <v>194</v>
      </c>
      <c r="B489" s="9" t="s">
        <v>535</v>
      </c>
      <c r="C489" s="9" t="s">
        <v>712</v>
      </c>
      <c r="D489" s="10">
        <v>50</v>
      </c>
      <c r="E489" s="10" t="s">
        <v>11</v>
      </c>
      <c r="F489" s="10">
        <v>2</v>
      </c>
    </row>
    <row r="490" spans="1:6" outlineLevel="2">
      <c r="A490" s="9" t="s">
        <v>194</v>
      </c>
      <c r="B490" s="9" t="s">
        <v>535</v>
      </c>
      <c r="C490" s="9" t="s">
        <v>340</v>
      </c>
      <c r="D490" s="10">
        <v>48</v>
      </c>
      <c r="E490" s="10" t="s">
        <v>11</v>
      </c>
      <c r="F490" s="10">
        <v>2</v>
      </c>
    </row>
    <row r="491" spans="1:6" outlineLevel="1">
      <c r="A491" s="18" t="s">
        <v>1852</v>
      </c>
      <c r="B491" s="9">
        <f>SUBTOTAL(3,B452:B490)</f>
        <v>39</v>
      </c>
      <c r="C491" s="9"/>
      <c r="D491" s="10"/>
      <c r="E491" s="10"/>
      <c r="F491" s="10"/>
    </row>
    <row r="492" spans="1:6" outlineLevel="2">
      <c r="A492" s="9" t="s">
        <v>301</v>
      </c>
      <c r="B492" s="9" t="s">
        <v>302</v>
      </c>
      <c r="C492" s="9" t="s">
        <v>340</v>
      </c>
      <c r="D492" s="10">
        <v>50</v>
      </c>
      <c r="E492" s="10" t="s">
        <v>11</v>
      </c>
      <c r="F492" s="10">
        <v>2</v>
      </c>
    </row>
    <row r="493" spans="1:6" outlineLevel="2">
      <c r="A493" s="9" t="s">
        <v>301</v>
      </c>
      <c r="B493" s="9" t="s">
        <v>302</v>
      </c>
      <c r="C493" s="9" t="s">
        <v>10</v>
      </c>
      <c r="D493" s="10">
        <v>46</v>
      </c>
      <c r="E493" s="10" t="s">
        <v>11</v>
      </c>
      <c r="F493" s="10">
        <v>3</v>
      </c>
    </row>
    <row r="494" spans="1:6" outlineLevel="2">
      <c r="A494" s="9" t="s">
        <v>301</v>
      </c>
      <c r="B494" s="9" t="s">
        <v>463</v>
      </c>
      <c r="C494" s="9" t="s">
        <v>866</v>
      </c>
      <c r="D494" s="10">
        <v>55</v>
      </c>
      <c r="E494" s="10" t="s">
        <v>583</v>
      </c>
      <c r="F494" s="10">
        <v>1</v>
      </c>
    </row>
    <row r="495" spans="1:6" outlineLevel="2">
      <c r="A495" s="9" t="s">
        <v>301</v>
      </c>
      <c r="B495" s="9" t="s">
        <v>463</v>
      </c>
      <c r="C495" s="9" t="s">
        <v>340</v>
      </c>
      <c r="D495" s="10">
        <v>44</v>
      </c>
      <c r="E495" s="10" t="s">
        <v>11</v>
      </c>
      <c r="F495" s="10">
        <v>2</v>
      </c>
    </row>
    <row r="496" spans="1:6" outlineLevel="2">
      <c r="A496" s="9" t="s">
        <v>301</v>
      </c>
      <c r="B496" s="9" t="s">
        <v>463</v>
      </c>
      <c r="C496" s="9" t="s">
        <v>636</v>
      </c>
      <c r="D496" s="10">
        <v>40</v>
      </c>
      <c r="E496" s="10" t="s">
        <v>11</v>
      </c>
      <c r="F496" s="10">
        <v>4</v>
      </c>
    </row>
    <row r="497" spans="1:6" outlineLevel="2">
      <c r="A497" s="9" t="s">
        <v>301</v>
      </c>
      <c r="B497" s="9" t="s">
        <v>465</v>
      </c>
      <c r="C497" s="9" t="s">
        <v>340</v>
      </c>
      <c r="D497" s="10">
        <v>53</v>
      </c>
      <c r="E497" s="10" t="s">
        <v>11</v>
      </c>
      <c r="F497" s="10">
        <v>2</v>
      </c>
    </row>
    <row r="498" spans="1:6" outlineLevel="2">
      <c r="A498" s="9" t="s">
        <v>301</v>
      </c>
      <c r="B498" s="9" t="s">
        <v>304</v>
      </c>
      <c r="C498" s="9" t="s">
        <v>866</v>
      </c>
      <c r="D498" s="10">
        <v>51</v>
      </c>
      <c r="E498" s="10" t="s">
        <v>583</v>
      </c>
      <c r="F498" s="10">
        <v>1</v>
      </c>
    </row>
    <row r="499" spans="1:6" outlineLevel="2">
      <c r="A499" s="9" t="s">
        <v>301</v>
      </c>
      <c r="B499" s="9" t="s">
        <v>304</v>
      </c>
      <c r="C499" s="9" t="s">
        <v>702</v>
      </c>
      <c r="D499" s="10">
        <v>56</v>
      </c>
      <c r="E499" s="10" t="s">
        <v>11</v>
      </c>
      <c r="F499" s="10">
        <v>2</v>
      </c>
    </row>
    <row r="500" spans="1:6" outlineLevel="2">
      <c r="A500" s="9" t="s">
        <v>301</v>
      </c>
      <c r="B500" s="9" t="s">
        <v>304</v>
      </c>
      <c r="C500" s="9" t="s">
        <v>828</v>
      </c>
      <c r="D500" s="10">
        <v>50</v>
      </c>
      <c r="E500" s="10" t="s">
        <v>11</v>
      </c>
      <c r="F500" s="10">
        <v>1</v>
      </c>
    </row>
    <row r="501" spans="1:6" outlineLevel="2">
      <c r="A501" s="9" t="s">
        <v>301</v>
      </c>
      <c r="B501" s="9" t="s">
        <v>304</v>
      </c>
      <c r="C501" s="9" t="s">
        <v>10</v>
      </c>
      <c r="D501" s="10">
        <v>42</v>
      </c>
      <c r="E501" s="10" t="s">
        <v>11</v>
      </c>
      <c r="F501" s="10">
        <v>3</v>
      </c>
    </row>
    <row r="502" spans="1:6" outlineLevel="2">
      <c r="A502" s="9" t="s">
        <v>301</v>
      </c>
      <c r="B502" s="9" t="s">
        <v>306</v>
      </c>
      <c r="C502" s="9" t="s">
        <v>866</v>
      </c>
      <c r="D502" s="10">
        <v>55</v>
      </c>
      <c r="E502" s="10" t="s">
        <v>583</v>
      </c>
      <c r="F502" s="10">
        <v>1</v>
      </c>
    </row>
    <row r="503" spans="1:6" outlineLevel="2">
      <c r="A503" s="9" t="s">
        <v>301</v>
      </c>
      <c r="B503" s="9" t="s">
        <v>306</v>
      </c>
      <c r="C503" s="9" t="s">
        <v>712</v>
      </c>
      <c r="D503" s="10">
        <v>48</v>
      </c>
      <c r="E503" s="10" t="s">
        <v>11</v>
      </c>
      <c r="F503" s="10">
        <v>2</v>
      </c>
    </row>
    <row r="504" spans="1:6" outlineLevel="2">
      <c r="A504" s="9" t="s">
        <v>301</v>
      </c>
      <c r="B504" s="9" t="s">
        <v>306</v>
      </c>
      <c r="C504" s="9" t="s">
        <v>340</v>
      </c>
      <c r="D504" s="10">
        <v>56</v>
      </c>
      <c r="E504" s="10" t="s">
        <v>11</v>
      </c>
      <c r="F504" s="10">
        <v>2</v>
      </c>
    </row>
    <row r="505" spans="1:6" outlineLevel="2">
      <c r="A505" s="9" t="s">
        <v>301</v>
      </c>
      <c r="B505" s="9" t="s">
        <v>306</v>
      </c>
      <c r="C505" s="9" t="s">
        <v>10</v>
      </c>
      <c r="D505" s="10">
        <v>55</v>
      </c>
      <c r="E505" s="10" t="s">
        <v>11</v>
      </c>
      <c r="F505" s="10">
        <v>3</v>
      </c>
    </row>
    <row r="506" spans="1:6" outlineLevel="2">
      <c r="A506" s="9" t="s">
        <v>301</v>
      </c>
      <c r="B506" s="9" t="s">
        <v>306</v>
      </c>
      <c r="C506" s="9" t="s">
        <v>636</v>
      </c>
      <c r="D506" s="10">
        <v>50</v>
      </c>
      <c r="E506" s="10" t="s">
        <v>11</v>
      </c>
      <c r="F506" s="10">
        <v>4</v>
      </c>
    </row>
    <row r="507" spans="1:6" outlineLevel="2">
      <c r="A507" s="9" t="s">
        <v>301</v>
      </c>
      <c r="B507" s="9" t="s">
        <v>306</v>
      </c>
      <c r="C507" s="9" t="s">
        <v>838</v>
      </c>
      <c r="D507" s="10">
        <v>49</v>
      </c>
      <c r="E507" s="10" t="s">
        <v>11</v>
      </c>
      <c r="F507" s="10">
        <v>2</v>
      </c>
    </row>
    <row r="508" spans="1:6" outlineLevel="2">
      <c r="A508" s="9" t="s">
        <v>301</v>
      </c>
      <c r="B508" s="9" t="s">
        <v>308</v>
      </c>
      <c r="C508" s="9" t="s">
        <v>866</v>
      </c>
      <c r="D508" s="10">
        <v>54</v>
      </c>
      <c r="E508" s="10" t="s">
        <v>583</v>
      </c>
      <c r="F508" s="10">
        <v>1</v>
      </c>
    </row>
    <row r="509" spans="1:6" outlineLevel="2">
      <c r="A509" s="9" t="s">
        <v>301</v>
      </c>
      <c r="B509" s="9" t="s">
        <v>308</v>
      </c>
      <c r="C509" s="9" t="s">
        <v>712</v>
      </c>
      <c r="D509" s="10">
        <v>50</v>
      </c>
      <c r="E509" s="10" t="s">
        <v>11</v>
      </c>
      <c r="F509" s="10">
        <v>2</v>
      </c>
    </row>
    <row r="510" spans="1:6" outlineLevel="2">
      <c r="A510" s="9" t="s">
        <v>301</v>
      </c>
      <c r="B510" s="9" t="s">
        <v>308</v>
      </c>
      <c r="C510" s="9" t="s">
        <v>10</v>
      </c>
      <c r="D510" s="10">
        <v>55</v>
      </c>
      <c r="E510" s="10" t="s">
        <v>11</v>
      </c>
      <c r="F510" s="10">
        <v>3</v>
      </c>
    </row>
    <row r="511" spans="1:6" outlineLevel="2">
      <c r="A511" s="9" t="s">
        <v>301</v>
      </c>
      <c r="B511" s="9" t="s">
        <v>308</v>
      </c>
      <c r="C511" s="9" t="s">
        <v>636</v>
      </c>
      <c r="D511" s="10">
        <v>40</v>
      </c>
      <c r="E511" s="10" t="s">
        <v>11</v>
      </c>
      <c r="F511" s="10">
        <v>4</v>
      </c>
    </row>
    <row r="512" spans="1:6" outlineLevel="2">
      <c r="A512" s="9" t="s">
        <v>301</v>
      </c>
      <c r="B512" s="9" t="s">
        <v>310</v>
      </c>
      <c r="C512" s="9" t="s">
        <v>712</v>
      </c>
      <c r="D512" s="10">
        <v>47</v>
      </c>
      <c r="E512" s="10" t="s">
        <v>11</v>
      </c>
      <c r="F512" s="10">
        <v>2</v>
      </c>
    </row>
    <row r="513" spans="1:6" outlineLevel="2">
      <c r="A513" s="9" t="s">
        <v>301</v>
      </c>
      <c r="B513" s="9" t="s">
        <v>310</v>
      </c>
      <c r="C513" s="9" t="s">
        <v>340</v>
      </c>
      <c r="D513" s="10">
        <v>55</v>
      </c>
      <c r="E513" s="10" t="s">
        <v>11</v>
      </c>
      <c r="F513" s="10">
        <v>2</v>
      </c>
    </row>
    <row r="514" spans="1:6" outlineLevel="2">
      <c r="A514" s="9" t="s">
        <v>301</v>
      </c>
      <c r="B514" s="9" t="s">
        <v>310</v>
      </c>
      <c r="C514" s="9" t="s">
        <v>10</v>
      </c>
      <c r="D514" s="10">
        <v>42</v>
      </c>
      <c r="E514" s="10" t="s">
        <v>11</v>
      </c>
      <c r="F514" s="10">
        <v>3</v>
      </c>
    </row>
    <row r="515" spans="1:6" outlineLevel="2">
      <c r="A515" s="9" t="s">
        <v>301</v>
      </c>
      <c r="B515" s="9" t="s">
        <v>310</v>
      </c>
      <c r="C515" s="9" t="s">
        <v>636</v>
      </c>
      <c r="D515" s="10">
        <v>43</v>
      </c>
      <c r="E515" s="10" t="s">
        <v>11</v>
      </c>
      <c r="F515" s="10">
        <v>4</v>
      </c>
    </row>
    <row r="516" spans="1:6" outlineLevel="2">
      <c r="A516" s="9" t="s">
        <v>301</v>
      </c>
      <c r="B516" s="9" t="s">
        <v>312</v>
      </c>
      <c r="C516" s="9" t="s">
        <v>10</v>
      </c>
      <c r="D516" s="10">
        <v>58</v>
      </c>
      <c r="E516" s="10" t="s">
        <v>11</v>
      </c>
      <c r="F516" s="10">
        <v>3</v>
      </c>
    </row>
    <row r="517" spans="1:6" outlineLevel="2">
      <c r="A517" s="9" t="s">
        <v>301</v>
      </c>
      <c r="B517" s="9" t="s">
        <v>312</v>
      </c>
      <c r="C517" s="9" t="s">
        <v>838</v>
      </c>
      <c r="D517" s="10">
        <v>45</v>
      </c>
      <c r="E517" s="10" t="s">
        <v>11</v>
      </c>
      <c r="F517" s="10">
        <v>2</v>
      </c>
    </row>
    <row r="518" spans="1:6" outlineLevel="2">
      <c r="A518" s="9" t="s">
        <v>301</v>
      </c>
      <c r="B518" s="9" t="s">
        <v>731</v>
      </c>
      <c r="C518" s="9" t="s">
        <v>712</v>
      </c>
      <c r="D518" s="10">
        <v>48</v>
      </c>
      <c r="E518" s="10" t="s">
        <v>11</v>
      </c>
      <c r="F518" s="10">
        <v>2</v>
      </c>
    </row>
    <row r="519" spans="1:6" outlineLevel="2">
      <c r="A519" s="9" t="s">
        <v>301</v>
      </c>
      <c r="B519" s="9" t="s">
        <v>314</v>
      </c>
      <c r="C519" s="9" t="s">
        <v>866</v>
      </c>
      <c r="D519" s="10">
        <v>51</v>
      </c>
      <c r="E519" s="10" t="s">
        <v>583</v>
      </c>
      <c r="F519" s="10">
        <v>1</v>
      </c>
    </row>
    <row r="520" spans="1:6" outlineLevel="2">
      <c r="A520" s="9" t="s">
        <v>301</v>
      </c>
      <c r="B520" s="9" t="s">
        <v>314</v>
      </c>
      <c r="C520" s="9" t="s">
        <v>828</v>
      </c>
      <c r="D520" s="10">
        <v>54</v>
      </c>
      <c r="E520" s="10" t="s">
        <v>11</v>
      </c>
      <c r="F520" s="10">
        <v>1</v>
      </c>
    </row>
    <row r="521" spans="1:6" outlineLevel="2">
      <c r="A521" s="9" t="s">
        <v>301</v>
      </c>
      <c r="B521" s="9" t="s">
        <v>314</v>
      </c>
      <c r="C521" s="9" t="s">
        <v>10</v>
      </c>
      <c r="D521" s="10">
        <v>40</v>
      </c>
      <c r="E521" s="10" t="s">
        <v>11</v>
      </c>
      <c r="F521" s="10">
        <v>3</v>
      </c>
    </row>
    <row r="522" spans="1:6" outlineLevel="2">
      <c r="A522" s="9" t="s">
        <v>301</v>
      </c>
      <c r="B522" s="9" t="s">
        <v>314</v>
      </c>
      <c r="C522" s="9" t="s">
        <v>636</v>
      </c>
      <c r="D522" s="10">
        <v>40</v>
      </c>
      <c r="E522" s="10" t="s">
        <v>11</v>
      </c>
      <c r="F522" s="10">
        <v>4</v>
      </c>
    </row>
    <row r="523" spans="1:6" outlineLevel="2">
      <c r="A523" s="9" t="s">
        <v>301</v>
      </c>
      <c r="B523" s="9" t="s">
        <v>314</v>
      </c>
      <c r="C523" s="9" t="s">
        <v>838</v>
      </c>
      <c r="D523" s="10">
        <v>42</v>
      </c>
      <c r="E523" s="10" t="s">
        <v>11</v>
      </c>
      <c r="F523" s="10">
        <v>2</v>
      </c>
    </row>
    <row r="524" spans="1:6" outlineLevel="2">
      <c r="A524" s="9" t="s">
        <v>301</v>
      </c>
      <c r="B524" s="9" t="s">
        <v>705</v>
      </c>
      <c r="C524" s="9" t="s">
        <v>866</v>
      </c>
      <c r="D524" s="10">
        <v>56</v>
      </c>
      <c r="E524" s="10" t="s">
        <v>583</v>
      </c>
      <c r="F524" s="10">
        <v>1</v>
      </c>
    </row>
    <row r="525" spans="1:6" outlineLevel="2">
      <c r="A525" s="9" t="s">
        <v>301</v>
      </c>
      <c r="B525" s="9" t="s">
        <v>705</v>
      </c>
      <c r="C525" s="9" t="s">
        <v>702</v>
      </c>
      <c r="D525" s="10">
        <v>43</v>
      </c>
      <c r="E525" s="10" t="s">
        <v>11</v>
      </c>
      <c r="F525" s="10">
        <v>2</v>
      </c>
    </row>
    <row r="526" spans="1:6" outlineLevel="2">
      <c r="A526" s="9" t="s">
        <v>301</v>
      </c>
      <c r="B526" s="9" t="s">
        <v>705</v>
      </c>
      <c r="C526" s="9" t="s">
        <v>828</v>
      </c>
      <c r="D526" s="10">
        <v>43</v>
      </c>
      <c r="E526" s="10" t="s">
        <v>11</v>
      </c>
      <c r="F526" s="10">
        <v>1</v>
      </c>
    </row>
    <row r="527" spans="1:6" outlineLevel="2">
      <c r="A527" s="9" t="s">
        <v>301</v>
      </c>
      <c r="B527" s="9" t="s">
        <v>867</v>
      </c>
      <c r="C527" s="9" t="s">
        <v>866</v>
      </c>
      <c r="D527" s="10">
        <v>49</v>
      </c>
      <c r="E527" s="10" t="s">
        <v>583</v>
      </c>
      <c r="F527" s="10">
        <v>1</v>
      </c>
    </row>
    <row r="528" spans="1:6" outlineLevel="2">
      <c r="A528" s="9" t="s">
        <v>301</v>
      </c>
      <c r="B528" s="9" t="s">
        <v>316</v>
      </c>
      <c r="C528" s="9" t="s">
        <v>866</v>
      </c>
      <c r="D528" s="10">
        <v>51</v>
      </c>
      <c r="E528" s="10" t="s">
        <v>583</v>
      </c>
      <c r="F528" s="10">
        <v>1</v>
      </c>
    </row>
    <row r="529" spans="1:6" outlineLevel="2">
      <c r="A529" s="9" t="s">
        <v>301</v>
      </c>
      <c r="B529" s="9" t="s">
        <v>316</v>
      </c>
      <c r="C529" s="9" t="s">
        <v>10</v>
      </c>
      <c r="D529" s="10">
        <v>57</v>
      </c>
      <c r="E529" s="10" t="s">
        <v>11</v>
      </c>
      <c r="F529" s="10">
        <v>3</v>
      </c>
    </row>
    <row r="530" spans="1:6" outlineLevel="2">
      <c r="A530" s="9" t="s">
        <v>301</v>
      </c>
      <c r="B530" s="9" t="s">
        <v>316</v>
      </c>
      <c r="C530" s="9" t="s">
        <v>636</v>
      </c>
      <c r="D530" s="10">
        <v>50</v>
      </c>
      <c r="E530" s="10" t="s">
        <v>11</v>
      </c>
      <c r="F530" s="10">
        <v>4</v>
      </c>
    </row>
    <row r="531" spans="1:6" outlineLevel="2">
      <c r="A531" s="9" t="s">
        <v>301</v>
      </c>
      <c r="B531" s="9" t="s">
        <v>467</v>
      </c>
      <c r="C531" s="9" t="s">
        <v>866</v>
      </c>
      <c r="D531" s="10">
        <v>58</v>
      </c>
      <c r="E531" s="10" t="s">
        <v>583</v>
      </c>
      <c r="F531" s="10">
        <v>1</v>
      </c>
    </row>
    <row r="532" spans="1:6" outlineLevel="2">
      <c r="A532" s="9" t="s">
        <v>301</v>
      </c>
      <c r="B532" s="9" t="s">
        <v>467</v>
      </c>
      <c r="C532" s="9" t="s">
        <v>712</v>
      </c>
      <c r="D532" s="10">
        <v>51</v>
      </c>
      <c r="E532" s="10" t="s">
        <v>11</v>
      </c>
      <c r="F532" s="10">
        <v>2</v>
      </c>
    </row>
    <row r="533" spans="1:6" outlineLevel="2">
      <c r="A533" s="9" t="s">
        <v>301</v>
      </c>
      <c r="B533" s="9" t="s">
        <v>467</v>
      </c>
      <c r="C533" s="9" t="s">
        <v>340</v>
      </c>
      <c r="D533" s="10">
        <v>49</v>
      </c>
      <c r="E533" s="10" t="s">
        <v>11</v>
      </c>
      <c r="F533" s="10">
        <v>2</v>
      </c>
    </row>
    <row r="534" spans="1:6" outlineLevel="2">
      <c r="A534" s="9" t="s">
        <v>301</v>
      </c>
      <c r="B534" s="9" t="s">
        <v>467</v>
      </c>
      <c r="C534" s="9" t="s">
        <v>636</v>
      </c>
      <c r="D534" s="10">
        <v>44</v>
      </c>
      <c r="E534" s="10" t="s">
        <v>11</v>
      </c>
      <c r="F534" s="10">
        <v>4</v>
      </c>
    </row>
    <row r="535" spans="1:6" outlineLevel="2">
      <c r="A535" s="9" t="s">
        <v>301</v>
      </c>
      <c r="B535" s="9" t="s">
        <v>318</v>
      </c>
      <c r="C535" s="9" t="s">
        <v>866</v>
      </c>
      <c r="D535" s="10">
        <v>46</v>
      </c>
      <c r="E535" s="10" t="s">
        <v>583</v>
      </c>
      <c r="F535" s="10">
        <v>1</v>
      </c>
    </row>
    <row r="536" spans="1:6" outlineLevel="2">
      <c r="A536" s="9" t="s">
        <v>301</v>
      </c>
      <c r="B536" s="9" t="s">
        <v>318</v>
      </c>
      <c r="C536" s="9" t="s">
        <v>702</v>
      </c>
      <c r="D536" s="10">
        <v>48</v>
      </c>
      <c r="E536" s="10" t="s">
        <v>11</v>
      </c>
      <c r="F536" s="10">
        <v>2</v>
      </c>
    </row>
    <row r="537" spans="1:6" outlineLevel="2">
      <c r="A537" s="9" t="s">
        <v>301</v>
      </c>
      <c r="B537" s="9" t="s">
        <v>318</v>
      </c>
      <c r="C537" s="9" t="s">
        <v>712</v>
      </c>
      <c r="D537" s="10">
        <v>47</v>
      </c>
      <c r="E537" s="10" t="s">
        <v>11</v>
      </c>
      <c r="F537" s="10">
        <v>2</v>
      </c>
    </row>
    <row r="538" spans="1:6" outlineLevel="2">
      <c r="A538" s="9" t="s">
        <v>301</v>
      </c>
      <c r="B538" s="9" t="s">
        <v>318</v>
      </c>
      <c r="C538" s="9" t="s">
        <v>340</v>
      </c>
      <c r="D538" s="10">
        <v>44</v>
      </c>
      <c r="E538" s="10" t="s">
        <v>11</v>
      </c>
      <c r="F538" s="10">
        <v>2</v>
      </c>
    </row>
    <row r="539" spans="1:6" outlineLevel="2">
      <c r="A539" s="9" t="s">
        <v>301</v>
      </c>
      <c r="B539" s="9" t="s">
        <v>318</v>
      </c>
      <c r="C539" s="9" t="s">
        <v>10</v>
      </c>
      <c r="D539" s="10">
        <v>45</v>
      </c>
      <c r="E539" s="10" t="s">
        <v>11</v>
      </c>
      <c r="F539" s="10">
        <v>3</v>
      </c>
    </row>
    <row r="540" spans="1:6" outlineLevel="2">
      <c r="A540" s="9" t="s">
        <v>301</v>
      </c>
      <c r="B540" s="9" t="s">
        <v>469</v>
      </c>
      <c r="C540" s="9" t="s">
        <v>340</v>
      </c>
      <c r="D540" s="10">
        <v>47</v>
      </c>
      <c r="E540" s="10" t="s">
        <v>11</v>
      </c>
      <c r="F540" s="10">
        <v>2</v>
      </c>
    </row>
    <row r="541" spans="1:6" outlineLevel="2">
      <c r="A541" s="9" t="s">
        <v>301</v>
      </c>
      <c r="B541" s="9" t="s">
        <v>469</v>
      </c>
      <c r="C541" s="9" t="s">
        <v>636</v>
      </c>
      <c r="D541" s="10">
        <v>43</v>
      </c>
      <c r="E541" s="10" t="s">
        <v>11</v>
      </c>
      <c r="F541" s="10">
        <v>4</v>
      </c>
    </row>
    <row r="542" spans="1:6" outlineLevel="2">
      <c r="A542" s="9" t="s">
        <v>301</v>
      </c>
      <c r="B542" s="9" t="s">
        <v>869</v>
      </c>
      <c r="C542" s="9" t="s">
        <v>866</v>
      </c>
      <c r="D542" s="10">
        <v>43</v>
      </c>
      <c r="E542" s="10" t="s">
        <v>583</v>
      </c>
      <c r="F542" s="10">
        <v>1</v>
      </c>
    </row>
    <row r="543" spans="1:6" outlineLevel="2">
      <c r="A543" s="9" t="s">
        <v>301</v>
      </c>
      <c r="B543" s="9" t="s">
        <v>471</v>
      </c>
      <c r="C543" s="9" t="s">
        <v>866</v>
      </c>
      <c r="D543" s="10">
        <v>53</v>
      </c>
      <c r="E543" s="10" t="s">
        <v>583</v>
      </c>
      <c r="F543" s="10">
        <v>1</v>
      </c>
    </row>
    <row r="544" spans="1:6" outlineLevel="2">
      <c r="A544" s="9" t="s">
        <v>301</v>
      </c>
      <c r="B544" s="9" t="s">
        <v>471</v>
      </c>
      <c r="C544" s="9" t="s">
        <v>340</v>
      </c>
      <c r="D544" s="10">
        <v>55</v>
      </c>
      <c r="E544" s="10" t="s">
        <v>11</v>
      </c>
      <c r="F544" s="10">
        <v>2</v>
      </c>
    </row>
    <row r="545" spans="1:6" outlineLevel="2">
      <c r="A545" s="9" t="s">
        <v>301</v>
      </c>
      <c r="B545" s="9" t="s">
        <v>320</v>
      </c>
      <c r="C545" s="9" t="s">
        <v>866</v>
      </c>
      <c r="D545" s="10">
        <v>51</v>
      </c>
      <c r="E545" s="10" t="s">
        <v>583</v>
      </c>
      <c r="F545" s="10">
        <v>1</v>
      </c>
    </row>
    <row r="546" spans="1:6" outlineLevel="2">
      <c r="A546" s="9" t="s">
        <v>301</v>
      </c>
      <c r="B546" s="9" t="s">
        <v>320</v>
      </c>
      <c r="C546" s="9" t="s">
        <v>10</v>
      </c>
      <c r="D546" s="10">
        <v>43</v>
      </c>
      <c r="E546" s="10" t="s">
        <v>11</v>
      </c>
      <c r="F546" s="10">
        <v>3</v>
      </c>
    </row>
    <row r="547" spans="1:6" outlineLevel="2">
      <c r="A547" s="9" t="s">
        <v>301</v>
      </c>
      <c r="B547" s="9" t="s">
        <v>320</v>
      </c>
      <c r="C547" s="9" t="s">
        <v>636</v>
      </c>
      <c r="D547" s="10">
        <v>40</v>
      </c>
      <c r="E547" s="10" t="s">
        <v>11</v>
      </c>
      <c r="F547" s="10">
        <v>4</v>
      </c>
    </row>
    <row r="548" spans="1:6" outlineLevel="2">
      <c r="A548" s="9" t="s">
        <v>301</v>
      </c>
      <c r="B548" s="9" t="s">
        <v>320</v>
      </c>
      <c r="C548" s="9" t="s">
        <v>838</v>
      </c>
      <c r="D548" s="10">
        <v>48</v>
      </c>
      <c r="E548" s="10" t="s">
        <v>11</v>
      </c>
      <c r="F548" s="10">
        <v>2</v>
      </c>
    </row>
    <row r="549" spans="1:6" outlineLevel="2">
      <c r="A549" s="9" t="s">
        <v>301</v>
      </c>
      <c r="B549" s="9" t="s">
        <v>677</v>
      </c>
      <c r="C549" s="9" t="s">
        <v>866</v>
      </c>
      <c r="D549" s="10">
        <v>57</v>
      </c>
      <c r="E549" s="10" t="s">
        <v>583</v>
      </c>
      <c r="F549" s="10">
        <v>1</v>
      </c>
    </row>
    <row r="550" spans="1:6" outlineLevel="2">
      <c r="A550" s="9" t="s">
        <v>301</v>
      </c>
      <c r="B550" s="9" t="s">
        <v>677</v>
      </c>
      <c r="C550" s="9" t="s">
        <v>712</v>
      </c>
      <c r="D550" s="10">
        <v>47</v>
      </c>
      <c r="E550" s="10" t="s">
        <v>11</v>
      </c>
      <c r="F550" s="10">
        <v>2</v>
      </c>
    </row>
    <row r="551" spans="1:6" outlineLevel="2">
      <c r="A551" s="9" t="s">
        <v>301</v>
      </c>
      <c r="B551" s="9" t="s">
        <v>677</v>
      </c>
      <c r="C551" s="9" t="s">
        <v>636</v>
      </c>
      <c r="D551" s="10">
        <v>45</v>
      </c>
      <c r="E551" s="10" t="s">
        <v>11</v>
      </c>
      <c r="F551" s="10">
        <v>4</v>
      </c>
    </row>
    <row r="552" spans="1:6" outlineLevel="2">
      <c r="A552" s="9" t="s">
        <v>301</v>
      </c>
      <c r="B552" s="9" t="s">
        <v>473</v>
      </c>
      <c r="C552" s="9" t="s">
        <v>866</v>
      </c>
      <c r="D552" s="10">
        <v>44</v>
      </c>
      <c r="E552" s="10" t="s">
        <v>583</v>
      </c>
      <c r="F552" s="10">
        <v>1</v>
      </c>
    </row>
    <row r="553" spans="1:6" outlineLevel="2">
      <c r="A553" s="9" t="s">
        <v>301</v>
      </c>
      <c r="B553" s="9" t="s">
        <v>473</v>
      </c>
      <c r="C553" s="9" t="s">
        <v>712</v>
      </c>
      <c r="D553" s="10">
        <v>40</v>
      </c>
      <c r="E553" s="10" t="s">
        <v>11</v>
      </c>
      <c r="F553" s="10">
        <v>2</v>
      </c>
    </row>
    <row r="554" spans="1:6" outlineLevel="2">
      <c r="A554" s="9" t="s">
        <v>301</v>
      </c>
      <c r="B554" s="9" t="s">
        <v>473</v>
      </c>
      <c r="C554" s="9" t="s">
        <v>340</v>
      </c>
      <c r="D554" s="10">
        <v>40</v>
      </c>
      <c r="E554" s="10" t="s">
        <v>11</v>
      </c>
      <c r="F554" s="10">
        <v>2</v>
      </c>
    </row>
    <row r="555" spans="1:6" outlineLevel="2">
      <c r="A555" s="9" t="s">
        <v>301</v>
      </c>
      <c r="B555" s="9" t="s">
        <v>473</v>
      </c>
      <c r="C555" s="9" t="s">
        <v>838</v>
      </c>
      <c r="D555" s="10">
        <v>47</v>
      </c>
      <c r="E555" s="10" t="s">
        <v>11</v>
      </c>
      <c r="F555" s="10">
        <v>2</v>
      </c>
    </row>
    <row r="556" spans="1:6" outlineLevel="2">
      <c r="A556" s="9" t="s">
        <v>301</v>
      </c>
      <c r="B556" s="9" t="s">
        <v>475</v>
      </c>
      <c r="C556" s="9" t="s">
        <v>340</v>
      </c>
      <c r="D556" s="10">
        <v>49</v>
      </c>
      <c r="E556" s="10" t="s">
        <v>11</v>
      </c>
      <c r="F556" s="10">
        <v>2</v>
      </c>
    </row>
    <row r="557" spans="1:6" outlineLevel="2">
      <c r="A557" s="9" t="s">
        <v>301</v>
      </c>
      <c r="B557" s="9" t="s">
        <v>477</v>
      </c>
      <c r="C557" s="9" t="s">
        <v>340</v>
      </c>
      <c r="D557" s="10">
        <v>55</v>
      </c>
      <c r="E557" s="10" t="s">
        <v>11</v>
      </c>
      <c r="F557" s="10">
        <v>2</v>
      </c>
    </row>
    <row r="558" spans="1:6" outlineLevel="1">
      <c r="A558" s="18" t="s">
        <v>1853</v>
      </c>
      <c r="B558" s="9">
        <f>SUBTOTAL(3,B492:B557)</f>
        <v>66</v>
      </c>
      <c r="C558" s="9"/>
      <c r="D558" s="10"/>
      <c r="E558" s="10"/>
      <c r="F558" s="10"/>
    </row>
    <row r="559" spans="1:6" outlineLevel="2">
      <c r="A559" s="9" t="s">
        <v>84</v>
      </c>
      <c r="B559" s="9" t="s">
        <v>85</v>
      </c>
      <c r="C559" s="9" t="s">
        <v>10</v>
      </c>
      <c r="D559" s="10">
        <v>45</v>
      </c>
      <c r="E559" s="10" t="s">
        <v>11</v>
      </c>
      <c r="F559" s="10">
        <v>3</v>
      </c>
    </row>
    <row r="560" spans="1:6" outlineLevel="2">
      <c r="A560" s="9" t="s">
        <v>84</v>
      </c>
      <c r="B560" s="9" t="s">
        <v>441</v>
      </c>
      <c r="C560" s="9" t="s">
        <v>340</v>
      </c>
      <c r="D560" s="10">
        <v>54</v>
      </c>
      <c r="E560" s="10" t="s">
        <v>11</v>
      </c>
      <c r="F560" s="10">
        <v>2</v>
      </c>
    </row>
    <row r="561" spans="1:6" outlineLevel="2">
      <c r="A561" s="9" t="s">
        <v>84</v>
      </c>
      <c r="B561" s="9" t="s">
        <v>87</v>
      </c>
      <c r="C561" s="9" t="s">
        <v>10</v>
      </c>
      <c r="D561" s="10">
        <v>47</v>
      </c>
      <c r="E561" s="10" t="s">
        <v>11</v>
      </c>
      <c r="F561" s="10">
        <v>3</v>
      </c>
    </row>
    <row r="562" spans="1:6" outlineLevel="2">
      <c r="A562" s="9" t="s">
        <v>84</v>
      </c>
      <c r="B562" s="9" t="s">
        <v>87</v>
      </c>
      <c r="C562" s="9" t="s">
        <v>838</v>
      </c>
      <c r="D562" s="10">
        <v>55</v>
      </c>
      <c r="E562" s="10" t="s">
        <v>11</v>
      </c>
      <c r="F562" s="10">
        <v>2</v>
      </c>
    </row>
    <row r="563" spans="1:6" outlineLevel="2">
      <c r="A563" s="9" t="s">
        <v>84</v>
      </c>
      <c r="B563" s="9" t="s">
        <v>89</v>
      </c>
      <c r="C563" s="9" t="s">
        <v>712</v>
      </c>
      <c r="D563" s="10">
        <v>54</v>
      </c>
      <c r="E563" s="10" t="s">
        <v>11</v>
      </c>
      <c r="F563" s="10">
        <v>2</v>
      </c>
    </row>
    <row r="564" spans="1:6" outlineLevel="2">
      <c r="A564" s="9" t="s">
        <v>84</v>
      </c>
      <c r="B564" s="9" t="s">
        <v>89</v>
      </c>
      <c r="C564" s="9" t="s">
        <v>340</v>
      </c>
      <c r="D564" s="10">
        <v>40</v>
      </c>
      <c r="E564" s="10" t="s">
        <v>11</v>
      </c>
      <c r="F564" s="10">
        <v>2</v>
      </c>
    </row>
    <row r="565" spans="1:6" outlineLevel="2">
      <c r="A565" s="9" t="s">
        <v>84</v>
      </c>
      <c r="B565" s="9" t="s">
        <v>89</v>
      </c>
      <c r="C565" s="9" t="s">
        <v>10</v>
      </c>
      <c r="D565" s="10">
        <v>50</v>
      </c>
      <c r="E565" s="10" t="s">
        <v>11</v>
      </c>
      <c r="F565" s="10">
        <v>3</v>
      </c>
    </row>
    <row r="566" spans="1:6" outlineLevel="2">
      <c r="A566" s="9" t="s">
        <v>84</v>
      </c>
      <c r="B566" s="9" t="s">
        <v>89</v>
      </c>
      <c r="C566" s="9" t="s">
        <v>838</v>
      </c>
      <c r="D566" s="10">
        <v>49</v>
      </c>
      <c r="E566" s="10" t="s">
        <v>11</v>
      </c>
      <c r="F566" s="10">
        <v>2</v>
      </c>
    </row>
    <row r="567" spans="1:6" outlineLevel="2">
      <c r="A567" s="9" t="s">
        <v>84</v>
      </c>
      <c r="B567" s="9" t="s">
        <v>443</v>
      </c>
      <c r="C567" s="9" t="s">
        <v>340</v>
      </c>
      <c r="D567" s="10">
        <v>49</v>
      </c>
      <c r="E567" s="10" t="s">
        <v>11</v>
      </c>
      <c r="F567" s="10">
        <v>2</v>
      </c>
    </row>
    <row r="568" spans="1:6" outlineLevel="2">
      <c r="A568" s="9" t="s">
        <v>84</v>
      </c>
      <c r="B568" s="9" t="s">
        <v>751</v>
      </c>
      <c r="C568" s="9" t="s">
        <v>712</v>
      </c>
      <c r="D568" s="10">
        <v>42</v>
      </c>
      <c r="E568" s="10" t="s">
        <v>11</v>
      </c>
      <c r="F568" s="10">
        <v>2</v>
      </c>
    </row>
    <row r="569" spans="1:6" outlineLevel="2">
      <c r="A569" s="9" t="s">
        <v>84</v>
      </c>
      <c r="B569" s="9" t="s">
        <v>91</v>
      </c>
      <c r="C569" s="9" t="s">
        <v>340</v>
      </c>
      <c r="D569" s="10">
        <v>40</v>
      </c>
      <c r="E569" s="10" t="s">
        <v>11</v>
      </c>
      <c r="F569" s="10">
        <v>2</v>
      </c>
    </row>
    <row r="570" spans="1:6" outlineLevel="2">
      <c r="A570" s="9" t="s">
        <v>84</v>
      </c>
      <c r="B570" s="9" t="s">
        <v>91</v>
      </c>
      <c r="C570" s="9" t="s">
        <v>10</v>
      </c>
      <c r="D570" s="10">
        <v>55</v>
      </c>
      <c r="E570" s="10" t="s">
        <v>11</v>
      </c>
      <c r="F570" s="10">
        <v>3</v>
      </c>
    </row>
    <row r="571" spans="1:6" outlineLevel="2">
      <c r="A571" s="9" t="s">
        <v>84</v>
      </c>
      <c r="B571" s="9" t="s">
        <v>91</v>
      </c>
      <c r="C571" s="9" t="s">
        <v>838</v>
      </c>
      <c r="D571" s="10">
        <v>54</v>
      </c>
      <c r="E571" s="10" t="s">
        <v>11</v>
      </c>
      <c r="F571" s="10">
        <v>2</v>
      </c>
    </row>
    <row r="572" spans="1:6" outlineLevel="2">
      <c r="A572" s="9" t="s">
        <v>84</v>
      </c>
      <c r="B572" s="9" t="s">
        <v>604</v>
      </c>
      <c r="C572" s="9" t="s">
        <v>712</v>
      </c>
      <c r="D572" s="10">
        <v>45</v>
      </c>
      <c r="E572" s="10" t="s">
        <v>11</v>
      </c>
      <c r="F572" s="10">
        <v>2</v>
      </c>
    </row>
    <row r="573" spans="1:6" outlineLevel="2">
      <c r="A573" s="9" t="s">
        <v>84</v>
      </c>
      <c r="B573" s="9" t="s">
        <v>839</v>
      </c>
      <c r="C573" s="9" t="s">
        <v>838</v>
      </c>
      <c r="D573" s="10">
        <v>46</v>
      </c>
      <c r="E573" s="10" t="s">
        <v>11</v>
      </c>
      <c r="F573" s="10">
        <v>2</v>
      </c>
    </row>
    <row r="574" spans="1:6" outlineLevel="2">
      <c r="A574" s="9" t="s">
        <v>84</v>
      </c>
      <c r="B574" s="9" t="s">
        <v>753</v>
      </c>
      <c r="C574" s="9" t="s">
        <v>712</v>
      </c>
      <c r="D574" s="10">
        <v>46</v>
      </c>
      <c r="E574" s="10" t="s">
        <v>11</v>
      </c>
      <c r="F574" s="10">
        <v>2</v>
      </c>
    </row>
    <row r="575" spans="1:6" outlineLevel="2">
      <c r="A575" s="9" t="s">
        <v>84</v>
      </c>
      <c r="B575" s="9" t="s">
        <v>753</v>
      </c>
      <c r="C575" s="9" t="s">
        <v>838</v>
      </c>
      <c r="D575" s="10">
        <v>53</v>
      </c>
      <c r="E575" s="10" t="s">
        <v>11</v>
      </c>
      <c r="F575" s="10">
        <v>2</v>
      </c>
    </row>
    <row r="576" spans="1:6" outlineLevel="2">
      <c r="A576" s="9" t="s">
        <v>84</v>
      </c>
      <c r="B576" s="9" t="s">
        <v>755</v>
      </c>
      <c r="C576" s="9" t="s">
        <v>712</v>
      </c>
      <c r="D576" s="10">
        <v>54</v>
      </c>
      <c r="E576" s="10" t="s">
        <v>11</v>
      </c>
      <c r="F576" s="10">
        <v>2</v>
      </c>
    </row>
    <row r="577" spans="1:6" outlineLevel="2">
      <c r="A577" s="9" t="s">
        <v>84</v>
      </c>
      <c r="B577" s="9" t="s">
        <v>755</v>
      </c>
      <c r="C577" s="9" t="s">
        <v>838</v>
      </c>
      <c r="D577" s="10">
        <v>51</v>
      </c>
      <c r="E577" s="10" t="s">
        <v>11</v>
      </c>
      <c r="F577" s="10">
        <v>2</v>
      </c>
    </row>
    <row r="578" spans="1:6" outlineLevel="2">
      <c r="A578" s="9" t="s">
        <v>84</v>
      </c>
      <c r="B578" s="9" t="s">
        <v>445</v>
      </c>
      <c r="C578" s="9" t="s">
        <v>340</v>
      </c>
      <c r="D578" s="10">
        <v>41</v>
      </c>
      <c r="E578" s="10" t="s">
        <v>11</v>
      </c>
      <c r="F578" s="10">
        <v>2</v>
      </c>
    </row>
    <row r="579" spans="1:6" outlineLevel="2">
      <c r="A579" s="9" t="s">
        <v>84</v>
      </c>
      <c r="B579" s="9" t="s">
        <v>445</v>
      </c>
      <c r="C579" s="9" t="s">
        <v>838</v>
      </c>
      <c r="D579" s="10">
        <v>43</v>
      </c>
      <c r="E579" s="10" t="s">
        <v>11</v>
      </c>
      <c r="F579" s="10">
        <v>2</v>
      </c>
    </row>
    <row r="580" spans="1:6" outlineLevel="2">
      <c r="A580" s="9" t="s">
        <v>84</v>
      </c>
      <c r="B580" s="9" t="s">
        <v>840</v>
      </c>
      <c r="C580" s="9" t="s">
        <v>838</v>
      </c>
      <c r="D580" s="10">
        <v>46</v>
      </c>
      <c r="E580" s="10" t="s">
        <v>11</v>
      </c>
      <c r="F580" s="10">
        <v>2</v>
      </c>
    </row>
    <row r="581" spans="1:6" outlineLevel="2">
      <c r="A581" s="9" t="s">
        <v>84</v>
      </c>
      <c r="B581" s="9" t="s">
        <v>447</v>
      </c>
      <c r="C581" s="9" t="s">
        <v>340</v>
      </c>
      <c r="D581" s="10">
        <v>40</v>
      </c>
      <c r="E581" s="10" t="s">
        <v>11</v>
      </c>
      <c r="F581" s="10">
        <v>2</v>
      </c>
    </row>
    <row r="582" spans="1:6" outlineLevel="2">
      <c r="A582" s="9" t="s">
        <v>84</v>
      </c>
      <c r="B582" s="9" t="s">
        <v>93</v>
      </c>
      <c r="C582" s="9" t="s">
        <v>10</v>
      </c>
      <c r="D582" s="10">
        <v>56</v>
      </c>
      <c r="E582" s="10" t="s">
        <v>11</v>
      </c>
      <c r="F582" s="10">
        <v>3</v>
      </c>
    </row>
    <row r="583" spans="1:6" outlineLevel="2">
      <c r="A583" s="9" t="s">
        <v>84</v>
      </c>
      <c r="B583" s="9" t="s">
        <v>95</v>
      </c>
      <c r="C583" s="9" t="s">
        <v>10</v>
      </c>
      <c r="D583" s="10">
        <v>55</v>
      </c>
      <c r="E583" s="10" t="s">
        <v>11</v>
      </c>
      <c r="F583" s="10">
        <v>3</v>
      </c>
    </row>
    <row r="584" spans="1:6" outlineLevel="2">
      <c r="A584" s="9" t="s">
        <v>84</v>
      </c>
      <c r="B584" s="9" t="s">
        <v>95</v>
      </c>
      <c r="C584" s="9" t="s">
        <v>838</v>
      </c>
      <c r="D584" s="10">
        <v>42</v>
      </c>
      <c r="E584" s="10" t="s">
        <v>11</v>
      </c>
      <c r="F584" s="10">
        <v>2</v>
      </c>
    </row>
    <row r="585" spans="1:6" outlineLevel="1">
      <c r="A585" s="18" t="s">
        <v>1854</v>
      </c>
      <c r="B585" s="9">
        <f>SUBTOTAL(3,B559:B584)</f>
        <v>26</v>
      </c>
      <c r="C585" s="9"/>
      <c r="D585" s="10"/>
      <c r="E585" s="10"/>
      <c r="F585" s="10"/>
    </row>
    <row r="586" spans="1:6" outlineLevel="2">
      <c r="A586" s="9" t="s">
        <v>7</v>
      </c>
      <c r="B586" s="9" t="s">
        <v>8</v>
      </c>
      <c r="C586" s="9" t="s">
        <v>340</v>
      </c>
      <c r="D586" s="10">
        <v>40</v>
      </c>
      <c r="E586" s="10" t="s">
        <v>11</v>
      </c>
      <c r="F586" s="10">
        <v>2</v>
      </c>
    </row>
    <row r="587" spans="1:6" outlineLevel="2">
      <c r="A587" s="9" t="s">
        <v>7</v>
      </c>
      <c r="B587" s="9" t="s">
        <v>8</v>
      </c>
      <c r="C587" s="9" t="s">
        <v>10</v>
      </c>
      <c r="D587" s="10">
        <v>45</v>
      </c>
      <c r="E587" s="10" t="s">
        <v>11</v>
      </c>
      <c r="F587" s="10">
        <v>3</v>
      </c>
    </row>
    <row r="588" spans="1:6" outlineLevel="2">
      <c r="A588" s="9" t="s">
        <v>7</v>
      </c>
      <c r="B588" s="9" t="s">
        <v>8</v>
      </c>
      <c r="C588" s="9" t="s">
        <v>636</v>
      </c>
      <c r="D588" s="10">
        <v>42</v>
      </c>
      <c r="E588" s="10" t="s">
        <v>11</v>
      </c>
      <c r="F588" s="10">
        <v>4</v>
      </c>
    </row>
    <row r="589" spans="1:6" outlineLevel="2">
      <c r="A589" s="9" t="s">
        <v>7</v>
      </c>
      <c r="B589" s="9" t="s">
        <v>836</v>
      </c>
      <c r="C589" s="9" t="s">
        <v>838</v>
      </c>
      <c r="D589" s="10">
        <v>51</v>
      </c>
      <c r="E589" s="10" t="s">
        <v>11</v>
      </c>
      <c r="F589" s="10">
        <v>2</v>
      </c>
    </row>
    <row r="590" spans="1:6" outlineLevel="2">
      <c r="A590" s="9" t="s">
        <v>7</v>
      </c>
      <c r="B590" s="9" t="s">
        <v>745</v>
      </c>
      <c r="C590" s="9" t="s">
        <v>712</v>
      </c>
      <c r="D590" s="10">
        <v>50</v>
      </c>
      <c r="E590" s="10" t="s">
        <v>11</v>
      </c>
      <c r="F590" s="10">
        <v>2</v>
      </c>
    </row>
    <row r="591" spans="1:6" outlineLevel="2">
      <c r="A591" s="9" t="s">
        <v>7</v>
      </c>
      <c r="B591" s="9" t="s">
        <v>745</v>
      </c>
      <c r="C591" s="9" t="s">
        <v>828</v>
      </c>
      <c r="D591" s="10">
        <v>50</v>
      </c>
      <c r="E591" s="10" t="s">
        <v>11</v>
      </c>
      <c r="F591" s="10">
        <v>1</v>
      </c>
    </row>
    <row r="592" spans="1:6" outlineLevel="2">
      <c r="A592" s="9" t="s">
        <v>7</v>
      </c>
      <c r="B592" s="9" t="s">
        <v>745</v>
      </c>
      <c r="C592" s="9" t="s">
        <v>838</v>
      </c>
      <c r="D592" s="10">
        <v>45</v>
      </c>
      <c r="E592" s="10" t="s">
        <v>11</v>
      </c>
      <c r="F592" s="10">
        <v>2</v>
      </c>
    </row>
    <row r="593" spans="1:6" outlineLevel="2">
      <c r="A593" s="9" t="s">
        <v>7</v>
      </c>
      <c r="B593" s="9" t="s">
        <v>13</v>
      </c>
      <c r="C593" s="9" t="s">
        <v>712</v>
      </c>
      <c r="D593" s="10">
        <v>51</v>
      </c>
      <c r="E593" s="10" t="s">
        <v>11</v>
      </c>
      <c r="F593" s="10">
        <v>2</v>
      </c>
    </row>
    <row r="594" spans="1:6" outlineLevel="2">
      <c r="A594" s="9" t="s">
        <v>7</v>
      </c>
      <c r="B594" s="9" t="s">
        <v>13</v>
      </c>
      <c r="C594" s="9" t="s">
        <v>340</v>
      </c>
      <c r="D594" s="10">
        <v>56</v>
      </c>
      <c r="E594" s="10" t="s">
        <v>11</v>
      </c>
      <c r="F594" s="10">
        <v>2</v>
      </c>
    </row>
    <row r="595" spans="1:6" outlineLevel="2">
      <c r="A595" s="9" t="s">
        <v>7</v>
      </c>
      <c r="B595" s="9" t="s">
        <v>13</v>
      </c>
      <c r="C595" s="9" t="s">
        <v>10</v>
      </c>
      <c r="D595" s="10">
        <v>56</v>
      </c>
      <c r="E595" s="10" t="s">
        <v>11</v>
      </c>
      <c r="F595" s="10">
        <v>3</v>
      </c>
    </row>
    <row r="596" spans="1:6" outlineLevel="2">
      <c r="A596" s="9" t="s">
        <v>7</v>
      </c>
      <c r="B596" s="9" t="s">
        <v>13</v>
      </c>
      <c r="C596" s="9" t="s">
        <v>636</v>
      </c>
      <c r="D596" s="10">
        <v>57</v>
      </c>
      <c r="E596" s="10" t="s">
        <v>11</v>
      </c>
      <c r="F596" s="10">
        <v>4</v>
      </c>
    </row>
    <row r="597" spans="1:6" outlineLevel="2">
      <c r="A597" s="9" t="s">
        <v>7</v>
      </c>
      <c r="B597" s="9" t="s">
        <v>541</v>
      </c>
      <c r="C597" s="9" t="s">
        <v>340</v>
      </c>
      <c r="D597" s="10">
        <v>56</v>
      </c>
      <c r="E597" s="10" t="s">
        <v>11</v>
      </c>
      <c r="F597" s="10">
        <v>2</v>
      </c>
    </row>
    <row r="598" spans="1:6" outlineLevel="2">
      <c r="A598" s="9" t="s">
        <v>7</v>
      </c>
      <c r="B598" s="9" t="s">
        <v>747</v>
      </c>
      <c r="C598" s="9" t="s">
        <v>712</v>
      </c>
      <c r="D598" s="10">
        <v>42</v>
      </c>
      <c r="E598" s="10" t="s">
        <v>11</v>
      </c>
      <c r="F598" s="10">
        <v>2</v>
      </c>
    </row>
    <row r="599" spans="1:6" outlineLevel="2">
      <c r="A599" s="9" t="s">
        <v>7</v>
      </c>
      <c r="B599" s="9" t="s">
        <v>543</v>
      </c>
      <c r="C599" s="9" t="s">
        <v>340</v>
      </c>
      <c r="D599" s="10">
        <v>55</v>
      </c>
      <c r="E599" s="10" t="s">
        <v>11</v>
      </c>
      <c r="F599" s="10">
        <v>2</v>
      </c>
    </row>
    <row r="600" spans="1:6" outlineLevel="2">
      <c r="A600" s="9" t="s">
        <v>7</v>
      </c>
      <c r="B600" s="9" t="s">
        <v>15</v>
      </c>
      <c r="C600" s="9" t="s">
        <v>712</v>
      </c>
      <c r="D600" s="10">
        <v>40</v>
      </c>
      <c r="E600" s="10" t="s">
        <v>11</v>
      </c>
      <c r="F600" s="10">
        <v>2</v>
      </c>
    </row>
    <row r="601" spans="1:6" outlineLevel="2">
      <c r="A601" s="9" t="s">
        <v>7</v>
      </c>
      <c r="B601" s="9" t="s">
        <v>15</v>
      </c>
      <c r="C601" s="9" t="s">
        <v>10</v>
      </c>
      <c r="D601" s="10">
        <v>48</v>
      </c>
      <c r="E601" s="10" t="s">
        <v>11</v>
      </c>
      <c r="F601" s="10">
        <v>3</v>
      </c>
    </row>
    <row r="602" spans="1:6" outlineLevel="2">
      <c r="A602" s="9" t="s">
        <v>7</v>
      </c>
      <c r="B602" s="9" t="s">
        <v>15</v>
      </c>
      <c r="C602" s="9" t="s">
        <v>636</v>
      </c>
      <c r="D602" s="10">
        <v>43</v>
      </c>
      <c r="E602" s="10" t="s">
        <v>11</v>
      </c>
      <c r="F602" s="10">
        <v>4</v>
      </c>
    </row>
    <row r="603" spans="1:6" outlineLevel="2">
      <c r="A603" s="9" t="s">
        <v>7</v>
      </c>
      <c r="B603" s="9" t="s">
        <v>15</v>
      </c>
      <c r="C603" s="9" t="s">
        <v>838</v>
      </c>
      <c r="D603" s="10">
        <v>50</v>
      </c>
      <c r="E603" s="10" t="s">
        <v>11</v>
      </c>
      <c r="F603" s="10">
        <v>2</v>
      </c>
    </row>
    <row r="604" spans="1:6" outlineLevel="2">
      <c r="A604" s="9" t="s">
        <v>7</v>
      </c>
      <c r="B604" s="9" t="s">
        <v>749</v>
      </c>
      <c r="C604" s="9" t="s">
        <v>712</v>
      </c>
      <c r="D604" s="10">
        <v>53</v>
      </c>
      <c r="E604" s="10" t="s">
        <v>11</v>
      </c>
      <c r="F604" s="10">
        <v>2</v>
      </c>
    </row>
    <row r="605" spans="1:6" outlineLevel="2">
      <c r="A605" s="9" t="s">
        <v>7</v>
      </c>
      <c r="B605" s="9" t="s">
        <v>17</v>
      </c>
      <c r="C605" s="9" t="s">
        <v>712</v>
      </c>
      <c r="D605" s="10">
        <v>45</v>
      </c>
      <c r="E605" s="10" t="s">
        <v>11</v>
      </c>
      <c r="F605" s="10">
        <v>2</v>
      </c>
    </row>
    <row r="606" spans="1:6" outlineLevel="2">
      <c r="A606" s="9" t="s">
        <v>7</v>
      </c>
      <c r="B606" s="9" t="s">
        <v>17</v>
      </c>
      <c r="C606" s="9" t="s">
        <v>340</v>
      </c>
      <c r="D606" s="10">
        <v>42</v>
      </c>
      <c r="E606" s="10" t="s">
        <v>11</v>
      </c>
      <c r="F606" s="10">
        <v>2</v>
      </c>
    </row>
    <row r="607" spans="1:6" outlineLevel="2">
      <c r="A607" s="9" t="s">
        <v>7</v>
      </c>
      <c r="B607" s="9" t="s">
        <v>17</v>
      </c>
      <c r="C607" s="9" t="s">
        <v>10</v>
      </c>
      <c r="D607" s="10">
        <v>43</v>
      </c>
      <c r="E607" s="10" t="s">
        <v>11</v>
      </c>
      <c r="F607" s="10">
        <v>3</v>
      </c>
    </row>
    <row r="608" spans="1:6" outlineLevel="2">
      <c r="A608" s="9" t="s">
        <v>7</v>
      </c>
      <c r="B608" s="9" t="s">
        <v>17</v>
      </c>
      <c r="C608" s="9" t="s">
        <v>636</v>
      </c>
      <c r="D608" s="10">
        <v>56</v>
      </c>
      <c r="E608" s="10" t="s">
        <v>11</v>
      </c>
      <c r="F608" s="10">
        <v>4</v>
      </c>
    </row>
    <row r="609" spans="1:6" outlineLevel="2">
      <c r="A609" s="9" t="s">
        <v>7</v>
      </c>
      <c r="B609" s="9" t="s">
        <v>17</v>
      </c>
      <c r="C609" s="9" t="s">
        <v>838</v>
      </c>
      <c r="D609" s="10">
        <v>49</v>
      </c>
      <c r="E609" s="10" t="s">
        <v>11</v>
      </c>
      <c r="F609" s="10">
        <v>2</v>
      </c>
    </row>
    <row r="610" spans="1:6" outlineLevel="2">
      <c r="A610" s="9" t="s">
        <v>7</v>
      </c>
      <c r="B610" s="9" t="s">
        <v>19</v>
      </c>
      <c r="C610" s="9" t="s">
        <v>712</v>
      </c>
      <c r="D610" s="10">
        <v>54</v>
      </c>
      <c r="E610" s="10" t="s">
        <v>11</v>
      </c>
      <c r="F610" s="10">
        <v>2</v>
      </c>
    </row>
    <row r="611" spans="1:6" outlineLevel="2">
      <c r="A611" s="9" t="s">
        <v>7</v>
      </c>
      <c r="B611" s="9" t="s">
        <v>19</v>
      </c>
      <c r="C611" s="9" t="s">
        <v>10</v>
      </c>
      <c r="D611" s="10">
        <v>55</v>
      </c>
      <c r="E611" s="10" t="s">
        <v>11</v>
      </c>
      <c r="F611" s="10">
        <v>3</v>
      </c>
    </row>
    <row r="612" spans="1:6" outlineLevel="2">
      <c r="A612" s="9" t="s">
        <v>7</v>
      </c>
      <c r="B612" s="9" t="s">
        <v>544</v>
      </c>
      <c r="C612" s="9" t="s">
        <v>340</v>
      </c>
      <c r="D612" s="10">
        <v>53</v>
      </c>
      <c r="E612" s="10" t="s">
        <v>11</v>
      </c>
      <c r="F612" s="10">
        <v>2</v>
      </c>
    </row>
    <row r="613" spans="1:6" outlineLevel="2">
      <c r="A613" s="9" t="s">
        <v>7</v>
      </c>
      <c r="B613" s="9" t="s">
        <v>21</v>
      </c>
      <c r="C613" s="9" t="s">
        <v>10</v>
      </c>
      <c r="D613" s="10">
        <v>56</v>
      </c>
      <c r="E613" s="10" t="s">
        <v>11</v>
      </c>
      <c r="F613" s="10">
        <v>3</v>
      </c>
    </row>
    <row r="614" spans="1:6" outlineLevel="2">
      <c r="A614" s="9" t="s">
        <v>7</v>
      </c>
      <c r="B614" s="9" t="s">
        <v>546</v>
      </c>
      <c r="C614" s="9" t="s">
        <v>340</v>
      </c>
      <c r="D614" s="10">
        <v>40</v>
      </c>
      <c r="E614" s="10" t="s">
        <v>11</v>
      </c>
      <c r="F614" s="10">
        <v>2</v>
      </c>
    </row>
    <row r="615" spans="1:6" outlineLevel="2">
      <c r="A615" s="9" t="s">
        <v>7</v>
      </c>
      <c r="B615" s="9" t="s">
        <v>23</v>
      </c>
      <c r="C615" s="9" t="s">
        <v>712</v>
      </c>
      <c r="D615" s="10">
        <v>44</v>
      </c>
      <c r="E615" s="10" t="s">
        <v>11</v>
      </c>
      <c r="F615" s="10">
        <v>2</v>
      </c>
    </row>
    <row r="616" spans="1:6" outlineLevel="2">
      <c r="A616" s="9" t="s">
        <v>7</v>
      </c>
      <c r="B616" s="9" t="s">
        <v>23</v>
      </c>
      <c r="C616" s="9" t="s">
        <v>10</v>
      </c>
      <c r="D616" s="10">
        <v>46</v>
      </c>
      <c r="E616" s="10" t="s">
        <v>11</v>
      </c>
      <c r="F616" s="10">
        <v>3</v>
      </c>
    </row>
    <row r="617" spans="1:6" outlineLevel="2">
      <c r="A617" s="9" t="s">
        <v>7</v>
      </c>
      <c r="B617" s="9" t="s">
        <v>23</v>
      </c>
      <c r="C617" s="9" t="s">
        <v>838</v>
      </c>
      <c r="D617" s="10">
        <v>40</v>
      </c>
      <c r="E617" s="10" t="s">
        <v>11</v>
      </c>
      <c r="F617" s="10">
        <v>2</v>
      </c>
    </row>
    <row r="618" spans="1:6" outlineLevel="2">
      <c r="A618" s="9" t="s">
        <v>7</v>
      </c>
      <c r="B618" s="9" t="s">
        <v>667</v>
      </c>
      <c r="C618" s="9" t="s">
        <v>712</v>
      </c>
      <c r="D618" s="10">
        <v>46</v>
      </c>
      <c r="E618" s="10" t="s">
        <v>11</v>
      </c>
      <c r="F618" s="10">
        <v>2</v>
      </c>
    </row>
    <row r="619" spans="1:6" outlineLevel="2">
      <c r="A619" s="9" t="s">
        <v>7</v>
      </c>
      <c r="B619" s="9" t="s">
        <v>667</v>
      </c>
      <c r="C619" s="9" t="s">
        <v>636</v>
      </c>
      <c r="D619" s="10">
        <v>44</v>
      </c>
      <c r="E619" s="10" t="s">
        <v>11</v>
      </c>
      <c r="F619" s="10">
        <v>4</v>
      </c>
    </row>
    <row r="620" spans="1:6" outlineLevel="2">
      <c r="A620" s="9" t="s">
        <v>7</v>
      </c>
      <c r="B620" s="9" t="s">
        <v>548</v>
      </c>
      <c r="C620" s="9" t="s">
        <v>712</v>
      </c>
      <c r="D620" s="10">
        <v>45</v>
      </c>
      <c r="E620" s="10" t="s">
        <v>11</v>
      </c>
      <c r="F620" s="10">
        <v>2</v>
      </c>
    </row>
    <row r="621" spans="1:6" outlineLevel="2">
      <c r="A621" s="9" t="s">
        <v>7</v>
      </c>
      <c r="B621" s="9" t="s">
        <v>548</v>
      </c>
      <c r="C621" s="9" t="s">
        <v>340</v>
      </c>
      <c r="D621" s="10">
        <v>54</v>
      </c>
      <c r="E621" s="10" t="s">
        <v>11</v>
      </c>
      <c r="F621" s="10">
        <v>2</v>
      </c>
    </row>
    <row r="622" spans="1:6" outlineLevel="2">
      <c r="A622" s="9" t="s">
        <v>7</v>
      </c>
      <c r="B622" s="9" t="s">
        <v>548</v>
      </c>
      <c r="C622" s="9" t="s">
        <v>636</v>
      </c>
      <c r="D622" s="10">
        <v>56</v>
      </c>
      <c r="E622" s="10" t="s">
        <v>11</v>
      </c>
      <c r="F622" s="10">
        <v>4</v>
      </c>
    </row>
    <row r="623" spans="1:6" outlineLevel="2">
      <c r="A623" s="9" t="s">
        <v>7</v>
      </c>
      <c r="B623" s="9" t="s">
        <v>548</v>
      </c>
      <c r="C623" s="9" t="s">
        <v>838</v>
      </c>
      <c r="D623" s="10">
        <v>54</v>
      </c>
      <c r="E623" s="10" t="s">
        <v>11</v>
      </c>
      <c r="F623" s="10">
        <v>2</v>
      </c>
    </row>
    <row r="624" spans="1:6" outlineLevel="2">
      <c r="A624" s="9" t="s">
        <v>7</v>
      </c>
      <c r="B624" s="9" t="s">
        <v>550</v>
      </c>
      <c r="C624" s="9" t="s">
        <v>712</v>
      </c>
      <c r="D624" s="10">
        <v>46</v>
      </c>
      <c r="E624" s="10" t="s">
        <v>11</v>
      </c>
      <c r="F624" s="10">
        <v>2</v>
      </c>
    </row>
    <row r="625" spans="1:6" outlineLevel="2">
      <c r="A625" s="9" t="s">
        <v>7</v>
      </c>
      <c r="B625" s="9" t="s">
        <v>550</v>
      </c>
      <c r="C625" s="9" t="s">
        <v>340</v>
      </c>
      <c r="D625" s="10">
        <v>40</v>
      </c>
      <c r="E625" s="10" t="s">
        <v>11</v>
      </c>
      <c r="F625" s="10">
        <v>2</v>
      </c>
    </row>
    <row r="626" spans="1:6" outlineLevel="2">
      <c r="A626" s="9" t="s">
        <v>7</v>
      </c>
      <c r="B626" s="9" t="s">
        <v>552</v>
      </c>
      <c r="C626" s="9" t="s">
        <v>340</v>
      </c>
      <c r="D626" s="10">
        <v>55</v>
      </c>
      <c r="E626" s="10" t="s">
        <v>11</v>
      </c>
      <c r="F626" s="10">
        <v>2</v>
      </c>
    </row>
    <row r="627" spans="1:6" outlineLevel="2">
      <c r="A627" s="9" t="s">
        <v>7</v>
      </c>
      <c r="B627" s="9" t="s">
        <v>554</v>
      </c>
      <c r="C627" s="9" t="s">
        <v>340</v>
      </c>
      <c r="D627" s="10">
        <v>54</v>
      </c>
      <c r="E627" s="10" t="s">
        <v>11</v>
      </c>
      <c r="F627" s="10">
        <v>2</v>
      </c>
    </row>
    <row r="628" spans="1:6" outlineLevel="2">
      <c r="A628" s="9" t="s">
        <v>7</v>
      </c>
      <c r="B628" s="9" t="s">
        <v>556</v>
      </c>
      <c r="C628" s="9" t="s">
        <v>340</v>
      </c>
      <c r="D628" s="10">
        <v>40</v>
      </c>
      <c r="E628" s="10" t="s">
        <v>11</v>
      </c>
      <c r="F628" s="10">
        <v>2</v>
      </c>
    </row>
    <row r="629" spans="1:6" outlineLevel="1">
      <c r="A629" s="18" t="s">
        <v>1855</v>
      </c>
      <c r="B629" s="9">
        <f>SUBTOTAL(3,B586:B628)</f>
        <v>43</v>
      </c>
      <c r="C629" s="9"/>
      <c r="D629" s="10"/>
      <c r="E629" s="10"/>
      <c r="F629" s="10"/>
    </row>
    <row r="630" spans="1:6" outlineLevel="2">
      <c r="A630" s="9" t="s">
        <v>141</v>
      </c>
      <c r="B630" s="9" t="s">
        <v>568</v>
      </c>
      <c r="C630" s="9" t="s">
        <v>340</v>
      </c>
      <c r="D630" s="10">
        <v>54</v>
      </c>
      <c r="E630" s="10" t="s">
        <v>11</v>
      </c>
      <c r="F630" s="10">
        <v>2</v>
      </c>
    </row>
    <row r="631" spans="1:6" outlineLevel="2">
      <c r="A631" s="9" t="s">
        <v>141</v>
      </c>
      <c r="B631" s="9" t="s">
        <v>570</v>
      </c>
      <c r="C631" s="9" t="s">
        <v>340</v>
      </c>
      <c r="D631" s="10">
        <v>47</v>
      </c>
      <c r="E631" s="10" t="s">
        <v>11</v>
      </c>
      <c r="F631" s="10">
        <v>2</v>
      </c>
    </row>
    <row r="632" spans="1:6" outlineLevel="2">
      <c r="A632" s="9" t="s">
        <v>141</v>
      </c>
      <c r="B632" s="9" t="s">
        <v>572</v>
      </c>
      <c r="C632" s="9" t="s">
        <v>712</v>
      </c>
      <c r="D632" s="10">
        <v>46</v>
      </c>
      <c r="E632" s="10" t="s">
        <v>11</v>
      </c>
      <c r="F632" s="10">
        <v>1</v>
      </c>
    </row>
    <row r="633" spans="1:6" outlineLevel="2">
      <c r="A633" s="9" t="s">
        <v>141</v>
      </c>
      <c r="B633" s="9" t="s">
        <v>572</v>
      </c>
      <c r="C633" s="9" t="s">
        <v>340</v>
      </c>
      <c r="D633" s="10">
        <v>46</v>
      </c>
      <c r="E633" s="10" t="s">
        <v>11</v>
      </c>
      <c r="F633" s="10">
        <v>2</v>
      </c>
    </row>
    <row r="634" spans="1:6" outlineLevel="2">
      <c r="A634" s="9" t="s">
        <v>141</v>
      </c>
      <c r="B634" s="9" t="s">
        <v>574</v>
      </c>
      <c r="C634" s="9" t="s">
        <v>340</v>
      </c>
      <c r="D634" s="10">
        <v>51</v>
      </c>
      <c r="E634" s="10" t="s">
        <v>11</v>
      </c>
      <c r="F634" s="10">
        <v>2</v>
      </c>
    </row>
    <row r="635" spans="1:6" outlineLevel="2">
      <c r="A635" s="9" t="s">
        <v>141</v>
      </c>
      <c r="B635" s="9" t="s">
        <v>142</v>
      </c>
      <c r="C635" s="9" t="s">
        <v>10</v>
      </c>
      <c r="D635" s="10">
        <v>56</v>
      </c>
      <c r="E635" s="10" t="s">
        <v>11</v>
      </c>
      <c r="F635" s="10">
        <v>3</v>
      </c>
    </row>
    <row r="636" spans="1:6" outlineLevel="2">
      <c r="A636" s="9" t="s">
        <v>141</v>
      </c>
      <c r="B636" s="9" t="s">
        <v>144</v>
      </c>
      <c r="C636" s="9" t="s">
        <v>712</v>
      </c>
      <c r="D636" s="10">
        <v>48</v>
      </c>
      <c r="E636" s="10" t="s">
        <v>11</v>
      </c>
      <c r="F636" s="10">
        <v>1</v>
      </c>
    </row>
    <row r="637" spans="1:6" outlineLevel="2">
      <c r="A637" s="9" t="s">
        <v>141</v>
      </c>
      <c r="B637" s="9" t="s">
        <v>144</v>
      </c>
      <c r="C637" s="9" t="s">
        <v>340</v>
      </c>
      <c r="D637" s="10">
        <v>52</v>
      </c>
      <c r="E637" s="10" t="s">
        <v>11</v>
      </c>
      <c r="F637" s="10">
        <v>2</v>
      </c>
    </row>
    <row r="638" spans="1:6" outlineLevel="2">
      <c r="A638" s="9" t="s">
        <v>141</v>
      </c>
      <c r="B638" s="9" t="s">
        <v>144</v>
      </c>
      <c r="C638" s="9" t="s">
        <v>10</v>
      </c>
      <c r="D638" s="10">
        <v>40</v>
      </c>
      <c r="E638" s="10" t="s">
        <v>11</v>
      </c>
      <c r="F638" s="10">
        <v>3</v>
      </c>
    </row>
    <row r="639" spans="1:6" outlineLevel="2">
      <c r="A639" s="9" t="s">
        <v>141</v>
      </c>
      <c r="B639" s="9" t="s">
        <v>146</v>
      </c>
      <c r="C639" s="9" t="s">
        <v>712</v>
      </c>
      <c r="D639" s="10">
        <v>50</v>
      </c>
      <c r="E639" s="10" t="s">
        <v>11</v>
      </c>
      <c r="F639" s="10">
        <v>1</v>
      </c>
    </row>
    <row r="640" spans="1:6" outlineLevel="2">
      <c r="A640" s="9" t="s">
        <v>141</v>
      </c>
      <c r="B640" s="9" t="s">
        <v>146</v>
      </c>
      <c r="C640" s="9" t="s">
        <v>10</v>
      </c>
      <c r="D640" s="10">
        <v>44</v>
      </c>
      <c r="E640" s="10" t="s">
        <v>11</v>
      </c>
      <c r="F640" s="10">
        <v>3</v>
      </c>
    </row>
    <row r="641" spans="1:6" outlineLevel="2">
      <c r="A641" s="9" t="s">
        <v>141</v>
      </c>
      <c r="B641" s="9" t="s">
        <v>148</v>
      </c>
      <c r="C641" s="9" t="s">
        <v>702</v>
      </c>
      <c r="D641" s="10">
        <v>52</v>
      </c>
      <c r="E641" s="10" t="s">
        <v>11</v>
      </c>
      <c r="F641" s="10">
        <v>2</v>
      </c>
    </row>
    <row r="642" spans="1:6" outlineLevel="2">
      <c r="A642" s="9" t="s">
        <v>141</v>
      </c>
      <c r="B642" s="9" t="s">
        <v>148</v>
      </c>
      <c r="C642" s="9" t="s">
        <v>340</v>
      </c>
      <c r="D642" s="10">
        <v>49</v>
      </c>
      <c r="E642" s="10" t="s">
        <v>11</v>
      </c>
      <c r="F642" s="10">
        <v>2</v>
      </c>
    </row>
    <row r="643" spans="1:6" outlineLevel="2">
      <c r="A643" s="9" t="s">
        <v>141</v>
      </c>
      <c r="B643" s="9" t="s">
        <v>148</v>
      </c>
      <c r="C643" s="9" t="s">
        <v>10</v>
      </c>
      <c r="D643" s="10">
        <v>40</v>
      </c>
      <c r="E643" s="10" t="s">
        <v>11</v>
      </c>
      <c r="F643" s="10">
        <v>3</v>
      </c>
    </row>
    <row r="644" spans="1:6" outlineLevel="2">
      <c r="A644" s="9" t="s">
        <v>141</v>
      </c>
      <c r="B644" s="9" t="s">
        <v>576</v>
      </c>
      <c r="C644" s="9" t="s">
        <v>712</v>
      </c>
      <c r="D644" s="10">
        <v>50</v>
      </c>
      <c r="E644" s="10" t="s">
        <v>11</v>
      </c>
      <c r="F644" s="10">
        <v>1</v>
      </c>
    </row>
    <row r="645" spans="1:6" outlineLevel="2">
      <c r="A645" s="9" t="s">
        <v>141</v>
      </c>
      <c r="B645" s="9" t="s">
        <v>576</v>
      </c>
      <c r="C645" s="9" t="s">
        <v>340</v>
      </c>
      <c r="D645" s="10">
        <v>47</v>
      </c>
      <c r="E645" s="10" t="s">
        <v>11</v>
      </c>
      <c r="F645" s="10">
        <v>2</v>
      </c>
    </row>
    <row r="646" spans="1:6" outlineLevel="2">
      <c r="A646" s="9" t="s">
        <v>141</v>
      </c>
      <c r="B646" s="9" t="s">
        <v>150</v>
      </c>
      <c r="C646" s="9" t="s">
        <v>10</v>
      </c>
      <c r="D646" s="10">
        <v>49</v>
      </c>
      <c r="E646" s="10" t="s">
        <v>11</v>
      </c>
      <c r="F646" s="10">
        <v>3</v>
      </c>
    </row>
    <row r="647" spans="1:6" outlineLevel="2">
      <c r="A647" s="9" t="s">
        <v>141</v>
      </c>
      <c r="B647" s="9" t="s">
        <v>743</v>
      </c>
      <c r="C647" s="9" t="s">
        <v>712</v>
      </c>
      <c r="D647" s="10">
        <v>46</v>
      </c>
      <c r="E647" s="10" t="s">
        <v>11</v>
      </c>
      <c r="F647" s="10">
        <v>1</v>
      </c>
    </row>
    <row r="648" spans="1:6" outlineLevel="2">
      <c r="A648" s="9" t="s">
        <v>141</v>
      </c>
      <c r="B648" s="9" t="s">
        <v>152</v>
      </c>
      <c r="C648" s="9" t="s">
        <v>712</v>
      </c>
      <c r="D648" s="10">
        <v>40</v>
      </c>
      <c r="E648" s="10" t="s">
        <v>11</v>
      </c>
      <c r="F648" s="10">
        <v>1</v>
      </c>
    </row>
    <row r="649" spans="1:6" outlineLevel="2">
      <c r="A649" s="9" t="s">
        <v>141</v>
      </c>
      <c r="B649" s="9" t="s">
        <v>152</v>
      </c>
      <c r="C649" s="9" t="s">
        <v>10</v>
      </c>
      <c r="D649" s="10">
        <v>50</v>
      </c>
      <c r="E649" s="10" t="s">
        <v>11</v>
      </c>
      <c r="F649" s="10">
        <v>3</v>
      </c>
    </row>
    <row r="650" spans="1:6" outlineLevel="2">
      <c r="A650" s="9" t="s">
        <v>141</v>
      </c>
      <c r="B650" s="9" t="s">
        <v>578</v>
      </c>
      <c r="C650" s="9" t="s">
        <v>340</v>
      </c>
      <c r="D650" s="10">
        <v>51</v>
      </c>
      <c r="E650" s="10" t="s">
        <v>11</v>
      </c>
      <c r="F650" s="10">
        <v>2</v>
      </c>
    </row>
    <row r="651" spans="1:6" outlineLevel="2">
      <c r="A651" s="9" t="s">
        <v>141</v>
      </c>
      <c r="B651" s="9" t="s">
        <v>580</v>
      </c>
      <c r="C651" s="9" t="s">
        <v>340</v>
      </c>
      <c r="D651" s="10">
        <v>50</v>
      </c>
      <c r="E651" s="10" t="s">
        <v>11</v>
      </c>
      <c r="F651" s="10">
        <v>2</v>
      </c>
    </row>
    <row r="652" spans="1:6" outlineLevel="2">
      <c r="A652" s="9" t="s">
        <v>141</v>
      </c>
      <c r="B652" s="9" t="s">
        <v>154</v>
      </c>
      <c r="C652" s="9" t="s">
        <v>712</v>
      </c>
      <c r="D652" s="10">
        <v>40</v>
      </c>
      <c r="E652" s="10" t="s">
        <v>11</v>
      </c>
      <c r="F652" s="10">
        <v>1</v>
      </c>
    </row>
    <row r="653" spans="1:6" outlineLevel="2">
      <c r="A653" s="9" t="s">
        <v>141</v>
      </c>
      <c r="B653" s="9" t="s">
        <v>154</v>
      </c>
      <c r="C653" s="9" t="s">
        <v>340</v>
      </c>
      <c r="D653" s="10">
        <v>47</v>
      </c>
      <c r="E653" s="10" t="s">
        <v>11</v>
      </c>
      <c r="F653" s="10">
        <v>2</v>
      </c>
    </row>
    <row r="654" spans="1:6" outlineLevel="2">
      <c r="A654" s="9" t="s">
        <v>141</v>
      </c>
      <c r="B654" s="9" t="s">
        <v>154</v>
      </c>
      <c r="C654" s="9" t="s">
        <v>10</v>
      </c>
      <c r="D654" s="10">
        <v>49</v>
      </c>
      <c r="E654" s="10" t="s">
        <v>11</v>
      </c>
      <c r="F654" s="10">
        <v>3</v>
      </c>
    </row>
    <row r="655" spans="1:6" outlineLevel="2">
      <c r="A655" s="9" t="s">
        <v>141</v>
      </c>
      <c r="B655" s="9" t="s">
        <v>156</v>
      </c>
      <c r="C655" s="9" t="s">
        <v>712</v>
      </c>
      <c r="D655" s="10">
        <v>40</v>
      </c>
      <c r="E655" s="10" t="s">
        <v>11</v>
      </c>
      <c r="F655" s="10">
        <v>1</v>
      </c>
    </row>
    <row r="656" spans="1:6" outlineLevel="2">
      <c r="A656" s="9" t="s">
        <v>141</v>
      </c>
      <c r="B656" s="9" t="s">
        <v>156</v>
      </c>
      <c r="C656" s="9" t="s">
        <v>10</v>
      </c>
      <c r="D656" s="10">
        <v>50</v>
      </c>
      <c r="E656" s="10" t="s">
        <v>11</v>
      </c>
      <c r="F656" s="10">
        <v>3</v>
      </c>
    </row>
    <row r="657" spans="1:6" outlineLevel="1">
      <c r="A657" s="18" t="s">
        <v>1856</v>
      </c>
      <c r="B657" s="9">
        <f>SUBTOTAL(3,B630:B656)</f>
        <v>27</v>
      </c>
      <c r="C657" s="9"/>
      <c r="D657" s="10"/>
      <c r="E657" s="10"/>
      <c r="F657" s="10"/>
    </row>
    <row r="658" spans="1:6" outlineLevel="2">
      <c r="A658" s="9" t="s">
        <v>239</v>
      </c>
      <c r="B658" s="9" t="s">
        <v>558</v>
      </c>
      <c r="C658" s="9" t="s">
        <v>340</v>
      </c>
      <c r="D658" s="10">
        <v>45</v>
      </c>
      <c r="E658" s="10" t="s">
        <v>11</v>
      </c>
      <c r="F658" s="10">
        <v>2</v>
      </c>
    </row>
    <row r="659" spans="1:6" outlineLevel="2">
      <c r="A659" s="9" t="s">
        <v>239</v>
      </c>
      <c r="B659" s="9" t="s">
        <v>560</v>
      </c>
      <c r="C659" s="9" t="s">
        <v>340</v>
      </c>
      <c r="D659" s="10">
        <v>52</v>
      </c>
      <c r="E659" s="10" t="s">
        <v>11</v>
      </c>
      <c r="F659" s="10">
        <v>2</v>
      </c>
    </row>
    <row r="660" spans="1:6" outlineLevel="2">
      <c r="A660" s="9" t="s">
        <v>239</v>
      </c>
      <c r="B660" s="9" t="s">
        <v>562</v>
      </c>
      <c r="C660" s="9" t="s">
        <v>712</v>
      </c>
      <c r="D660" s="10">
        <v>50</v>
      </c>
      <c r="E660" s="10" t="s">
        <v>11</v>
      </c>
      <c r="F660" s="10">
        <v>1</v>
      </c>
    </row>
    <row r="661" spans="1:6" outlineLevel="2">
      <c r="A661" s="9" t="s">
        <v>239</v>
      </c>
      <c r="B661" s="9" t="s">
        <v>562</v>
      </c>
      <c r="C661" s="9" t="s">
        <v>340</v>
      </c>
      <c r="D661" s="10">
        <v>45</v>
      </c>
      <c r="E661" s="10" t="s">
        <v>11</v>
      </c>
      <c r="F661" s="10">
        <v>2</v>
      </c>
    </row>
    <row r="662" spans="1:6" outlineLevel="2">
      <c r="A662" s="9" t="s">
        <v>239</v>
      </c>
      <c r="B662" s="9" t="s">
        <v>562</v>
      </c>
      <c r="C662" s="9" t="s">
        <v>935</v>
      </c>
      <c r="D662" s="10">
        <v>50</v>
      </c>
      <c r="E662" s="10" t="s">
        <v>11</v>
      </c>
      <c r="F662" s="10">
        <v>2</v>
      </c>
    </row>
    <row r="663" spans="1:6" outlineLevel="2">
      <c r="A663" s="9" t="s">
        <v>239</v>
      </c>
      <c r="B663" s="9" t="s">
        <v>564</v>
      </c>
      <c r="C663" s="9" t="s">
        <v>340</v>
      </c>
      <c r="D663" s="10">
        <v>55</v>
      </c>
      <c r="E663" s="10" t="s">
        <v>11</v>
      </c>
      <c r="F663" s="10">
        <v>2</v>
      </c>
    </row>
    <row r="664" spans="1:6" outlineLevel="2">
      <c r="A664" s="9" t="s">
        <v>239</v>
      </c>
      <c r="B664" s="9" t="s">
        <v>564</v>
      </c>
      <c r="C664" s="9" t="s">
        <v>935</v>
      </c>
      <c r="D664" s="10">
        <v>53</v>
      </c>
      <c r="E664" s="10" t="s">
        <v>11</v>
      </c>
      <c r="F664" s="10">
        <v>2</v>
      </c>
    </row>
    <row r="665" spans="1:6" outlineLevel="2">
      <c r="A665" s="9" t="s">
        <v>239</v>
      </c>
      <c r="B665" s="9" t="s">
        <v>240</v>
      </c>
      <c r="C665" s="9" t="s">
        <v>712</v>
      </c>
      <c r="D665" s="10">
        <v>46</v>
      </c>
      <c r="E665" s="10" t="s">
        <v>11</v>
      </c>
      <c r="F665" s="10">
        <v>1</v>
      </c>
    </row>
    <row r="666" spans="1:6" outlineLevel="2">
      <c r="A666" s="9" t="s">
        <v>239</v>
      </c>
      <c r="B666" s="9" t="s">
        <v>240</v>
      </c>
      <c r="C666" s="9" t="s">
        <v>340</v>
      </c>
      <c r="D666" s="10">
        <v>56</v>
      </c>
      <c r="E666" s="10" t="s">
        <v>11</v>
      </c>
      <c r="F666" s="10">
        <v>2</v>
      </c>
    </row>
    <row r="667" spans="1:6" outlineLevel="2">
      <c r="A667" s="9" t="s">
        <v>239</v>
      </c>
      <c r="B667" s="9" t="s">
        <v>240</v>
      </c>
      <c r="C667" s="9" t="s">
        <v>10</v>
      </c>
      <c r="D667" s="10">
        <v>51</v>
      </c>
      <c r="E667" s="10" t="s">
        <v>11</v>
      </c>
      <c r="F667" s="10">
        <v>3</v>
      </c>
    </row>
    <row r="668" spans="1:6" outlineLevel="2">
      <c r="A668" s="9" t="s">
        <v>239</v>
      </c>
      <c r="B668" s="9" t="s">
        <v>240</v>
      </c>
      <c r="C668" s="9" t="s">
        <v>935</v>
      </c>
      <c r="D668" s="10">
        <v>44</v>
      </c>
      <c r="E668" s="10" t="s">
        <v>11</v>
      </c>
      <c r="F668" s="10">
        <v>2</v>
      </c>
    </row>
    <row r="669" spans="1:6" outlineLevel="2">
      <c r="A669" s="9" t="s">
        <v>239</v>
      </c>
      <c r="B669" s="9" t="s">
        <v>733</v>
      </c>
      <c r="C669" s="9" t="s">
        <v>712</v>
      </c>
      <c r="D669" s="10">
        <v>48</v>
      </c>
      <c r="E669" s="10" t="s">
        <v>11</v>
      </c>
      <c r="F669" s="10">
        <v>1</v>
      </c>
    </row>
    <row r="670" spans="1:6" outlineLevel="2">
      <c r="A670" s="9" t="s">
        <v>239</v>
      </c>
      <c r="B670" s="9" t="s">
        <v>242</v>
      </c>
      <c r="C670" s="9" t="s">
        <v>340</v>
      </c>
      <c r="D670" s="10">
        <v>57</v>
      </c>
      <c r="E670" s="10" t="s">
        <v>11</v>
      </c>
      <c r="F670" s="10">
        <v>2</v>
      </c>
    </row>
    <row r="671" spans="1:6" outlineLevel="2">
      <c r="A671" s="9" t="s">
        <v>239</v>
      </c>
      <c r="B671" s="9" t="s">
        <v>242</v>
      </c>
      <c r="C671" s="9" t="s">
        <v>10</v>
      </c>
      <c r="D671" s="10">
        <v>51</v>
      </c>
      <c r="E671" s="10" t="s">
        <v>11</v>
      </c>
      <c r="F671" s="10">
        <v>3</v>
      </c>
    </row>
    <row r="672" spans="1:6" outlineLevel="2">
      <c r="A672" s="9" t="s">
        <v>239</v>
      </c>
      <c r="B672" s="9" t="s">
        <v>242</v>
      </c>
      <c r="C672" s="9" t="s">
        <v>935</v>
      </c>
      <c r="D672" s="10">
        <v>51</v>
      </c>
      <c r="E672" s="10" t="s">
        <v>11</v>
      </c>
      <c r="F672" s="10">
        <v>2</v>
      </c>
    </row>
    <row r="673" spans="1:6" outlineLevel="2">
      <c r="A673" s="9" t="s">
        <v>239</v>
      </c>
      <c r="B673" s="9" t="s">
        <v>735</v>
      </c>
      <c r="C673" s="9" t="s">
        <v>712</v>
      </c>
      <c r="D673" s="10">
        <v>44</v>
      </c>
      <c r="E673" s="10" t="s">
        <v>11</v>
      </c>
      <c r="F673" s="10">
        <v>1</v>
      </c>
    </row>
    <row r="674" spans="1:6" outlineLevel="2">
      <c r="A674" s="9" t="s">
        <v>239</v>
      </c>
      <c r="B674" s="9" t="s">
        <v>244</v>
      </c>
      <c r="C674" s="9" t="s">
        <v>10</v>
      </c>
      <c r="D674" s="10">
        <v>52</v>
      </c>
      <c r="E674" s="10" t="s">
        <v>11</v>
      </c>
      <c r="F674" s="10">
        <v>3</v>
      </c>
    </row>
    <row r="675" spans="1:6" outlineLevel="2">
      <c r="A675" s="9" t="s">
        <v>239</v>
      </c>
      <c r="B675" s="9" t="s">
        <v>737</v>
      </c>
      <c r="C675" s="9" t="s">
        <v>712</v>
      </c>
      <c r="D675" s="10">
        <v>54</v>
      </c>
      <c r="E675" s="10" t="s">
        <v>11</v>
      </c>
      <c r="F675" s="10">
        <v>1</v>
      </c>
    </row>
    <row r="676" spans="1:6" outlineLevel="2">
      <c r="A676" s="9" t="s">
        <v>239</v>
      </c>
      <c r="B676" s="9" t="s">
        <v>739</v>
      </c>
      <c r="C676" s="9" t="s">
        <v>712</v>
      </c>
      <c r="D676" s="10">
        <v>50</v>
      </c>
      <c r="E676" s="10" t="s">
        <v>11</v>
      </c>
      <c r="F676" s="10">
        <v>1</v>
      </c>
    </row>
    <row r="677" spans="1:6" outlineLevel="2">
      <c r="A677" s="9" t="s">
        <v>239</v>
      </c>
      <c r="B677" s="9" t="s">
        <v>566</v>
      </c>
      <c r="C677" s="9" t="s">
        <v>712</v>
      </c>
      <c r="D677" s="10">
        <v>48</v>
      </c>
      <c r="E677" s="10" t="s">
        <v>11</v>
      </c>
      <c r="F677" s="10">
        <v>1</v>
      </c>
    </row>
    <row r="678" spans="1:6" outlineLevel="2">
      <c r="A678" s="9" t="s">
        <v>239</v>
      </c>
      <c r="B678" s="9" t="s">
        <v>566</v>
      </c>
      <c r="C678" s="9" t="s">
        <v>340</v>
      </c>
      <c r="D678" s="10">
        <v>48</v>
      </c>
      <c r="E678" s="10" t="s">
        <v>11</v>
      </c>
      <c r="F678" s="10">
        <v>2</v>
      </c>
    </row>
    <row r="679" spans="1:6" outlineLevel="1">
      <c r="A679" s="18" t="s">
        <v>1857</v>
      </c>
      <c r="B679" s="9">
        <f>SUBTOTAL(3,B658:B678)</f>
        <v>21</v>
      </c>
      <c r="C679" s="9"/>
      <c r="D679" s="10"/>
      <c r="E679" s="10"/>
      <c r="F679" s="10"/>
    </row>
    <row r="680" spans="1:6" outlineLevel="2">
      <c r="A680" s="9" t="s">
        <v>246</v>
      </c>
      <c r="B680" s="9" t="s">
        <v>247</v>
      </c>
      <c r="C680" s="9" t="s">
        <v>340</v>
      </c>
      <c r="D680" s="10">
        <v>47</v>
      </c>
      <c r="E680" s="10" t="s">
        <v>11</v>
      </c>
      <c r="F680" s="10">
        <v>2</v>
      </c>
    </row>
    <row r="681" spans="1:6" outlineLevel="2">
      <c r="A681" s="9" t="s">
        <v>246</v>
      </c>
      <c r="B681" s="9" t="s">
        <v>247</v>
      </c>
      <c r="C681" s="9" t="s">
        <v>10</v>
      </c>
      <c r="D681" s="10">
        <v>41</v>
      </c>
      <c r="E681" s="10" t="s">
        <v>11</v>
      </c>
      <c r="F681" s="10">
        <v>3</v>
      </c>
    </row>
    <row r="682" spans="1:6" outlineLevel="2">
      <c r="A682" s="9" t="s">
        <v>246</v>
      </c>
      <c r="B682" s="9" t="s">
        <v>249</v>
      </c>
      <c r="C682" s="9" t="s">
        <v>712</v>
      </c>
      <c r="D682" s="10">
        <v>40</v>
      </c>
      <c r="E682" s="10" t="s">
        <v>11</v>
      </c>
      <c r="F682" s="10">
        <v>2</v>
      </c>
    </row>
    <row r="683" spans="1:6" outlineLevel="2">
      <c r="A683" s="9" t="s">
        <v>246</v>
      </c>
      <c r="B683" s="9" t="s">
        <v>249</v>
      </c>
      <c r="C683" s="9" t="s">
        <v>10</v>
      </c>
      <c r="D683" s="10">
        <v>51</v>
      </c>
      <c r="E683" s="10" t="s">
        <v>11</v>
      </c>
      <c r="F683" s="10">
        <v>3</v>
      </c>
    </row>
    <row r="684" spans="1:6" outlineLevel="2">
      <c r="A684" s="9" t="s">
        <v>246</v>
      </c>
      <c r="B684" s="9" t="s">
        <v>249</v>
      </c>
      <c r="C684" s="9" t="s">
        <v>838</v>
      </c>
      <c r="D684" s="10">
        <v>42</v>
      </c>
      <c r="E684" s="10" t="s">
        <v>11</v>
      </c>
      <c r="F684" s="10">
        <v>2</v>
      </c>
    </row>
    <row r="685" spans="1:6" outlineLevel="2">
      <c r="A685" s="9" t="s">
        <v>246</v>
      </c>
      <c r="B685" s="9" t="s">
        <v>251</v>
      </c>
      <c r="C685" s="9" t="s">
        <v>712</v>
      </c>
      <c r="D685" s="10">
        <v>40</v>
      </c>
      <c r="E685" s="10" t="s">
        <v>11</v>
      </c>
      <c r="F685" s="10">
        <v>2</v>
      </c>
    </row>
    <row r="686" spans="1:6" outlineLevel="2">
      <c r="A686" s="9" t="s">
        <v>246</v>
      </c>
      <c r="B686" s="9" t="s">
        <v>251</v>
      </c>
      <c r="C686" s="9" t="s">
        <v>340</v>
      </c>
      <c r="D686" s="10">
        <v>52</v>
      </c>
      <c r="E686" s="10" t="s">
        <v>11</v>
      </c>
      <c r="F686" s="10">
        <v>2</v>
      </c>
    </row>
    <row r="687" spans="1:6" outlineLevel="2">
      <c r="A687" s="9" t="s">
        <v>246</v>
      </c>
      <c r="B687" s="9" t="s">
        <v>251</v>
      </c>
      <c r="C687" s="9" t="s">
        <v>10</v>
      </c>
      <c r="D687" s="10">
        <v>52</v>
      </c>
      <c r="E687" s="10" t="s">
        <v>11</v>
      </c>
      <c r="F687" s="10">
        <v>3</v>
      </c>
    </row>
    <row r="688" spans="1:6" outlineLevel="2">
      <c r="A688" s="9" t="s">
        <v>246</v>
      </c>
      <c r="B688" s="9" t="s">
        <v>253</v>
      </c>
      <c r="C688" s="9" t="s">
        <v>712</v>
      </c>
      <c r="D688" s="10">
        <v>40</v>
      </c>
      <c r="E688" s="10" t="s">
        <v>11</v>
      </c>
      <c r="F688" s="10">
        <v>2</v>
      </c>
    </row>
    <row r="689" spans="1:6" outlineLevel="2">
      <c r="A689" s="9" t="s">
        <v>246</v>
      </c>
      <c r="B689" s="9" t="s">
        <v>253</v>
      </c>
      <c r="C689" s="9" t="s">
        <v>340</v>
      </c>
      <c r="D689" s="10">
        <v>47</v>
      </c>
      <c r="E689" s="10" t="s">
        <v>11</v>
      </c>
      <c r="F689" s="10">
        <v>2</v>
      </c>
    </row>
    <row r="690" spans="1:6" outlineLevel="2">
      <c r="A690" s="9" t="s">
        <v>246</v>
      </c>
      <c r="B690" s="9" t="s">
        <v>253</v>
      </c>
      <c r="C690" s="9" t="s">
        <v>10</v>
      </c>
      <c r="D690" s="10">
        <v>53</v>
      </c>
      <c r="E690" s="10" t="s">
        <v>11</v>
      </c>
      <c r="F690" s="10">
        <v>3</v>
      </c>
    </row>
    <row r="691" spans="1:6" outlineLevel="2">
      <c r="A691" s="9" t="s">
        <v>246</v>
      </c>
      <c r="B691" s="9" t="s">
        <v>255</v>
      </c>
      <c r="C691" s="9" t="s">
        <v>712</v>
      </c>
      <c r="D691" s="10">
        <v>48</v>
      </c>
      <c r="E691" s="10" t="s">
        <v>11</v>
      </c>
      <c r="F691" s="10">
        <v>2</v>
      </c>
    </row>
    <row r="692" spans="1:6" outlineLevel="2">
      <c r="A692" s="9" t="s">
        <v>246</v>
      </c>
      <c r="B692" s="9" t="s">
        <v>255</v>
      </c>
      <c r="C692" s="9" t="s">
        <v>340</v>
      </c>
      <c r="D692" s="10">
        <v>50</v>
      </c>
      <c r="E692" s="10" t="s">
        <v>11</v>
      </c>
      <c r="F692" s="10">
        <v>2</v>
      </c>
    </row>
    <row r="693" spans="1:6" outlineLevel="2">
      <c r="A693" s="9" t="s">
        <v>246</v>
      </c>
      <c r="B693" s="9" t="s">
        <v>255</v>
      </c>
      <c r="C693" s="9" t="s">
        <v>10</v>
      </c>
      <c r="D693" s="10">
        <v>54</v>
      </c>
      <c r="E693" s="10" t="s">
        <v>11</v>
      </c>
      <c r="F693" s="10">
        <v>3</v>
      </c>
    </row>
    <row r="694" spans="1:6" outlineLevel="2">
      <c r="A694" s="9" t="s">
        <v>246</v>
      </c>
      <c r="B694" s="9" t="s">
        <v>255</v>
      </c>
      <c r="C694" s="9" t="s">
        <v>838</v>
      </c>
      <c r="D694" s="10">
        <v>52</v>
      </c>
      <c r="E694" s="10" t="s">
        <v>11</v>
      </c>
      <c r="F694" s="10">
        <v>2</v>
      </c>
    </row>
    <row r="695" spans="1:6" outlineLevel="2">
      <c r="A695" s="9" t="s">
        <v>246</v>
      </c>
      <c r="B695" s="9" t="s">
        <v>257</v>
      </c>
      <c r="C695" s="9" t="s">
        <v>10</v>
      </c>
      <c r="D695" s="10">
        <v>53</v>
      </c>
      <c r="E695" s="10" t="s">
        <v>11</v>
      </c>
      <c r="F695" s="10">
        <v>3</v>
      </c>
    </row>
    <row r="696" spans="1:6" outlineLevel="2">
      <c r="A696" s="9" t="s">
        <v>246</v>
      </c>
      <c r="B696" s="9" t="s">
        <v>411</v>
      </c>
      <c r="C696" s="9" t="s">
        <v>340</v>
      </c>
      <c r="D696" s="10">
        <v>49</v>
      </c>
      <c r="E696" s="10" t="s">
        <v>11</v>
      </c>
      <c r="F696" s="10">
        <v>2</v>
      </c>
    </row>
    <row r="697" spans="1:6" outlineLevel="2">
      <c r="A697" s="9" t="s">
        <v>246</v>
      </c>
      <c r="B697" s="9" t="s">
        <v>411</v>
      </c>
      <c r="C697" s="9" t="s">
        <v>838</v>
      </c>
      <c r="D697" s="10">
        <v>45</v>
      </c>
      <c r="E697" s="10" t="s">
        <v>11</v>
      </c>
      <c r="F697" s="10">
        <v>2</v>
      </c>
    </row>
    <row r="698" spans="1:6" outlineLevel="2">
      <c r="A698" s="9" t="s">
        <v>246</v>
      </c>
      <c r="B698" s="9" t="s">
        <v>259</v>
      </c>
      <c r="C698" s="9" t="s">
        <v>712</v>
      </c>
      <c r="D698" s="10">
        <v>40</v>
      </c>
      <c r="E698" s="10" t="s">
        <v>11</v>
      </c>
      <c r="F698" s="10">
        <v>2</v>
      </c>
    </row>
    <row r="699" spans="1:6" outlineLevel="2">
      <c r="A699" s="9" t="s">
        <v>246</v>
      </c>
      <c r="B699" s="9" t="s">
        <v>259</v>
      </c>
      <c r="C699" s="9" t="s">
        <v>340</v>
      </c>
      <c r="D699" s="10">
        <v>47</v>
      </c>
      <c r="E699" s="10" t="s">
        <v>11</v>
      </c>
      <c r="F699" s="10">
        <v>2</v>
      </c>
    </row>
    <row r="700" spans="1:6" outlineLevel="2">
      <c r="A700" s="9" t="s">
        <v>246</v>
      </c>
      <c r="B700" s="9" t="s">
        <v>259</v>
      </c>
      <c r="C700" s="9" t="s">
        <v>10</v>
      </c>
      <c r="D700" s="10">
        <v>49</v>
      </c>
      <c r="E700" s="10" t="s">
        <v>11</v>
      </c>
      <c r="F700" s="10">
        <v>3</v>
      </c>
    </row>
    <row r="701" spans="1:6" outlineLevel="2">
      <c r="A701" s="9" t="s">
        <v>246</v>
      </c>
      <c r="B701" s="9" t="s">
        <v>259</v>
      </c>
      <c r="C701" s="9" t="s">
        <v>838</v>
      </c>
      <c r="D701" s="10">
        <v>56</v>
      </c>
      <c r="E701" s="10" t="s">
        <v>11</v>
      </c>
      <c r="F701" s="10">
        <v>2</v>
      </c>
    </row>
    <row r="702" spans="1:6" outlineLevel="2">
      <c r="A702" s="9" t="s">
        <v>246</v>
      </c>
      <c r="B702" s="9" t="s">
        <v>590</v>
      </c>
      <c r="C702" s="9" t="s">
        <v>828</v>
      </c>
      <c r="D702" s="10">
        <v>40</v>
      </c>
      <c r="E702" s="10" t="s">
        <v>11</v>
      </c>
      <c r="F702" s="10">
        <v>1</v>
      </c>
    </row>
    <row r="703" spans="1:6" outlineLevel="2">
      <c r="A703" s="9" t="s">
        <v>246</v>
      </c>
      <c r="B703" s="9" t="s">
        <v>590</v>
      </c>
      <c r="C703" s="9" t="s">
        <v>838</v>
      </c>
      <c r="D703" s="10">
        <v>40</v>
      </c>
      <c r="E703" s="10" t="s">
        <v>11</v>
      </c>
      <c r="F703" s="10">
        <v>2</v>
      </c>
    </row>
    <row r="704" spans="1:6" outlineLevel="2">
      <c r="A704" s="9" t="s">
        <v>246</v>
      </c>
      <c r="B704" s="9" t="s">
        <v>413</v>
      </c>
      <c r="C704" s="9" t="s">
        <v>712</v>
      </c>
      <c r="D704" s="10">
        <v>44</v>
      </c>
      <c r="E704" s="10" t="s">
        <v>11</v>
      </c>
      <c r="F704" s="10">
        <v>2</v>
      </c>
    </row>
    <row r="705" spans="1:6" outlineLevel="2">
      <c r="A705" s="9" t="s">
        <v>246</v>
      </c>
      <c r="B705" s="9" t="s">
        <v>413</v>
      </c>
      <c r="C705" s="9" t="s">
        <v>340</v>
      </c>
      <c r="D705" s="10">
        <v>54</v>
      </c>
      <c r="E705" s="10" t="s">
        <v>11</v>
      </c>
      <c r="F705" s="10">
        <v>2</v>
      </c>
    </row>
    <row r="706" spans="1:6" outlineLevel="2">
      <c r="A706" s="9" t="s">
        <v>246</v>
      </c>
      <c r="B706" s="9" t="s">
        <v>261</v>
      </c>
      <c r="C706" s="9" t="s">
        <v>10</v>
      </c>
      <c r="D706" s="10">
        <v>45</v>
      </c>
      <c r="E706" s="10" t="s">
        <v>11</v>
      </c>
      <c r="F706" s="10">
        <v>3</v>
      </c>
    </row>
    <row r="707" spans="1:6" outlineLevel="2">
      <c r="A707" s="9" t="s">
        <v>246</v>
      </c>
      <c r="B707" s="9" t="s">
        <v>261</v>
      </c>
      <c r="C707" s="9" t="s">
        <v>838</v>
      </c>
      <c r="D707" s="10">
        <v>45</v>
      </c>
      <c r="E707" s="10" t="s">
        <v>11</v>
      </c>
      <c r="F707" s="10">
        <v>2</v>
      </c>
    </row>
    <row r="708" spans="1:6" outlineLevel="2">
      <c r="A708" s="9" t="s">
        <v>246</v>
      </c>
      <c r="B708" s="9" t="s">
        <v>263</v>
      </c>
      <c r="C708" s="9" t="s">
        <v>340</v>
      </c>
      <c r="D708" s="10">
        <v>52</v>
      </c>
      <c r="E708" s="10" t="s">
        <v>11</v>
      </c>
      <c r="F708" s="10">
        <v>2</v>
      </c>
    </row>
    <row r="709" spans="1:6" outlineLevel="2">
      <c r="A709" s="9" t="s">
        <v>246</v>
      </c>
      <c r="B709" s="9" t="s">
        <v>263</v>
      </c>
      <c r="C709" s="9" t="s">
        <v>828</v>
      </c>
      <c r="D709" s="10">
        <v>56</v>
      </c>
      <c r="E709" s="10" t="s">
        <v>11</v>
      </c>
      <c r="F709" s="10">
        <v>1</v>
      </c>
    </row>
    <row r="710" spans="1:6" outlineLevel="2">
      <c r="A710" s="9" t="s">
        <v>246</v>
      </c>
      <c r="B710" s="9" t="s">
        <v>263</v>
      </c>
      <c r="C710" s="9" t="s">
        <v>10</v>
      </c>
      <c r="D710" s="10">
        <v>54</v>
      </c>
      <c r="E710" s="10" t="s">
        <v>11</v>
      </c>
      <c r="F710" s="10">
        <v>3</v>
      </c>
    </row>
    <row r="711" spans="1:6" outlineLevel="2">
      <c r="A711" s="9" t="s">
        <v>246</v>
      </c>
      <c r="B711" s="9" t="s">
        <v>263</v>
      </c>
      <c r="C711" s="9" t="s">
        <v>838</v>
      </c>
      <c r="D711" s="10">
        <v>43</v>
      </c>
      <c r="E711" s="10" t="s">
        <v>11</v>
      </c>
      <c r="F711" s="10">
        <v>2</v>
      </c>
    </row>
    <row r="712" spans="1:6" outlineLevel="2">
      <c r="A712" s="9" t="s">
        <v>246</v>
      </c>
      <c r="B712" s="9" t="s">
        <v>265</v>
      </c>
      <c r="C712" s="9" t="s">
        <v>828</v>
      </c>
      <c r="D712" s="10">
        <v>40</v>
      </c>
      <c r="E712" s="10" t="s">
        <v>11</v>
      </c>
      <c r="F712" s="10">
        <v>1</v>
      </c>
    </row>
    <row r="713" spans="1:6" outlineLevel="2">
      <c r="A713" s="9" t="s">
        <v>246</v>
      </c>
      <c r="B713" s="9" t="s">
        <v>265</v>
      </c>
      <c r="C713" s="9" t="s">
        <v>10</v>
      </c>
      <c r="D713" s="10">
        <v>50</v>
      </c>
      <c r="E713" s="10" t="s">
        <v>11</v>
      </c>
      <c r="F713" s="10">
        <v>3</v>
      </c>
    </row>
    <row r="714" spans="1:6" outlineLevel="2">
      <c r="A714" s="9" t="s">
        <v>246</v>
      </c>
      <c r="B714" s="9" t="s">
        <v>804</v>
      </c>
      <c r="C714" s="9" t="s">
        <v>838</v>
      </c>
      <c r="D714" s="10">
        <v>47</v>
      </c>
      <c r="E714" s="10" t="s">
        <v>11</v>
      </c>
      <c r="F714" s="10">
        <v>2</v>
      </c>
    </row>
    <row r="715" spans="1:6" outlineLevel="2">
      <c r="A715" s="9" t="s">
        <v>246</v>
      </c>
      <c r="B715" s="9" t="s">
        <v>829</v>
      </c>
      <c r="C715" s="9" t="s">
        <v>828</v>
      </c>
      <c r="D715" s="10">
        <v>40</v>
      </c>
      <c r="E715" s="10" t="s">
        <v>11</v>
      </c>
      <c r="F715" s="10">
        <v>1</v>
      </c>
    </row>
    <row r="716" spans="1:6" outlineLevel="2">
      <c r="A716" s="9" t="s">
        <v>246</v>
      </c>
      <c r="B716" s="9" t="s">
        <v>829</v>
      </c>
      <c r="C716" s="9" t="s">
        <v>838</v>
      </c>
      <c r="D716" s="10">
        <v>40</v>
      </c>
      <c r="E716" s="10" t="s">
        <v>11</v>
      </c>
      <c r="F716" s="10">
        <v>2</v>
      </c>
    </row>
    <row r="717" spans="1:6" outlineLevel="2">
      <c r="A717" s="9" t="s">
        <v>246</v>
      </c>
      <c r="B717" s="9" t="s">
        <v>267</v>
      </c>
      <c r="C717" s="9" t="s">
        <v>712</v>
      </c>
      <c r="D717" s="10">
        <v>40</v>
      </c>
      <c r="E717" s="10" t="s">
        <v>11</v>
      </c>
      <c r="F717" s="10">
        <v>2</v>
      </c>
    </row>
    <row r="718" spans="1:6" outlineLevel="2">
      <c r="A718" s="9" t="s">
        <v>246</v>
      </c>
      <c r="B718" s="9" t="s">
        <v>267</v>
      </c>
      <c r="C718" s="9" t="s">
        <v>340</v>
      </c>
      <c r="D718" s="10">
        <v>47</v>
      </c>
      <c r="E718" s="10" t="s">
        <v>11</v>
      </c>
      <c r="F718" s="10">
        <v>2</v>
      </c>
    </row>
    <row r="719" spans="1:6" outlineLevel="2">
      <c r="A719" s="9" t="s">
        <v>246</v>
      </c>
      <c r="B719" s="9" t="s">
        <v>267</v>
      </c>
      <c r="C719" s="9" t="s">
        <v>10</v>
      </c>
      <c r="D719" s="10">
        <v>52</v>
      </c>
      <c r="E719" s="10" t="s">
        <v>11</v>
      </c>
      <c r="F719" s="10">
        <v>3</v>
      </c>
    </row>
    <row r="720" spans="1:6" outlineLevel="2">
      <c r="A720" s="9" t="s">
        <v>246</v>
      </c>
      <c r="B720" s="9" t="s">
        <v>267</v>
      </c>
      <c r="C720" s="9" t="s">
        <v>838</v>
      </c>
      <c r="D720" s="10">
        <v>47</v>
      </c>
      <c r="E720" s="10" t="s">
        <v>11</v>
      </c>
      <c r="F720" s="10">
        <v>2</v>
      </c>
    </row>
    <row r="721" spans="1:6" outlineLevel="2">
      <c r="A721" s="9" t="s">
        <v>246</v>
      </c>
      <c r="B721" s="9" t="s">
        <v>269</v>
      </c>
      <c r="C721" s="9" t="s">
        <v>712</v>
      </c>
      <c r="D721" s="10">
        <v>50</v>
      </c>
      <c r="E721" s="10" t="s">
        <v>11</v>
      </c>
      <c r="F721" s="10">
        <v>2</v>
      </c>
    </row>
    <row r="722" spans="1:6" outlineLevel="2">
      <c r="A722" s="9" t="s">
        <v>246</v>
      </c>
      <c r="B722" s="9" t="s">
        <v>269</v>
      </c>
      <c r="C722" s="9" t="s">
        <v>828</v>
      </c>
      <c r="D722" s="10">
        <v>53</v>
      </c>
      <c r="E722" s="10" t="s">
        <v>11</v>
      </c>
      <c r="F722" s="10">
        <v>1</v>
      </c>
    </row>
    <row r="723" spans="1:6" outlineLevel="2">
      <c r="A723" s="9" t="s">
        <v>246</v>
      </c>
      <c r="B723" s="9" t="s">
        <v>269</v>
      </c>
      <c r="C723" s="9" t="s">
        <v>10</v>
      </c>
      <c r="D723" s="10">
        <v>47</v>
      </c>
      <c r="E723" s="10" t="s">
        <v>11</v>
      </c>
      <c r="F723" s="10">
        <v>3</v>
      </c>
    </row>
    <row r="724" spans="1:6" outlineLevel="2">
      <c r="A724" s="9" t="s">
        <v>246</v>
      </c>
      <c r="B724" s="9" t="s">
        <v>596</v>
      </c>
      <c r="C724" s="9" t="s">
        <v>828</v>
      </c>
      <c r="D724" s="10">
        <v>42</v>
      </c>
      <c r="E724" s="10" t="s">
        <v>11</v>
      </c>
      <c r="F724" s="10">
        <v>1</v>
      </c>
    </row>
    <row r="725" spans="1:6" outlineLevel="2">
      <c r="A725" s="9" t="s">
        <v>246</v>
      </c>
      <c r="B725" s="9" t="s">
        <v>271</v>
      </c>
      <c r="C725" s="9" t="s">
        <v>712</v>
      </c>
      <c r="D725" s="10">
        <v>44</v>
      </c>
      <c r="E725" s="10" t="s">
        <v>11</v>
      </c>
      <c r="F725" s="10">
        <v>2</v>
      </c>
    </row>
    <row r="726" spans="1:6" outlineLevel="2">
      <c r="A726" s="9" t="s">
        <v>246</v>
      </c>
      <c r="B726" s="9" t="s">
        <v>271</v>
      </c>
      <c r="C726" s="9" t="s">
        <v>10</v>
      </c>
      <c r="D726" s="10">
        <v>53</v>
      </c>
      <c r="E726" s="10" t="s">
        <v>11</v>
      </c>
      <c r="F726" s="10">
        <v>3</v>
      </c>
    </row>
    <row r="727" spans="1:6" outlineLevel="2">
      <c r="A727" s="9" t="s">
        <v>246</v>
      </c>
      <c r="B727" s="9" t="s">
        <v>598</v>
      </c>
      <c r="C727" s="9" t="s">
        <v>712</v>
      </c>
      <c r="D727" s="10">
        <v>50</v>
      </c>
      <c r="E727" s="10" t="s">
        <v>11</v>
      </c>
      <c r="F727" s="10">
        <v>2</v>
      </c>
    </row>
    <row r="728" spans="1:6" outlineLevel="2">
      <c r="A728" s="9" t="s">
        <v>246</v>
      </c>
      <c r="B728" s="9" t="s">
        <v>273</v>
      </c>
      <c r="C728" s="9" t="s">
        <v>10</v>
      </c>
      <c r="D728" s="10">
        <v>48</v>
      </c>
      <c r="E728" s="10" t="s">
        <v>11</v>
      </c>
      <c r="F728" s="10">
        <v>3</v>
      </c>
    </row>
    <row r="729" spans="1:6" outlineLevel="2">
      <c r="A729" s="9" t="s">
        <v>246</v>
      </c>
      <c r="B729" s="9" t="s">
        <v>275</v>
      </c>
      <c r="C729" s="9" t="s">
        <v>10</v>
      </c>
      <c r="D729" s="10">
        <v>38</v>
      </c>
      <c r="E729" s="10" t="s">
        <v>11</v>
      </c>
      <c r="F729" s="10">
        <v>3</v>
      </c>
    </row>
    <row r="730" spans="1:6" outlineLevel="2">
      <c r="A730" s="9" t="s">
        <v>246</v>
      </c>
      <c r="B730" s="9" t="s">
        <v>277</v>
      </c>
      <c r="C730" s="9" t="s">
        <v>10</v>
      </c>
      <c r="D730" s="10">
        <v>46</v>
      </c>
      <c r="E730" s="10" t="s">
        <v>11</v>
      </c>
      <c r="F730" s="10">
        <v>3</v>
      </c>
    </row>
    <row r="731" spans="1:6" outlineLevel="2">
      <c r="A731" s="9" t="s">
        <v>246</v>
      </c>
      <c r="B731" s="9" t="s">
        <v>415</v>
      </c>
      <c r="C731" s="9" t="s">
        <v>340</v>
      </c>
      <c r="D731" s="10">
        <v>50</v>
      </c>
      <c r="E731" s="10" t="s">
        <v>11</v>
      </c>
      <c r="F731" s="10">
        <v>2</v>
      </c>
    </row>
    <row r="732" spans="1:6" outlineLevel="1">
      <c r="A732" s="18" t="s">
        <v>1858</v>
      </c>
      <c r="B732" s="9">
        <f>SUBTOTAL(3,B680:B731)</f>
        <v>52</v>
      </c>
      <c r="C732" s="9"/>
      <c r="D732" s="10"/>
      <c r="E732" s="10"/>
      <c r="F732" s="10"/>
    </row>
    <row r="733" spans="1:6" outlineLevel="2">
      <c r="A733" s="9" t="s">
        <v>25</v>
      </c>
      <c r="B733" s="9" t="s">
        <v>669</v>
      </c>
      <c r="C733" s="9" t="s">
        <v>636</v>
      </c>
      <c r="D733" s="10">
        <v>45</v>
      </c>
      <c r="E733" s="10" t="s">
        <v>11</v>
      </c>
      <c r="F733" s="10">
        <v>4</v>
      </c>
    </row>
    <row r="734" spans="1:6" outlineLevel="2">
      <c r="A734" s="9" t="s">
        <v>25</v>
      </c>
      <c r="B734" s="9" t="s">
        <v>710</v>
      </c>
      <c r="C734" s="9" t="s">
        <v>712</v>
      </c>
      <c r="D734" s="10">
        <v>31</v>
      </c>
      <c r="E734" s="10" t="s">
        <v>11</v>
      </c>
      <c r="F734" s="10">
        <v>2</v>
      </c>
    </row>
    <row r="735" spans="1:6" outlineLevel="2">
      <c r="A735" s="9" t="s">
        <v>25</v>
      </c>
      <c r="B735" s="9" t="s">
        <v>26</v>
      </c>
      <c r="C735" s="9" t="s">
        <v>10</v>
      </c>
      <c r="D735" s="10">
        <v>40</v>
      </c>
      <c r="E735" s="10" t="s">
        <v>11</v>
      </c>
      <c r="F735" s="10">
        <v>3</v>
      </c>
    </row>
    <row r="736" spans="1:6" outlineLevel="2">
      <c r="A736" s="9" t="s">
        <v>25</v>
      </c>
      <c r="B736" s="9" t="s">
        <v>28</v>
      </c>
      <c r="C736" s="9" t="s">
        <v>10</v>
      </c>
      <c r="D736" s="10">
        <v>41</v>
      </c>
      <c r="E736" s="10" t="s">
        <v>11</v>
      </c>
      <c r="F736" s="10">
        <v>3</v>
      </c>
    </row>
    <row r="737" spans="1:6" outlineLevel="2">
      <c r="A737" s="9" t="s">
        <v>25</v>
      </c>
      <c r="B737" s="9" t="s">
        <v>338</v>
      </c>
      <c r="C737" s="9" t="s">
        <v>340</v>
      </c>
      <c r="D737" s="10">
        <v>40</v>
      </c>
      <c r="E737" s="10" t="s">
        <v>11</v>
      </c>
      <c r="F737" s="10">
        <v>2</v>
      </c>
    </row>
    <row r="738" spans="1:6" outlineLevel="2">
      <c r="A738" s="9" t="s">
        <v>25</v>
      </c>
      <c r="B738" s="9" t="s">
        <v>338</v>
      </c>
      <c r="C738" s="9" t="s">
        <v>838</v>
      </c>
      <c r="D738" s="10">
        <v>46</v>
      </c>
      <c r="E738" s="10" t="s">
        <v>11</v>
      </c>
      <c r="F738" s="10">
        <v>2</v>
      </c>
    </row>
    <row r="739" spans="1:6" outlineLevel="2">
      <c r="A739" s="9" t="s">
        <v>25</v>
      </c>
      <c r="B739" s="9" t="s">
        <v>30</v>
      </c>
      <c r="C739" s="9" t="s">
        <v>712</v>
      </c>
      <c r="D739" s="10">
        <v>51</v>
      </c>
      <c r="E739" s="10" t="s">
        <v>11</v>
      </c>
      <c r="F739" s="10">
        <v>2</v>
      </c>
    </row>
    <row r="740" spans="1:6" outlineLevel="2">
      <c r="A740" s="9" t="s">
        <v>25</v>
      </c>
      <c r="B740" s="9" t="s">
        <v>30</v>
      </c>
      <c r="C740" s="9" t="s">
        <v>340</v>
      </c>
      <c r="D740" s="10">
        <v>40</v>
      </c>
      <c r="E740" s="10" t="s">
        <v>11</v>
      </c>
      <c r="F740" s="10">
        <v>2</v>
      </c>
    </row>
    <row r="741" spans="1:6" outlineLevel="2">
      <c r="A741" s="9" t="s">
        <v>25</v>
      </c>
      <c r="B741" s="9" t="s">
        <v>30</v>
      </c>
      <c r="C741" s="9" t="s">
        <v>10</v>
      </c>
      <c r="D741" s="10">
        <v>50</v>
      </c>
      <c r="E741" s="10" t="s">
        <v>11</v>
      </c>
      <c r="F741" s="10">
        <v>3</v>
      </c>
    </row>
    <row r="742" spans="1:6" outlineLevel="2">
      <c r="A742" s="9" t="s">
        <v>25</v>
      </c>
      <c r="B742" s="9" t="s">
        <v>341</v>
      </c>
      <c r="C742" s="9" t="s">
        <v>340</v>
      </c>
      <c r="D742" s="10">
        <v>49</v>
      </c>
      <c r="E742" s="10" t="s">
        <v>11</v>
      </c>
      <c r="F742" s="10">
        <v>2</v>
      </c>
    </row>
    <row r="743" spans="1:6" outlineLevel="2">
      <c r="A743" s="9" t="s">
        <v>25</v>
      </c>
      <c r="B743" s="9" t="s">
        <v>343</v>
      </c>
      <c r="C743" s="9" t="s">
        <v>340</v>
      </c>
      <c r="D743" s="10">
        <v>51</v>
      </c>
      <c r="E743" s="10" t="s">
        <v>11</v>
      </c>
      <c r="F743" s="10">
        <v>2</v>
      </c>
    </row>
    <row r="744" spans="1:6" outlineLevel="2">
      <c r="A744" s="9" t="s">
        <v>25</v>
      </c>
      <c r="B744" s="9" t="s">
        <v>713</v>
      </c>
      <c r="C744" s="9" t="s">
        <v>712</v>
      </c>
      <c r="D744" s="10">
        <v>40</v>
      </c>
      <c r="E744" s="10" t="s">
        <v>11</v>
      </c>
      <c r="F744" s="10">
        <v>2</v>
      </c>
    </row>
    <row r="745" spans="1:6" outlineLevel="2">
      <c r="A745" s="9" t="s">
        <v>25</v>
      </c>
      <c r="B745" s="9" t="s">
        <v>713</v>
      </c>
      <c r="C745" s="9" t="s">
        <v>828</v>
      </c>
      <c r="D745" s="10">
        <v>47</v>
      </c>
      <c r="E745" s="10" t="s">
        <v>11</v>
      </c>
      <c r="F745" s="10">
        <v>1</v>
      </c>
    </row>
    <row r="746" spans="1:6" outlineLevel="2">
      <c r="A746" s="9" t="s">
        <v>25</v>
      </c>
      <c r="B746" s="9" t="s">
        <v>713</v>
      </c>
      <c r="C746" s="9" t="s">
        <v>838</v>
      </c>
      <c r="D746" s="10">
        <v>40</v>
      </c>
      <c r="E746" s="10" t="s">
        <v>11</v>
      </c>
      <c r="F746" s="10">
        <v>2</v>
      </c>
    </row>
    <row r="747" spans="1:6" outlineLevel="2">
      <c r="A747" s="9" t="s">
        <v>25</v>
      </c>
      <c r="B747" s="9" t="s">
        <v>345</v>
      </c>
      <c r="C747" s="9" t="s">
        <v>340</v>
      </c>
      <c r="D747" s="10">
        <v>46</v>
      </c>
      <c r="E747" s="10" t="s">
        <v>11</v>
      </c>
      <c r="F747" s="10">
        <v>2</v>
      </c>
    </row>
    <row r="748" spans="1:6" outlineLevel="2">
      <c r="A748" s="9" t="s">
        <v>25</v>
      </c>
      <c r="B748" s="9" t="s">
        <v>347</v>
      </c>
      <c r="C748" s="9" t="s">
        <v>712</v>
      </c>
      <c r="D748" s="10">
        <v>49</v>
      </c>
      <c r="E748" s="10" t="s">
        <v>11</v>
      </c>
      <c r="F748" s="10">
        <v>2</v>
      </c>
    </row>
    <row r="749" spans="1:6" outlineLevel="2">
      <c r="A749" s="9" t="s">
        <v>25</v>
      </c>
      <c r="B749" s="9" t="s">
        <v>347</v>
      </c>
      <c r="C749" s="9" t="s">
        <v>340</v>
      </c>
      <c r="D749" s="10">
        <v>54</v>
      </c>
      <c r="E749" s="10" t="s">
        <v>11</v>
      </c>
      <c r="F749" s="10">
        <v>2</v>
      </c>
    </row>
    <row r="750" spans="1:6" outlineLevel="2">
      <c r="A750" s="9" t="s">
        <v>25</v>
      </c>
      <c r="B750" s="9" t="s">
        <v>347</v>
      </c>
      <c r="C750" s="9" t="s">
        <v>636</v>
      </c>
      <c r="D750" s="10">
        <v>44</v>
      </c>
      <c r="E750" s="10" t="s">
        <v>11</v>
      </c>
      <c r="F750" s="10">
        <v>4</v>
      </c>
    </row>
    <row r="751" spans="1:6" outlineLevel="2">
      <c r="A751" s="9" t="s">
        <v>25</v>
      </c>
      <c r="B751" s="9" t="s">
        <v>347</v>
      </c>
      <c r="C751" s="9" t="s">
        <v>838</v>
      </c>
      <c r="D751" s="10">
        <v>44</v>
      </c>
      <c r="E751" s="10" t="s">
        <v>11</v>
      </c>
      <c r="F751" s="10">
        <v>2</v>
      </c>
    </row>
    <row r="752" spans="1:6" outlineLevel="2">
      <c r="A752" s="9" t="s">
        <v>25</v>
      </c>
      <c r="B752" s="9" t="s">
        <v>671</v>
      </c>
      <c r="C752" s="9" t="s">
        <v>712</v>
      </c>
      <c r="D752" s="10">
        <v>45</v>
      </c>
      <c r="E752" s="10" t="s">
        <v>11</v>
      </c>
      <c r="F752" s="10">
        <v>2</v>
      </c>
    </row>
    <row r="753" spans="1:6" outlineLevel="2">
      <c r="A753" s="9" t="s">
        <v>25</v>
      </c>
      <c r="B753" s="9" t="s">
        <v>671</v>
      </c>
      <c r="C753" s="9" t="s">
        <v>636</v>
      </c>
      <c r="D753" s="10">
        <v>42</v>
      </c>
      <c r="E753" s="10" t="s">
        <v>11</v>
      </c>
      <c r="F753" s="10">
        <v>4</v>
      </c>
    </row>
    <row r="754" spans="1:6" outlineLevel="2">
      <c r="A754" s="9" t="s">
        <v>25</v>
      </c>
      <c r="B754" s="9" t="s">
        <v>671</v>
      </c>
      <c r="C754" s="9" t="s">
        <v>838</v>
      </c>
      <c r="D754" s="10">
        <v>40</v>
      </c>
      <c r="E754" s="10" t="s">
        <v>11</v>
      </c>
      <c r="F754" s="10">
        <v>2</v>
      </c>
    </row>
    <row r="755" spans="1:6" outlineLevel="2">
      <c r="A755" s="9" t="s">
        <v>25</v>
      </c>
      <c r="B755" s="9" t="s">
        <v>673</v>
      </c>
      <c r="C755" s="9" t="s">
        <v>636</v>
      </c>
      <c r="D755" s="10">
        <v>37</v>
      </c>
      <c r="E755" s="10" t="s">
        <v>11</v>
      </c>
      <c r="F755" s="10">
        <v>4</v>
      </c>
    </row>
    <row r="756" spans="1:6" outlineLevel="2">
      <c r="A756" s="9" t="s">
        <v>25</v>
      </c>
      <c r="B756" s="9" t="s">
        <v>32</v>
      </c>
      <c r="C756" s="9" t="s">
        <v>340</v>
      </c>
      <c r="D756" s="10">
        <v>40</v>
      </c>
      <c r="E756" s="10" t="s">
        <v>11</v>
      </c>
      <c r="F756" s="10">
        <v>2</v>
      </c>
    </row>
    <row r="757" spans="1:6" outlineLevel="2">
      <c r="A757" s="9" t="s">
        <v>25</v>
      </c>
      <c r="B757" s="9" t="s">
        <v>32</v>
      </c>
      <c r="C757" s="9" t="s">
        <v>10</v>
      </c>
      <c r="D757" s="10">
        <v>47</v>
      </c>
      <c r="E757" s="10" t="s">
        <v>11</v>
      </c>
      <c r="F757" s="10">
        <v>3</v>
      </c>
    </row>
    <row r="758" spans="1:6" outlineLevel="2">
      <c r="A758" s="9" t="s">
        <v>25</v>
      </c>
      <c r="B758" s="9" t="s">
        <v>34</v>
      </c>
      <c r="C758" s="9" t="s">
        <v>340</v>
      </c>
      <c r="D758" s="10">
        <v>47</v>
      </c>
      <c r="E758" s="10" t="s">
        <v>11</v>
      </c>
      <c r="F758" s="10">
        <v>2</v>
      </c>
    </row>
    <row r="759" spans="1:6" outlineLevel="2">
      <c r="A759" s="9" t="s">
        <v>25</v>
      </c>
      <c r="B759" s="9" t="s">
        <v>34</v>
      </c>
      <c r="C759" s="9" t="s">
        <v>10</v>
      </c>
      <c r="D759" s="10">
        <v>43</v>
      </c>
      <c r="E759" s="10" t="s">
        <v>11</v>
      </c>
      <c r="F759" s="10">
        <v>3</v>
      </c>
    </row>
    <row r="760" spans="1:6" outlineLevel="2">
      <c r="A760" s="9" t="s">
        <v>25</v>
      </c>
      <c r="B760" s="9" t="s">
        <v>36</v>
      </c>
      <c r="C760" s="9" t="s">
        <v>10</v>
      </c>
      <c r="D760" s="10">
        <v>41</v>
      </c>
      <c r="E760" s="10" t="s">
        <v>11</v>
      </c>
      <c r="F760" s="10">
        <v>3</v>
      </c>
    </row>
    <row r="761" spans="1:6" outlineLevel="2">
      <c r="A761" s="9" t="s">
        <v>25</v>
      </c>
      <c r="B761" s="9" t="s">
        <v>36</v>
      </c>
      <c r="C761" s="9" t="s">
        <v>838</v>
      </c>
      <c r="D761" s="10">
        <v>56</v>
      </c>
      <c r="E761" s="10" t="s">
        <v>11</v>
      </c>
      <c r="F761" s="10">
        <v>2</v>
      </c>
    </row>
    <row r="762" spans="1:6" outlineLevel="2">
      <c r="A762" s="9" t="s">
        <v>25</v>
      </c>
      <c r="B762" s="9" t="s">
        <v>38</v>
      </c>
      <c r="C762" s="9" t="s">
        <v>702</v>
      </c>
      <c r="D762" s="10">
        <v>58</v>
      </c>
      <c r="E762" s="10" t="s">
        <v>11</v>
      </c>
      <c r="F762" s="10">
        <v>2</v>
      </c>
    </row>
    <row r="763" spans="1:6" outlineLevel="2">
      <c r="A763" s="9" t="s">
        <v>25</v>
      </c>
      <c r="B763" s="9" t="s">
        <v>38</v>
      </c>
      <c r="C763" s="9" t="s">
        <v>712</v>
      </c>
      <c r="D763" s="10">
        <v>40</v>
      </c>
      <c r="E763" s="10" t="s">
        <v>11</v>
      </c>
      <c r="F763" s="10">
        <v>2</v>
      </c>
    </row>
    <row r="764" spans="1:6" outlineLevel="2">
      <c r="A764" s="9" t="s">
        <v>25</v>
      </c>
      <c r="B764" s="9" t="s">
        <v>38</v>
      </c>
      <c r="C764" s="9" t="s">
        <v>340</v>
      </c>
      <c r="D764" s="10">
        <v>56</v>
      </c>
      <c r="E764" s="10" t="s">
        <v>11</v>
      </c>
      <c r="F764" s="10">
        <v>2</v>
      </c>
    </row>
    <row r="765" spans="1:6" outlineLevel="2">
      <c r="A765" s="9" t="s">
        <v>25</v>
      </c>
      <c r="B765" s="9" t="s">
        <v>38</v>
      </c>
      <c r="C765" s="9" t="s">
        <v>10</v>
      </c>
      <c r="D765" s="10">
        <v>45</v>
      </c>
      <c r="E765" s="10" t="s">
        <v>11</v>
      </c>
      <c r="F765" s="10">
        <v>3</v>
      </c>
    </row>
    <row r="766" spans="1:6" outlineLevel="2">
      <c r="A766" s="9" t="s">
        <v>25</v>
      </c>
      <c r="B766" s="9" t="s">
        <v>38</v>
      </c>
      <c r="C766" s="9" t="s">
        <v>636</v>
      </c>
      <c r="D766" s="10">
        <v>42</v>
      </c>
      <c r="E766" s="10" t="s">
        <v>11</v>
      </c>
      <c r="F766" s="10">
        <v>4</v>
      </c>
    </row>
    <row r="767" spans="1:6" outlineLevel="2">
      <c r="A767" s="9" t="s">
        <v>25</v>
      </c>
      <c r="B767" s="9" t="s">
        <v>38</v>
      </c>
      <c r="C767" s="9" t="s">
        <v>838</v>
      </c>
      <c r="D767" s="10">
        <v>40</v>
      </c>
      <c r="E767" s="10" t="s">
        <v>11</v>
      </c>
      <c r="F767" s="10">
        <v>2</v>
      </c>
    </row>
    <row r="768" spans="1:6" outlineLevel="2">
      <c r="A768" s="9" t="s">
        <v>25</v>
      </c>
      <c r="B768" s="9" t="s">
        <v>703</v>
      </c>
      <c r="C768" s="9" t="s">
        <v>702</v>
      </c>
      <c r="D768" s="10">
        <v>56</v>
      </c>
      <c r="E768" s="10" t="s">
        <v>11</v>
      </c>
      <c r="F768" s="10">
        <v>2</v>
      </c>
    </row>
    <row r="769" spans="1:6" outlineLevel="2">
      <c r="A769" s="9" t="s">
        <v>25</v>
      </c>
      <c r="B769" s="9" t="s">
        <v>703</v>
      </c>
      <c r="C769" s="9" t="s">
        <v>712</v>
      </c>
      <c r="D769" s="10">
        <v>50</v>
      </c>
      <c r="E769" s="10" t="s">
        <v>11</v>
      </c>
      <c r="F769" s="10">
        <v>2</v>
      </c>
    </row>
    <row r="770" spans="1:6" outlineLevel="2">
      <c r="A770" s="9" t="s">
        <v>25</v>
      </c>
      <c r="B770" s="9" t="s">
        <v>703</v>
      </c>
      <c r="C770" s="9" t="s">
        <v>838</v>
      </c>
      <c r="D770" s="10">
        <v>40</v>
      </c>
      <c r="E770" s="10" t="s">
        <v>11</v>
      </c>
      <c r="F770" s="10">
        <v>2</v>
      </c>
    </row>
    <row r="771" spans="1:6" outlineLevel="2">
      <c r="A771" s="9" t="s">
        <v>25</v>
      </c>
      <c r="B771" s="9" t="s">
        <v>40</v>
      </c>
      <c r="C771" s="9" t="s">
        <v>712</v>
      </c>
      <c r="D771" s="10">
        <v>46</v>
      </c>
      <c r="E771" s="10" t="s">
        <v>11</v>
      </c>
      <c r="F771" s="10">
        <v>2</v>
      </c>
    </row>
    <row r="772" spans="1:6" outlineLevel="2">
      <c r="A772" s="9" t="s">
        <v>25</v>
      </c>
      <c r="B772" s="9" t="s">
        <v>40</v>
      </c>
      <c r="C772" s="9" t="s">
        <v>10</v>
      </c>
      <c r="D772" s="10">
        <v>50</v>
      </c>
      <c r="E772" s="10" t="s">
        <v>11</v>
      </c>
      <c r="F772" s="10">
        <v>3</v>
      </c>
    </row>
    <row r="773" spans="1:6" outlineLevel="2">
      <c r="A773" s="9" t="s">
        <v>25</v>
      </c>
      <c r="B773" s="9" t="s">
        <v>42</v>
      </c>
      <c r="C773" s="9" t="s">
        <v>712</v>
      </c>
      <c r="D773" s="10">
        <v>51</v>
      </c>
      <c r="E773" s="10" t="s">
        <v>11</v>
      </c>
      <c r="F773" s="10">
        <v>2</v>
      </c>
    </row>
    <row r="774" spans="1:6" outlineLevel="2">
      <c r="A774" s="9" t="s">
        <v>25</v>
      </c>
      <c r="B774" s="9" t="s">
        <v>42</v>
      </c>
      <c r="C774" s="9" t="s">
        <v>10</v>
      </c>
      <c r="D774" s="10">
        <v>42</v>
      </c>
      <c r="E774" s="10" t="s">
        <v>11</v>
      </c>
      <c r="F774" s="10">
        <v>3</v>
      </c>
    </row>
    <row r="775" spans="1:6" outlineLevel="2">
      <c r="A775" s="9" t="s">
        <v>25</v>
      </c>
      <c r="B775" s="9" t="s">
        <v>42</v>
      </c>
      <c r="C775" s="9" t="s">
        <v>636</v>
      </c>
      <c r="D775" s="10">
        <v>49</v>
      </c>
      <c r="E775" s="10" t="s">
        <v>11</v>
      </c>
      <c r="F775" s="10">
        <v>4</v>
      </c>
    </row>
    <row r="776" spans="1:6" outlineLevel="2">
      <c r="A776" s="9" t="s">
        <v>25</v>
      </c>
      <c r="B776" s="9" t="s">
        <v>42</v>
      </c>
      <c r="C776" s="9" t="s">
        <v>838</v>
      </c>
      <c r="D776" s="10">
        <v>47</v>
      </c>
      <c r="E776" s="10" t="s">
        <v>11</v>
      </c>
      <c r="F776" s="10">
        <v>2</v>
      </c>
    </row>
    <row r="777" spans="1:6" outlineLevel="2">
      <c r="A777" s="9" t="s">
        <v>25</v>
      </c>
      <c r="B777" s="9" t="s">
        <v>349</v>
      </c>
      <c r="C777" s="9" t="s">
        <v>712</v>
      </c>
      <c r="D777" s="10">
        <v>47</v>
      </c>
      <c r="E777" s="10" t="s">
        <v>11</v>
      </c>
      <c r="F777" s="10">
        <v>2</v>
      </c>
    </row>
    <row r="778" spans="1:6" outlineLevel="2">
      <c r="A778" s="9" t="s">
        <v>25</v>
      </c>
      <c r="B778" s="9" t="s">
        <v>349</v>
      </c>
      <c r="C778" s="9" t="s">
        <v>340</v>
      </c>
      <c r="D778" s="10">
        <v>40</v>
      </c>
      <c r="E778" s="10" t="s">
        <v>11</v>
      </c>
      <c r="F778" s="10">
        <v>2</v>
      </c>
    </row>
    <row r="779" spans="1:6" outlineLevel="2">
      <c r="A779" s="9" t="s">
        <v>25</v>
      </c>
      <c r="B779" s="9" t="s">
        <v>349</v>
      </c>
      <c r="C779" s="9" t="s">
        <v>636</v>
      </c>
      <c r="D779" s="10">
        <v>48</v>
      </c>
      <c r="E779" s="10" t="s">
        <v>11</v>
      </c>
      <c r="F779" s="10">
        <v>4</v>
      </c>
    </row>
    <row r="780" spans="1:6" outlineLevel="2">
      <c r="A780" s="9" t="s">
        <v>25</v>
      </c>
      <c r="B780" s="9" t="s">
        <v>349</v>
      </c>
      <c r="C780" s="9" t="s">
        <v>838</v>
      </c>
      <c r="D780" s="10">
        <v>40</v>
      </c>
      <c r="E780" s="10" t="s">
        <v>11</v>
      </c>
      <c r="F780" s="10">
        <v>2</v>
      </c>
    </row>
    <row r="781" spans="1:6" outlineLevel="2">
      <c r="A781" s="9" t="s">
        <v>25</v>
      </c>
      <c r="B781" s="9" t="s">
        <v>351</v>
      </c>
      <c r="C781" s="9" t="s">
        <v>340</v>
      </c>
      <c r="D781" s="10">
        <v>40</v>
      </c>
      <c r="E781" s="10" t="s">
        <v>11</v>
      </c>
      <c r="F781" s="10">
        <v>2</v>
      </c>
    </row>
    <row r="782" spans="1:6" outlineLevel="2">
      <c r="A782" s="9" t="s">
        <v>25</v>
      </c>
      <c r="B782" s="9" t="s">
        <v>351</v>
      </c>
      <c r="C782" s="9" t="s">
        <v>838</v>
      </c>
      <c r="D782" s="10">
        <v>41</v>
      </c>
      <c r="E782" s="10" t="s">
        <v>11</v>
      </c>
      <c r="F782" s="10">
        <v>2</v>
      </c>
    </row>
    <row r="783" spans="1:6" outlineLevel="1">
      <c r="A783" s="18" t="s">
        <v>1859</v>
      </c>
      <c r="B783" s="9">
        <f>SUBTOTAL(3,B733:B782)</f>
        <v>50</v>
      </c>
      <c r="C783" s="9"/>
      <c r="D783" s="10"/>
      <c r="E783" s="10"/>
      <c r="F783" s="10"/>
    </row>
    <row r="784" spans="1:6" outlineLevel="2">
      <c r="A784" s="9" t="s">
        <v>171</v>
      </c>
      <c r="B784" s="9" t="s">
        <v>481</v>
      </c>
      <c r="C784" s="9" t="s">
        <v>340</v>
      </c>
      <c r="D784" s="10">
        <v>35</v>
      </c>
      <c r="E784" s="10" t="s">
        <v>11</v>
      </c>
      <c r="F784" s="10">
        <v>2</v>
      </c>
    </row>
    <row r="785" spans="1:6" outlineLevel="2">
      <c r="A785" s="9" t="s">
        <v>171</v>
      </c>
      <c r="B785" s="9" t="s">
        <v>797</v>
      </c>
      <c r="C785" s="9" t="s">
        <v>828</v>
      </c>
      <c r="D785" s="10">
        <v>40</v>
      </c>
      <c r="E785" s="10" t="s">
        <v>11</v>
      </c>
      <c r="F785" s="10">
        <v>1</v>
      </c>
    </row>
    <row r="786" spans="1:6" outlineLevel="2">
      <c r="A786" s="9" t="s">
        <v>171</v>
      </c>
      <c r="B786" s="9" t="s">
        <v>483</v>
      </c>
      <c r="C786" s="9" t="s">
        <v>340</v>
      </c>
      <c r="D786" s="10">
        <v>42</v>
      </c>
      <c r="E786" s="10" t="s">
        <v>11</v>
      </c>
      <c r="F786" s="10">
        <v>2</v>
      </c>
    </row>
    <row r="787" spans="1:6" outlineLevel="2">
      <c r="A787" s="9" t="s">
        <v>171</v>
      </c>
      <c r="B787" s="9" t="s">
        <v>483</v>
      </c>
      <c r="C787" s="9" t="s">
        <v>636</v>
      </c>
      <c r="D787" s="10">
        <v>48</v>
      </c>
      <c r="E787" s="10" t="s">
        <v>11</v>
      </c>
      <c r="F787" s="10">
        <v>2</v>
      </c>
    </row>
    <row r="788" spans="1:6" outlineLevel="2">
      <c r="A788" s="9" t="s">
        <v>171</v>
      </c>
      <c r="B788" s="9" t="s">
        <v>172</v>
      </c>
      <c r="C788" s="9" t="s">
        <v>340</v>
      </c>
      <c r="D788" s="10">
        <v>58</v>
      </c>
      <c r="E788" s="10" t="s">
        <v>11</v>
      </c>
      <c r="F788" s="10">
        <v>2</v>
      </c>
    </row>
    <row r="789" spans="1:6" outlineLevel="2">
      <c r="A789" s="9" t="s">
        <v>171</v>
      </c>
      <c r="B789" s="9" t="s">
        <v>172</v>
      </c>
      <c r="C789" s="9" t="s">
        <v>10</v>
      </c>
      <c r="D789" s="10">
        <v>55</v>
      </c>
      <c r="E789" s="10" t="s">
        <v>11</v>
      </c>
      <c r="F789" s="10">
        <v>3</v>
      </c>
    </row>
    <row r="790" spans="1:6" outlineLevel="2">
      <c r="A790" s="9" t="s">
        <v>171</v>
      </c>
      <c r="B790" s="9" t="s">
        <v>172</v>
      </c>
      <c r="C790" s="9" t="s">
        <v>699</v>
      </c>
      <c r="D790" s="10">
        <v>53</v>
      </c>
      <c r="E790" s="10" t="s">
        <v>583</v>
      </c>
      <c r="F790" s="10">
        <v>1</v>
      </c>
    </row>
    <row r="791" spans="1:6" outlineLevel="2">
      <c r="A791" s="9" t="s">
        <v>171</v>
      </c>
      <c r="B791" s="9" t="s">
        <v>700</v>
      </c>
      <c r="C791" s="9" t="s">
        <v>699</v>
      </c>
      <c r="D791" s="10">
        <v>48</v>
      </c>
      <c r="E791" s="10" t="s">
        <v>583</v>
      </c>
      <c r="F791" s="10">
        <v>1</v>
      </c>
    </row>
    <row r="792" spans="1:6" outlineLevel="2">
      <c r="A792" s="9" t="s">
        <v>171</v>
      </c>
      <c r="B792" s="9" t="s">
        <v>485</v>
      </c>
      <c r="C792" s="9" t="s">
        <v>340</v>
      </c>
      <c r="D792" s="10">
        <v>56</v>
      </c>
      <c r="E792" s="10" t="s">
        <v>11</v>
      </c>
      <c r="F792" s="10">
        <v>2</v>
      </c>
    </row>
    <row r="793" spans="1:6" outlineLevel="2">
      <c r="A793" s="9" t="s">
        <v>171</v>
      </c>
      <c r="B793" s="9" t="s">
        <v>487</v>
      </c>
      <c r="C793" s="9" t="s">
        <v>340</v>
      </c>
      <c r="D793" s="10">
        <v>52</v>
      </c>
      <c r="E793" s="10" t="s">
        <v>11</v>
      </c>
      <c r="F793" s="10">
        <v>2</v>
      </c>
    </row>
    <row r="794" spans="1:6" outlineLevel="2">
      <c r="A794" s="9" t="s">
        <v>171</v>
      </c>
      <c r="B794" s="9" t="s">
        <v>487</v>
      </c>
      <c r="C794" s="9" t="s">
        <v>636</v>
      </c>
      <c r="D794" s="10">
        <v>45</v>
      </c>
      <c r="E794" s="10" t="s">
        <v>11</v>
      </c>
      <c r="F794" s="10">
        <v>2</v>
      </c>
    </row>
    <row r="795" spans="1:6" outlineLevel="1">
      <c r="A795" s="147" t="s">
        <v>1860</v>
      </c>
      <c r="B795" s="7">
        <f>SUBTOTAL(3,B784:B794)</f>
        <v>11</v>
      </c>
    </row>
    <row r="796" spans="1:6">
      <c r="A796" s="147" t="s">
        <v>1861</v>
      </c>
      <c r="B796" s="7">
        <f>SUBTOTAL(3,B2:B794)</f>
        <v>773</v>
      </c>
    </row>
  </sheetData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horizontalDpi="300" verticalDpi="300" r:id="rId1"/>
  <headerFooter>
    <oddHeader>&amp;C&amp;"細明體,粗體"&amp;14市立新北高工 111學年度第2學期 高一各班學生不及格科目補考名單</oddHeader>
    <oddFooter>&amp;R&amp;"新細明體,粗體"&amp;12第&amp;P頁-共&amp;N頁</oddFooter>
  </headerFooter>
  <rowBreaks count="21" manualBreakCount="21">
    <brk id="43" max="16383" man="1"/>
    <brk id="85" max="16383" man="1"/>
    <brk id="107" max="16383" man="1"/>
    <brk id="161" max="16383" man="1"/>
    <brk id="195" max="16383" man="1"/>
    <brk id="215" max="16383" man="1"/>
    <brk id="255" max="16383" man="1"/>
    <brk id="291" max="16383" man="1"/>
    <brk id="341" max="16383" man="1"/>
    <brk id="375" max="16383" man="1"/>
    <brk id="423" max="16383" man="1"/>
    <brk id="451" max="16383" man="1"/>
    <brk id="491" max="16383" man="1"/>
    <brk id="558" max="16383" man="1"/>
    <brk id="585" max="16383" man="1"/>
    <brk id="629" max="16383" man="1"/>
    <brk id="657" max="16383" man="1"/>
    <brk id="679" max="16383" man="1"/>
    <brk id="732" max="16383" man="1"/>
    <brk id="783" max="16383" man="1"/>
    <brk id="796" max="16383" man="1"/>
  </rowBreaks>
  <colBreaks count="1" manualBreakCount="1">
    <brk id="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19A2-9D68-42D7-B735-425F4EF91BC4}">
  <dimension ref="A1:I610"/>
  <sheetViews>
    <sheetView view="pageBreakPreview" zoomScale="145" zoomScaleNormal="100" zoomScaleSheetLayoutView="145" workbookViewId="0">
      <selection activeCell="C383" sqref="C383"/>
    </sheetView>
  </sheetViews>
  <sheetFormatPr defaultRowHeight="15.5"/>
  <cols>
    <col min="1" max="1" width="12.90625" style="20" customWidth="1"/>
    <col min="2" max="2" width="12.6328125" style="19" customWidth="1"/>
    <col min="3" max="3" width="29.08984375" style="37" bestFit="1" customWidth="1"/>
    <col min="4" max="4" width="8.90625" style="20" bestFit="1" customWidth="1"/>
    <col min="5" max="5" width="10.453125" style="20" bestFit="1" customWidth="1"/>
    <col min="6" max="6" width="6" style="20" bestFit="1" customWidth="1"/>
    <col min="7" max="8" width="9.81640625" style="20" bestFit="1" customWidth="1"/>
    <col min="9" max="9" width="12.6328125" style="20" bestFit="1" customWidth="1"/>
    <col min="10" max="255" width="8.90625" style="20"/>
    <col min="256" max="256" width="11.453125" style="20" customWidth="1"/>
    <col min="257" max="257" width="10.36328125" style="20" customWidth="1"/>
    <col min="258" max="511" width="8.90625" style="20"/>
    <col min="512" max="512" width="11.453125" style="20" customWidth="1"/>
    <col min="513" max="513" width="10.36328125" style="20" customWidth="1"/>
    <col min="514" max="767" width="8.90625" style="20"/>
    <col min="768" max="768" width="11.453125" style="20" customWidth="1"/>
    <col min="769" max="769" width="10.36328125" style="20" customWidth="1"/>
    <col min="770" max="1023" width="8.90625" style="20"/>
    <col min="1024" max="1024" width="11.453125" style="20" customWidth="1"/>
    <col min="1025" max="1025" width="10.36328125" style="20" customWidth="1"/>
    <col min="1026" max="1279" width="8.90625" style="20"/>
    <col min="1280" max="1280" width="11.453125" style="20" customWidth="1"/>
    <col min="1281" max="1281" width="10.36328125" style="20" customWidth="1"/>
    <col min="1282" max="1535" width="8.90625" style="20"/>
    <col min="1536" max="1536" width="11.453125" style="20" customWidth="1"/>
    <col min="1537" max="1537" width="10.36328125" style="20" customWidth="1"/>
    <col min="1538" max="1791" width="8.90625" style="20"/>
    <col min="1792" max="1792" width="11.453125" style="20" customWidth="1"/>
    <col min="1793" max="1793" width="10.36328125" style="20" customWidth="1"/>
    <col min="1794" max="2047" width="8.90625" style="20"/>
    <col min="2048" max="2048" width="11.453125" style="20" customWidth="1"/>
    <col min="2049" max="2049" width="10.36328125" style="20" customWidth="1"/>
    <col min="2050" max="2303" width="8.90625" style="20"/>
    <col min="2304" max="2304" width="11.453125" style="20" customWidth="1"/>
    <col min="2305" max="2305" width="10.36328125" style="20" customWidth="1"/>
    <col min="2306" max="2559" width="8.90625" style="20"/>
    <col min="2560" max="2560" width="11.453125" style="20" customWidth="1"/>
    <col min="2561" max="2561" width="10.36328125" style="20" customWidth="1"/>
    <col min="2562" max="2815" width="8.90625" style="20"/>
    <col min="2816" max="2816" width="11.453125" style="20" customWidth="1"/>
    <col min="2817" max="2817" width="10.36328125" style="20" customWidth="1"/>
    <col min="2818" max="3071" width="8.90625" style="20"/>
    <col min="3072" max="3072" width="11.453125" style="20" customWidth="1"/>
    <col min="3073" max="3073" width="10.36328125" style="20" customWidth="1"/>
    <col min="3074" max="3327" width="8.90625" style="20"/>
    <col min="3328" max="3328" width="11.453125" style="20" customWidth="1"/>
    <col min="3329" max="3329" width="10.36328125" style="20" customWidth="1"/>
    <col min="3330" max="3583" width="8.90625" style="20"/>
    <col min="3584" max="3584" width="11.453125" style="20" customWidth="1"/>
    <col min="3585" max="3585" width="10.36328125" style="20" customWidth="1"/>
    <col min="3586" max="3839" width="8.90625" style="20"/>
    <col min="3840" max="3840" width="11.453125" style="20" customWidth="1"/>
    <col min="3841" max="3841" width="10.36328125" style="20" customWidth="1"/>
    <col min="3842" max="4095" width="8.90625" style="20"/>
    <col min="4096" max="4096" width="11.453125" style="20" customWidth="1"/>
    <col min="4097" max="4097" width="10.36328125" style="20" customWidth="1"/>
    <col min="4098" max="4351" width="8.90625" style="20"/>
    <col min="4352" max="4352" width="11.453125" style="20" customWidth="1"/>
    <col min="4353" max="4353" width="10.36328125" style="20" customWidth="1"/>
    <col min="4354" max="4607" width="8.90625" style="20"/>
    <col min="4608" max="4608" width="11.453125" style="20" customWidth="1"/>
    <col min="4609" max="4609" width="10.36328125" style="20" customWidth="1"/>
    <col min="4610" max="4863" width="8.90625" style="20"/>
    <col min="4864" max="4864" width="11.453125" style="20" customWidth="1"/>
    <col min="4865" max="4865" width="10.36328125" style="20" customWidth="1"/>
    <col min="4866" max="5119" width="8.90625" style="20"/>
    <col min="5120" max="5120" width="11.453125" style="20" customWidth="1"/>
    <col min="5121" max="5121" width="10.36328125" style="20" customWidth="1"/>
    <col min="5122" max="5375" width="8.90625" style="20"/>
    <col min="5376" max="5376" width="11.453125" style="20" customWidth="1"/>
    <col min="5377" max="5377" width="10.36328125" style="20" customWidth="1"/>
    <col min="5378" max="5631" width="8.90625" style="20"/>
    <col min="5632" max="5632" width="11.453125" style="20" customWidth="1"/>
    <col min="5633" max="5633" width="10.36328125" style="20" customWidth="1"/>
    <col min="5634" max="5887" width="8.90625" style="20"/>
    <col min="5888" max="5888" width="11.453125" style="20" customWidth="1"/>
    <col min="5889" max="5889" width="10.36328125" style="20" customWidth="1"/>
    <col min="5890" max="6143" width="8.90625" style="20"/>
    <col min="6144" max="6144" width="11.453125" style="20" customWidth="1"/>
    <col min="6145" max="6145" width="10.36328125" style="20" customWidth="1"/>
    <col min="6146" max="6399" width="8.90625" style="20"/>
    <col min="6400" max="6400" width="11.453125" style="20" customWidth="1"/>
    <col min="6401" max="6401" width="10.36328125" style="20" customWidth="1"/>
    <col min="6402" max="6655" width="8.90625" style="20"/>
    <col min="6656" max="6656" width="11.453125" style="20" customWidth="1"/>
    <col min="6657" max="6657" width="10.36328125" style="20" customWidth="1"/>
    <col min="6658" max="6911" width="8.90625" style="20"/>
    <col min="6912" max="6912" width="11.453125" style="20" customWidth="1"/>
    <col min="6913" max="6913" width="10.36328125" style="20" customWidth="1"/>
    <col min="6914" max="7167" width="8.90625" style="20"/>
    <col min="7168" max="7168" width="11.453125" style="20" customWidth="1"/>
    <col min="7169" max="7169" width="10.36328125" style="20" customWidth="1"/>
    <col min="7170" max="7423" width="8.90625" style="20"/>
    <col min="7424" max="7424" width="11.453125" style="20" customWidth="1"/>
    <col min="7425" max="7425" width="10.36328125" style="20" customWidth="1"/>
    <col min="7426" max="7679" width="8.90625" style="20"/>
    <col min="7680" max="7680" width="11.453125" style="20" customWidth="1"/>
    <col min="7681" max="7681" width="10.36328125" style="20" customWidth="1"/>
    <col min="7682" max="7935" width="8.90625" style="20"/>
    <col min="7936" max="7936" width="11.453125" style="20" customWidth="1"/>
    <col min="7937" max="7937" width="10.36328125" style="20" customWidth="1"/>
    <col min="7938" max="8191" width="8.90625" style="20"/>
    <col min="8192" max="8192" width="11.453125" style="20" customWidth="1"/>
    <col min="8193" max="8193" width="10.36328125" style="20" customWidth="1"/>
    <col min="8194" max="8447" width="8.90625" style="20"/>
    <col min="8448" max="8448" width="11.453125" style="20" customWidth="1"/>
    <col min="8449" max="8449" width="10.36328125" style="20" customWidth="1"/>
    <col min="8450" max="8703" width="8.90625" style="20"/>
    <col min="8704" max="8704" width="11.453125" style="20" customWidth="1"/>
    <col min="8705" max="8705" width="10.36328125" style="20" customWidth="1"/>
    <col min="8706" max="8959" width="8.90625" style="20"/>
    <col min="8960" max="8960" width="11.453125" style="20" customWidth="1"/>
    <col min="8961" max="8961" width="10.36328125" style="20" customWidth="1"/>
    <col min="8962" max="9215" width="8.90625" style="20"/>
    <col min="9216" max="9216" width="11.453125" style="20" customWidth="1"/>
    <col min="9217" max="9217" width="10.36328125" style="20" customWidth="1"/>
    <col min="9218" max="9471" width="8.90625" style="20"/>
    <col min="9472" max="9472" width="11.453125" style="20" customWidth="1"/>
    <col min="9473" max="9473" width="10.36328125" style="20" customWidth="1"/>
    <col min="9474" max="9727" width="8.90625" style="20"/>
    <col min="9728" max="9728" width="11.453125" style="20" customWidth="1"/>
    <col min="9729" max="9729" width="10.36328125" style="20" customWidth="1"/>
    <col min="9730" max="9983" width="8.90625" style="20"/>
    <col min="9984" max="9984" width="11.453125" style="20" customWidth="1"/>
    <col min="9985" max="9985" width="10.36328125" style="20" customWidth="1"/>
    <col min="9986" max="10239" width="8.90625" style="20"/>
    <col min="10240" max="10240" width="11.453125" style="20" customWidth="1"/>
    <col min="10241" max="10241" width="10.36328125" style="20" customWidth="1"/>
    <col min="10242" max="10495" width="8.90625" style="20"/>
    <col min="10496" max="10496" width="11.453125" style="20" customWidth="1"/>
    <col min="10497" max="10497" width="10.36328125" style="20" customWidth="1"/>
    <col min="10498" max="10751" width="8.90625" style="20"/>
    <col min="10752" max="10752" width="11.453125" style="20" customWidth="1"/>
    <col min="10753" max="10753" width="10.36328125" style="20" customWidth="1"/>
    <col min="10754" max="11007" width="8.90625" style="20"/>
    <col min="11008" max="11008" width="11.453125" style="20" customWidth="1"/>
    <col min="11009" max="11009" width="10.36328125" style="20" customWidth="1"/>
    <col min="11010" max="11263" width="8.90625" style="20"/>
    <col min="11264" max="11264" width="11.453125" style="20" customWidth="1"/>
    <col min="11265" max="11265" width="10.36328125" style="20" customWidth="1"/>
    <col min="11266" max="11519" width="8.90625" style="20"/>
    <col min="11520" max="11520" width="11.453125" style="20" customWidth="1"/>
    <col min="11521" max="11521" width="10.36328125" style="20" customWidth="1"/>
    <col min="11522" max="11775" width="8.90625" style="20"/>
    <col min="11776" max="11776" width="11.453125" style="20" customWidth="1"/>
    <col min="11777" max="11777" width="10.36328125" style="20" customWidth="1"/>
    <col min="11778" max="12031" width="8.90625" style="20"/>
    <col min="12032" max="12032" width="11.453125" style="20" customWidth="1"/>
    <col min="12033" max="12033" width="10.36328125" style="20" customWidth="1"/>
    <col min="12034" max="12287" width="8.90625" style="20"/>
    <col min="12288" max="12288" width="11.453125" style="20" customWidth="1"/>
    <col min="12289" max="12289" width="10.36328125" style="20" customWidth="1"/>
    <col min="12290" max="12543" width="8.90625" style="20"/>
    <col min="12544" max="12544" width="11.453125" style="20" customWidth="1"/>
    <col min="12545" max="12545" width="10.36328125" style="20" customWidth="1"/>
    <col min="12546" max="12799" width="8.90625" style="20"/>
    <col min="12800" max="12800" width="11.453125" style="20" customWidth="1"/>
    <col min="12801" max="12801" width="10.36328125" style="20" customWidth="1"/>
    <col min="12802" max="13055" width="8.90625" style="20"/>
    <col min="13056" max="13056" width="11.453125" style="20" customWidth="1"/>
    <col min="13057" max="13057" width="10.36328125" style="20" customWidth="1"/>
    <col min="13058" max="13311" width="8.90625" style="20"/>
    <col min="13312" max="13312" width="11.453125" style="20" customWidth="1"/>
    <col min="13313" max="13313" width="10.36328125" style="20" customWidth="1"/>
    <col min="13314" max="13567" width="8.90625" style="20"/>
    <col min="13568" max="13568" width="11.453125" style="20" customWidth="1"/>
    <col min="13569" max="13569" width="10.36328125" style="20" customWidth="1"/>
    <col min="13570" max="13823" width="8.90625" style="20"/>
    <col min="13824" max="13824" width="11.453125" style="20" customWidth="1"/>
    <col min="13825" max="13825" width="10.36328125" style="20" customWidth="1"/>
    <col min="13826" max="14079" width="8.90625" style="20"/>
    <col min="14080" max="14080" width="11.453125" style="20" customWidth="1"/>
    <col min="14081" max="14081" width="10.36328125" style="20" customWidth="1"/>
    <col min="14082" max="14335" width="8.90625" style="20"/>
    <col min="14336" max="14336" width="11.453125" style="20" customWidth="1"/>
    <col min="14337" max="14337" width="10.36328125" style="20" customWidth="1"/>
    <col min="14338" max="14591" width="8.90625" style="20"/>
    <col min="14592" max="14592" width="11.453125" style="20" customWidth="1"/>
    <col min="14593" max="14593" width="10.36328125" style="20" customWidth="1"/>
    <col min="14594" max="14847" width="8.90625" style="20"/>
    <col min="14848" max="14848" width="11.453125" style="20" customWidth="1"/>
    <col min="14849" max="14849" width="10.36328125" style="20" customWidth="1"/>
    <col min="14850" max="15103" width="8.90625" style="20"/>
    <col min="15104" max="15104" width="11.453125" style="20" customWidth="1"/>
    <col min="15105" max="15105" width="10.36328125" style="20" customWidth="1"/>
    <col min="15106" max="15359" width="8.90625" style="20"/>
    <col min="15360" max="15360" width="11.453125" style="20" customWidth="1"/>
    <col min="15361" max="15361" width="10.36328125" style="20" customWidth="1"/>
    <col min="15362" max="15615" width="8.90625" style="20"/>
    <col min="15616" max="15616" width="11.453125" style="20" customWidth="1"/>
    <col min="15617" max="15617" width="10.36328125" style="20" customWidth="1"/>
    <col min="15618" max="15871" width="8.90625" style="20"/>
    <col min="15872" max="15872" width="11.453125" style="20" customWidth="1"/>
    <col min="15873" max="15873" width="10.36328125" style="20" customWidth="1"/>
    <col min="15874" max="16127" width="8.90625" style="20"/>
    <col min="16128" max="16128" width="11.453125" style="20" customWidth="1"/>
    <col min="16129" max="16129" width="10.36328125" style="20" customWidth="1"/>
    <col min="16130" max="16384" width="8.90625" style="20"/>
  </cols>
  <sheetData>
    <row r="1" spans="1:9" ht="22.25" customHeight="1" thickTop="1">
      <c r="A1" s="35" t="s">
        <v>3</v>
      </c>
      <c r="B1" s="38" t="s">
        <v>0</v>
      </c>
      <c r="C1" s="34" t="s">
        <v>1883</v>
      </c>
      <c r="D1" s="35" t="s">
        <v>1</v>
      </c>
      <c r="E1" s="35" t="s">
        <v>2</v>
      </c>
      <c r="F1" s="35" t="s">
        <v>4</v>
      </c>
      <c r="G1" s="35" t="s">
        <v>5</v>
      </c>
      <c r="H1" s="35" t="s">
        <v>967</v>
      </c>
      <c r="I1" s="36" t="s">
        <v>1882</v>
      </c>
    </row>
    <row r="2" spans="1:9">
      <c r="A2" s="22" t="s">
        <v>702</v>
      </c>
      <c r="B2" s="39" t="s">
        <v>1020</v>
      </c>
      <c r="C2" s="41" t="str">
        <f>A2&amp;"-"&amp;B2</f>
        <v>公民與社會-鑄造二乙</v>
      </c>
      <c r="D2" s="22" t="s">
        <v>1545</v>
      </c>
      <c r="E2" s="22" t="s">
        <v>1546</v>
      </c>
      <c r="F2" s="22">
        <v>51</v>
      </c>
      <c r="G2" s="22">
        <v>2</v>
      </c>
      <c r="H2" s="22" t="s">
        <v>11</v>
      </c>
      <c r="I2" s="23"/>
    </row>
    <row r="3" spans="1:9">
      <c r="A3" s="22" t="s">
        <v>702</v>
      </c>
      <c r="B3" s="39" t="s">
        <v>1020</v>
      </c>
      <c r="C3" s="41" t="str">
        <f t="shared" ref="C3:C66" si="0">A3&amp;"-"&amp;B3</f>
        <v>公民與社會-鑄造二乙</v>
      </c>
      <c r="D3" s="22" t="s">
        <v>1025</v>
      </c>
      <c r="E3" s="22" t="s">
        <v>1026</v>
      </c>
      <c r="F3" s="22">
        <v>55</v>
      </c>
      <c r="G3" s="22">
        <v>2</v>
      </c>
      <c r="H3" s="22" t="s">
        <v>11</v>
      </c>
      <c r="I3" s="23"/>
    </row>
    <row r="4" spans="1:9">
      <c r="A4" s="22" t="s">
        <v>793</v>
      </c>
      <c r="B4" s="39" t="s">
        <v>1200</v>
      </c>
      <c r="C4" s="41" t="str">
        <f t="shared" si="0"/>
        <v>化學-電機二乙</v>
      </c>
      <c r="D4" s="22" t="s">
        <v>1443</v>
      </c>
      <c r="E4" s="22" t="s">
        <v>1444</v>
      </c>
      <c r="F4" s="22">
        <v>50</v>
      </c>
      <c r="G4" s="22">
        <v>2</v>
      </c>
      <c r="H4" s="22" t="s">
        <v>11</v>
      </c>
      <c r="I4" s="23"/>
    </row>
    <row r="5" spans="1:9">
      <c r="A5" s="22" t="s">
        <v>793</v>
      </c>
      <c r="B5" s="39" t="s">
        <v>1054</v>
      </c>
      <c r="C5" s="41" t="str">
        <f t="shared" si="0"/>
        <v>化學-電機二甲</v>
      </c>
      <c r="D5" s="22" t="s">
        <v>1580</v>
      </c>
      <c r="E5" s="22" t="s">
        <v>1581</v>
      </c>
      <c r="F5" s="22">
        <v>52</v>
      </c>
      <c r="G5" s="22">
        <v>2</v>
      </c>
      <c r="H5" s="22" t="s">
        <v>11</v>
      </c>
      <c r="I5" s="23"/>
    </row>
    <row r="6" spans="1:9">
      <c r="A6" s="22" t="s">
        <v>793</v>
      </c>
      <c r="B6" s="39" t="s">
        <v>998</v>
      </c>
      <c r="C6" s="41" t="str">
        <f t="shared" si="0"/>
        <v>化學-模具二乙</v>
      </c>
      <c r="D6" s="22" t="s">
        <v>1582</v>
      </c>
      <c r="E6" s="22" t="s">
        <v>1583</v>
      </c>
      <c r="F6" s="22">
        <v>40</v>
      </c>
      <c r="G6" s="22">
        <v>2</v>
      </c>
      <c r="H6" s="22" t="s">
        <v>11</v>
      </c>
      <c r="I6" s="23"/>
    </row>
    <row r="7" spans="1:9">
      <c r="A7" s="22" t="s">
        <v>793</v>
      </c>
      <c r="B7" s="39" t="s">
        <v>998</v>
      </c>
      <c r="C7" s="41" t="str">
        <f t="shared" si="0"/>
        <v>化學-模具二乙</v>
      </c>
      <c r="D7" s="22" t="s">
        <v>1584</v>
      </c>
      <c r="E7" s="22" t="s">
        <v>1585</v>
      </c>
      <c r="F7" s="22">
        <v>42</v>
      </c>
      <c r="G7" s="22">
        <v>2</v>
      </c>
      <c r="H7" s="22" t="s">
        <v>11</v>
      </c>
      <c r="I7" s="23"/>
    </row>
    <row r="8" spans="1:9">
      <c r="A8" s="22" t="s">
        <v>793</v>
      </c>
      <c r="B8" s="39" t="s">
        <v>998</v>
      </c>
      <c r="C8" s="41" t="str">
        <f t="shared" si="0"/>
        <v>化學-模具二乙</v>
      </c>
      <c r="D8" s="22" t="s">
        <v>1497</v>
      </c>
      <c r="E8" s="22" t="s">
        <v>1498</v>
      </c>
      <c r="F8" s="22">
        <v>50</v>
      </c>
      <c r="G8" s="22">
        <v>2</v>
      </c>
      <c r="H8" s="22" t="s">
        <v>11</v>
      </c>
      <c r="I8" s="23"/>
    </row>
    <row r="9" spans="1:9">
      <c r="A9" s="22" t="s">
        <v>793</v>
      </c>
      <c r="B9" s="39" t="s">
        <v>998</v>
      </c>
      <c r="C9" s="41" t="str">
        <f t="shared" si="0"/>
        <v>化學-模具二乙</v>
      </c>
      <c r="D9" s="22" t="s">
        <v>1576</v>
      </c>
      <c r="E9" s="22" t="s">
        <v>1577</v>
      </c>
      <c r="F9" s="22">
        <v>46</v>
      </c>
      <c r="G9" s="22">
        <v>2</v>
      </c>
      <c r="H9" s="22" t="s">
        <v>11</v>
      </c>
      <c r="I9" s="23"/>
    </row>
    <row r="10" spans="1:9">
      <c r="A10" s="22" t="s">
        <v>793</v>
      </c>
      <c r="B10" s="39" t="s">
        <v>1217</v>
      </c>
      <c r="C10" s="41" t="str">
        <f t="shared" si="0"/>
        <v>化學-模具二甲</v>
      </c>
      <c r="D10" s="22" t="s">
        <v>1572</v>
      </c>
      <c r="E10" s="22" t="s">
        <v>1573</v>
      </c>
      <c r="F10" s="22">
        <v>40</v>
      </c>
      <c r="G10" s="22">
        <v>2</v>
      </c>
      <c r="H10" s="22" t="s">
        <v>11</v>
      </c>
      <c r="I10" s="23"/>
    </row>
    <row r="11" spans="1:9">
      <c r="A11" s="22" t="s">
        <v>1586</v>
      </c>
      <c r="B11" s="39" t="s">
        <v>1231</v>
      </c>
      <c r="C11" s="41" t="str">
        <f t="shared" si="0"/>
        <v>生物-製圖二乙</v>
      </c>
      <c r="D11" s="22" t="s">
        <v>1426</v>
      </c>
      <c r="E11" s="22" t="s">
        <v>1427</v>
      </c>
      <c r="F11" s="22">
        <v>53</v>
      </c>
      <c r="G11" s="22">
        <v>2</v>
      </c>
      <c r="H11" s="22" t="s">
        <v>11</v>
      </c>
      <c r="I11" s="23"/>
    </row>
    <row r="12" spans="1:9">
      <c r="A12" s="22" t="s">
        <v>1586</v>
      </c>
      <c r="B12" s="39" t="s">
        <v>1102</v>
      </c>
      <c r="C12" s="41" t="str">
        <f t="shared" si="0"/>
        <v>生物-製圖二丙</v>
      </c>
      <c r="D12" s="22" t="s">
        <v>1445</v>
      </c>
      <c r="E12" s="22" t="s">
        <v>1446</v>
      </c>
      <c r="F12" s="22">
        <v>50</v>
      </c>
      <c r="G12" s="22">
        <v>2</v>
      </c>
      <c r="H12" s="22" t="s">
        <v>11</v>
      </c>
      <c r="I12" s="23"/>
    </row>
    <row r="13" spans="1:9">
      <c r="A13" s="22" t="s">
        <v>1586</v>
      </c>
      <c r="B13" s="39" t="s">
        <v>1191</v>
      </c>
      <c r="C13" s="41" t="str">
        <f t="shared" si="0"/>
        <v>生物-製圖二甲</v>
      </c>
      <c r="D13" s="22" t="s">
        <v>1587</v>
      </c>
      <c r="E13" s="22" t="s">
        <v>1588</v>
      </c>
      <c r="F13" s="22">
        <v>55</v>
      </c>
      <c r="G13" s="22">
        <v>2</v>
      </c>
      <c r="H13" s="22" t="s">
        <v>11</v>
      </c>
      <c r="I13" s="23"/>
    </row>
    <row r="14" spans="1:9">
      <c r="A14" s="22" t="s">
        <v>1586</v>
      </c>
      <c r="B14" s="39" t="s">
        <v>1191</v>
      </c>
      <c r="C14" s="41" t="str">
        <f t="shared" si="0"/>
        <v>生物-製圖二甲</v>
      </c>
      <c r="D14" s="22" t="s">
        <v>1194</v>
      </c>
      <c r="E14" s="22" t="s">
        <v>1195</v>
      </c>
      <c r="F14" s="22">
        <v>42</v>
      </c>
      <c r="G14" s="22">
        <v>2</v>
      </c>
      <c r="H14" s="22" t="s">
        <v>11</v>
      </c>
      <c r="I14" s="23"/>
    </row>
    <row r="15" spans="1:9">
      <c r="A15" s="22" t="s">
        <v>1586</v>
      </c>
      <c r="B15" s="39" t="s">
        <v>1171</v>
      </c>
      <c r="C15" s="41" t="str">
        <f t="shared" si="0"/>
        <v>生物-機械二乙</v>
      </c>
      <c r="D15" s="22" t="s">
        <v>1178</v>
      </c>
      <c r="E15" s="22" t="s">
        <v>1179</v>
      </c>
      <c r="F15" s="22">
        <v>47</v>
      </c>
      <c r="G15" s="22">
        <v>2</v>
      </c>
      <c r="H15" s="22" t="s">
        <v>11</v>
      </c>
      <c r="I15" s="23"/>
    </row>
    <row r="16" spans="1:9">
      <c r="A16" s="22" t="s">
        <v>1586</v>
      </c>
      <c r="B16" s="39" t="s">
        <v>1059</v>
      </c>
      <c r="C16" s="41" t="str">
        <f t="shared" si="0"/>
        <v>生物-應英二乙</v>
      </c>
      <c r="D16" s="22" t="s">
        <v>1487</v>
      </c>
      <c r="E16" s="22" t="s">
        <v>1488</v>
      </c>
      <c r="F16" s="22">
        <v>54</v>
      </c>
      <c r="G16" s="22">
        <v>2</v>
      </c>
      <c r="H16" s="22" t="s">
        <v>11</v>
      </c>
      <c r="I16" s="23"/>
    </row>
    <row r="17" spans="1:9">
      <c r="A17" s="22" t="s">
        <v>709</v>
      </c>
      <c r="B17" s="39" t="s">
        <v>1083</v>
      </c>
      <c r="C17" s="41" t="str">
        <f t="shared" si="0"/>
        <v>地理-資訊二甲</v>
      </c>
      <c r="D17" s="22" t="s">
        <v>1092</v>
      </c>
      <c r="E17" s="22" t="s">
        <v>1093</v>
      </c>
      <c r="F17" s="22">
        <v>54</v>
      </c>
      <c r="G17" s="22">
        <v>2</v>
      </c>
      <c r="H17" s="22" t="s">
        <v>11</v>
      </c>
      <c r="I17" s="23"/>
    </row>
    <row r="18" spans="1:9">
      <c r="A18" s="22" t="s">
        <v>709</v>
      </c>
      <c r="B18" s="39" t="s">
        <v>1231</v>
      </c>
      <c r="C18" s="41" t="str">
        <f t="shared" si="0"/>
        <v>地理-製圖二乙</v>
      </c>
      <c r="D18" s="22" t="s">
        <v>1232</v>
      </c>
      <c r="E18" s="22" t="s">
        <v>1233</v>
      </c>
      <c r="F18" s="22">
        <v>53</v>
      </c>
      <c r="G18" s="22">
        <v>2</v>
      </c>
      <c r="H18" s="22" t="s">
        <v>11</v>
      </c>
      <c r="I18" s="23"/>
    </row>
    <row r="19" spans="1:9">
      <c r="A19" s="22" t="s">
        <v>709</v>
      </c>
      <c r="B19" s="39" t="s">
        <v>1231</v>
      </c>
      <c r="C19" s="41" t="str">
        <f t="shared" si="0"/>
        <v>地理-製圖二乙</v>
      </c>
      <c r="D19" s="22" t="s">
        <v>1426</v>
      </c>
      <c r="E19" s="22" t="s">
        <v>1427</v>
      </c>
      <c r="F19" s="22">
        <v>41</v>
      </c>
      <c r="G19" s="22">
        <v>2</v>
      </c>
      <c r="H19" s="22" t="s">
        <v>11</v>
      </c>
      <c r="I19" s="23"/>
    </row>
    <row r="20" spans="1:9">
      <c r="A20" s="22" t="s">
        <v>709</v>
      </c>
      <c r="B20" s="39" t="s">
        <v>1102</v>
      </c>
      <c r="C20" s="41" t="str">
        <f t="shared" si="0"/>
        <v>地理-製圖二丙</v>
      </c>
      <c r="D20" s="22" t="s">
        <v>1445</v>
      </c>
      <c r="E20" s="22" t="s">
        <v>1446</v>
      </c>
      <c r="F20" s="22">
        <v>55</v>
      </c>
      <c r="G20" s="22">
        <v>2</v>
      </c>
      <c r="H20" s="22" t="s">
        <v>11</v>
      </c>
      <c r="I20" s="23"/>
    </row>
    <row r="21" spans="1:9">
      <c r="A21" s="22" t="s">
        <v>709</v>
      </c>
      <c r="B21" s="39" t="s">
        <v>1102</v>
      </c>
      <c r="C21" s="41" t="str">
        <f t="shared" si="0"/>
        <v>地理-製圖二丙</v>
      </c>
      <c r="D21" s="22" t="s">
        <v>1123</v>
      </c>
      <c r="E21" s="22" t="s">
        <v>1124</v>
      </c>
      <c r="F21" s="22">
        <v>52</v>
      </c>
      <c r="G21" s="22">
        <v>2</v>
      </c>
      <c r="H21" s="22" t="s">
        <v>11</v>
      </c>
      <c r="I21" s="23"/>
    </row>
    <row r="22" spans="1:9">
      <c r="A22" s="22" t="s">
        <v>709</v>
      </c>
      <c r="B22" s="39" t="s">
        <v>1191</v>
      </c>
      <c r="C22" s="41" t="str">
        <f t="shared" si="0"/>
        <v>地理-製圖二甲</v>
      </c>
      <c r="D22" s="22" t="s">
        <v>1503</v>
      </c>
      <c r="E22" s="22" t="s">
        <v>1504</v>
      </c>
      <c r="F22" s="22">
        <v>50</v>
      </c>
      <c r="G22" s="22">
        <v>2</v>
      </c>
      <c r="H22" s="22" t="s">
        <v>11</v>
      </c>
      <c r="I22" s="23"/>
    </row>
    <row r="23" spans="1:9">
      <c r="A23" s="22" t="s">
        <v>709</v>
      </c>
      <c r="B23" s="39" t="s">
        <v>1191</v>
      </c>
      <c r="C23" s="41" t="str">
        <f t="shared" si="0"/>
        <v>地理-製圖二甲</v>
      </c>
      <c r="D23" s="22" t="s">
        <v>1198</v>
      </c>
      <c r="E23" s="22" t="s">
        <v>1199</v>
      </c>
      <c r="F23" s="22">
        <v>42</v>
      </c>
      <c r="G23" s="22">
        <v>2</v>
      </c>
      <c r="H23" s="22" t="s">
        <v>11</v>
      </c>
      <c r="I23" s="23"/>
    </row>
    <row r="24" spans="1:9">
      <c r="A24" s="22" t="s">
        <v>709</v>
      </c>
      <c r="B24" s="39" t="s">
        <v>1171</v>
      </c>
      <c r="C24" s="41" t="str">
        <f t="shared" si="0"/>
        <v>地理-機械二乙</v>
      </c>
      <c r="D24" s="22" t="s">
        <v>1251</v>
      </c>
      <c r="E24" s="22" t="s">
        <v>1252</v>
      </c>
      <c r="F24" s="22">
        <v>55</v>
      </c>
      <c r="G24" s="22">
        <v>2</v>
      </c>
      <c r="H24" s="22" t="s">
        <v>11</v>
      </c>
      <c r="I24" s="23"/>
    </row>
    <row r="25" spans="1:9">
      <c r="A25" s="22" t="s">
        <v>709</v>
      </c>
      <c r="B25" s="39" t="s">
        <v>1171</v>
      </c>
      <c r="C25" s="41" t="str">
        <f t="shared" si="0"/>
        <v>地理-機械二乙</v>
      </c>
      <c r="D25" s="22" t="s">
        <v>1178</v>
      </c>
      <c r="E25" s="22" t="s">
        <v>1179</v>
      </c>
      <c r="F25" s="22">
        <v>51</v>
      </c>
      <c r="G25" s="22">
        <v>2</v>
      </c>
      <c r="H25" s="22" t="s">
        <v>11</v>
      </c>
      <c r="I25" s="23"/>
    </row>
    <row r="26" spans="1:9">
      <c r="A26" s="22" t="s">
        <v>709</v>
      </c>
      <c r="B26" s="39" t="s">
        <v>1171</v>
      </c>
      <c r="C26" s="41" t="str">
        <f t="shared" si="0"/>
        <v>地理-機械二乙</v>
      </c>
      <c r="D26" s="22" t="s">
        <v>1253</v>
      </c>
      <c r="E26" s="22" t="s">
        <v>1254</v>
      </c>
      <c r="F26" s="22">
        <v>55</v>
      </c>
      <c r="G26" s="22">
        <v>2</v>
      </c>
      <c r="H26" s="22" t="s">
        <v>11</v>
      </c>
      <c r="I26" s="23"/>
    </row>
    <row r="27" spans="1:9">
      <c r="A27" s="49" t="s">
        <v>1945</v>
      </c>
      <c r="B27" s="39" t="s">
        <v>968</v>
      </c>
      <c r="C27" s="41" t="str">
        <f t="shared" si="0"/>
        <v>地理6-體育二甲</v>
      </c>
      <c r="D27" s="22" t="s">
        <v>1279</v>
      </c>
      <c r="E27" s="22" t="s">
        <v>1280</v>
      </c>
      <c r="F27" s="22">
        <v>55</v>
      </c>
      <c r="G27" s="22">
        <v>2</v>
      </c>
      <c r="H27" s="22" t="s">
        <v>11</v>
      </c>
      <c r="I27" s="23"/>
    </row>
    <row r="28" spans="1:9">
      <c r="A28" s="22" t="s">
        <v>1806</v>
      </c>
      <c r="B28" s="39" t="s">
        <v>1059</v>
      </c>
      <c r="C28" s="41" t="str">
        <f t="shared" si="0"/>
        <v>字彙與閱讀-應英二乙</v>
      </c>
      <c r="D28" s="22" t="s">
        <v>1487</v>
      </c>
      <c r="E28" s="22" t="s">
        <v>1488</v>
      </c>
      <c r="F28" s="22">
        <v>40</v>
      </c>
      <c r="G28" s="22">
        <v>2</v>
      </c>
      <c r="H28" s="22" t="s">
        <v>583</v>
      </c>
      <c r="I28" s="23"/>
    </row>
    <row r="29" spans="1:9">
      <c r="A29" s="22" t="s">
        <v>1806</v>
      </c>
      <c r="B29" s="39" t="s">
        <v>1059</v>
      </c>
      <c r="C29" s="41" t="str">
        <f t="shared" si="0"/>
        <v>字彙與閱讀-應英二乙</v>
      </c>
      <c r="D29" s="22" t="s">
        <v>1794</v>
      </c>
      <c r="E29" s="22" t="s">
        <v>1795</v>
      </c>
      <c r="F29" s="22">
        <v>46</v>
      </c>
      <c r="G29" s="22">
        <v>2</v>
      </c>
      <c r="H29" s="22" t="s">
        <v>583</v>
      </c>
      <c r="I29" s="23"/>
    </row>
    <row r="30" spans="1:9">
      <c r="A30" s="22" t="s">
        <v>1806</v>
      </c>
      <c r="B30" s="39" t="s">
        <v>1059</v>
      </c>
      <c r="C30" s="41" t="str">
        <f t="shared" si="0"/>
        <v>字彙與閱讀-應英二乙</v>
      </c>
      <c r="D30" s="22" t="s">
        <v>1813</v>
      </c>
      <c r="E30" s="22" t="s">
        <v>1814</v>
      </c>
      <c r="F30" s="22">
        <v>49</v>
      </c>
      <c r="G30" s="22">
        <v>2</v>
      </c>
      <c r="H30" s="22" t="s">
        <v>583</v>
      </c>
      <c r="I30" s="23"/>
    </row>
    <row r="31" spans="1:9">
      <c r="A31" s="22" t="s">
        <v>1806</v>
      </c>
      <c r="B31" s="39" t="s">
        <v>1059</v>
      </c>
      <c r="C31" s="41" t="str">
        <f t="shared" si="0"/>
        <v>字彙與閱讀-應英二乙</v>
      </c>
      <c r="D31" s="22" t="s">
        <v>1495</v>
      </c>
      <c r="E31" s="22" t="s">
        <v>1496</v>
      </c>
      <c r="F31" s="22">
        <v>41</v>
      </c>
      <c r="G31" s="22">
        <v>2</v>
      </c>
      <c r="H31" s="22" t="s">
        <v>583</v>
      </c>
      <c r="I31" s="23"/>
    </row>
    <row r="32" spans="1:9">
      <c r="A32" s="22" t="s">
        <v>1806</v>
      </c>
      <c r="B32" s="39" t="s">
        <v>1009</v>
      </c>
      <c r="C32" s="41" t="str">
        <f t="shared" si="0"/>
        <v>字彙與閱讀-應英二甲</v>
      </c>
      <c r="D32" s="22" t="s">
        <v>1804</v>
      </c>
      <c r="E32" s="22" t="s">
        <v>1805</v>
      </c>
      <c r="F32" s="22">
        <v>44</v>
      </c>
      <c r="G32" s="22">
        <v>2</v>
      </c>
      <c r="H32" s="22" t="s">
        <v>583</v>
      </c>
      <c r="I32" s="23"/>
    </row>
    <row r="33" spans="1:9">
      <c r="A33" s="22" t="s">
        <v>1806</v>
      </c>
      <c r="B33" s="39" t="s">
        <v>1009</v>
      </c>
      <c r="C33" s="41" t="str">
        <f t="shared" si="0"/>
        <v>字彙與閱讀-應英二甲</v>
      </c>
      <c r="D33" s="22" t="s">
        <v>1807</v>
      </c>
      <c r="E33" s="22" t="s">
        <v>1808</v>
      </c>
      <c r="F33" s="22">
        <v>47</v>
      </c>
      <c r="G33" s="22">
        <v>2</v>
      </c>
      <c r="H33" s="22" t="s">
        <v>583</v>
      </c>
      <c r="I33" s="23"/>
    </row>
    <row r="34" spans="1:9">
      <c r="A34" s="22" t="s">
        <v>1806</v>
      </c>
      <c r="B34" s="39" t="s">
        <v>1009</v>
      </c>
      <c r="C34" s="41" t="str">
        <f t="shared" si="0"/>
        <v>字彙與閱讀-應英二甲</v>
      </c>
      <c r="D34" s="22" t="s">
        <v>1809</v>
      </c>
      <c r="E34" s="22" t="s">
        <v>1810</v>
      </c>
      <c r="F34" s="22">
        <v>48</v>
      </c>
      <c r="G34" s="22">
        <v>2</v>
      </c>
      <c r="H34" s="22" t="s">
        <v>583</v>
      </c>
      <c r="I34" s="23"/>
    </row>
    <row r="35" spans="1:9">
      <c r="A35" s="22" t="s">
        <v>1806</v>
      </c>
      <c r="B35" s="39" t="s">
        <v>1009</v>
      </c>
      <c r="C35" s="41" t="str">
        <f t="shared" si="0"/>
        <v>字彙與閱讀-應英二甲</v>
      </c>
      <c r="D35" s="22" t="s">
        <v>1811</v>
      </c>
      <c r="E35" s="22" t="s">
        <v>1812</v>
      </c>
      <c r="F35" s="22">
        <v>47</v>
      </c>
      <c r="G35" s="22">
        <v>2</v>
      </c>
      <c r="H35" s="22" t="s">
        <v>583</v>
      </c>
      <c r="I35" s="23"/>
    </row>
    <row r="36" spans="1:9">
      <c r="A36" s="22" t="s">
        <v>1806</v>
      </c>
      <c r="B36" s="39" t="s">
        <v>1009</v>
      </c>
      <c r="C36" s="41" t="str">
        <f t="shared" si="0"/>
        <v>字彙與閱讀-應英二甲</v>
      </c>
      <c r="D36" s="22" t="s">
        <v>1014</v>
      </c>
      <c r="E36" s="22" t="s">
        <v>1015</v>
      </c>
      <c r="F36" s="22">
        <v>49</v>
      </c>
      <c r="G36" s="22">
        <v>2</v>
      </c>
      <c r="H36" s="22" t="s">
        <v>583</v>
      </c>
      <c r="I36" s="23"/>
    </row>
    <row r="37" spans="1:9">
      <c r="A37" s="22" t="s">
        <v>1692</v>
      </c>
      <c r="B37" s="39" t="s">
        <v>1144</v>
      </c>
      <c r="C37" s="41" t="str">
        <f t="shared" si="0"/>
        <v>汽車電學-汽車二乙</v>
      </c>
      <c r="D37" s="22" t="s">
        <v>1163</v>
      </c>
      <c r="E37" s="22" t="s">
        <v>1164</v>
      </c>
      <c r="F37" s="22">
        <v>54</v>
      </c>
      <c r="G37" s="22">
        <v>2</v>
      </c>
      <c r="H37" s="22" t="s">
        <v>583</v>
      </c>
      <c r="I37" s="23"/>
    </row>
    <row r="38" spans="1:9">
      <c r="A38" s="22" t="s">
        <v>1692</v>
      </c>
      <c r="B38" s="39" t="s">
        <v>1144</v>
      </c>
      <c r="C38" s="41" t="str">
        <f t="shared" si="0"/>
        <v>汽車電學-汽車二乙</v>
      </c>
      <c r="D38" s="22" t="s">
        <v>1165</v>
      </c>
      <c r="E38" s="22" t="s">
        <v>1166</v>
      </c>
      <c r="F38" s="22">
        <v>57</v>
      </c>
      <c r="G38" s="22">
        <v>2</v>
      </c>
      <c r="H38" s="22" t="s">
        <v>583</v>
      </c>
      <c r="I38" s="23"/>
    </row>
    <row r="39" spans="1:9">
      <c r="A39" s="22" t="s">
        <v>1692</v>
      </c>
      <c r="B39" s="39" t="s">
        <v>1035</v>
      </c>
      <c r="C39" s="41" t="str">
        <f t="shared" si="0"/>
        <v>汽車電學-汽車二甲</v>
      </c>
      <c r="D39" s="22" t="s">
        <v>1690</v>
      </c>
      <c r="E39" s="22" t="s">
        <v>1691</v>
      </c>
      <c r="F39" s="22">
        <v>46</v>
      </c>
      <c r="G39" s="22">
        <v>2</v>
      </c>
      <c r="H39" s="22" t="s">
        <v>583</v>
      </c>
      <c r="I39" s="23"/>
    </row>
    <row r="40" spans="1:9">
      <c r="A40" s="49" t="s">
        <v>1946</v>
      </c>
      <c r="B40" s="39" t="s">
        <v>1144</v>
      </c>
      <c r="C40" s="41" t="str">
        <f t="shared" si="0"/>
        <v>英語文4-汽車二乙</v>
      </c>
      <c r="D40" s="22" t="s">
        <v>1145</v>
      </c>
      <c r="E40" s="22" t="s">
        <v>1146</v>
      </c>
      <c r="F40" s="22">
        <v>56</v>
      </c>
      <c r="G40" s="22">
        <v>2</v>
      </c>
      <c r="H40" s="22" t="s">
        <v>11</v>
      </c>
      <c r="I40" s="23"/>
    </row>
    <row r="41" spans="1:9">
      <c r="A41" s="49" t="s">
        <v>1946</v>
      </c>
      <c r="B41" s="39" t="s">
        <v>1144</v>
      </c>
      <c r="C41" s="41" t="str">
        <f t="shared" si="0"/>
        <v>英語文4-汽車二乙</v>
      </c>
      <c r="D41" s="22" t="s">
        <v>1351</v>
      </c>
      <c r="E41" s="22" t="s">
        <v>1352</v>
      </c>
      <c r="F41" s="22">
        <v>48</v>
      </c>
      <c r="G41" s="22">
        <v>2</v>
      </c>
      <c r="H41" s="22" t="s">
        <v>11</v>
      </c>
      <c r="I41" s="23"/>
    </row>
    <row r="42" spans="1:9">
      <c r="A42" s="49" t="s">
        <v>1946</v>
      </c>
      <c r="B42" s="39" t="s">
        <v>1144</v>
      </c>
      <c r="C42" s="41" t="str">
        <f t="shared" si="0"/>
        <v>英語文4-汽車二乙</v>
      </c>
      <c r="D42" s="22" t="s">
        <v>1147</v>
      </c>
      <c r="E42" s="22" t="s">
        <v>1148</v>
      </c>
      <c r="F42" s="22">
        <v>48</v>
      </c>
      <c r="G42" s="22">
        <v>2</v>
      </c>
      <c r="H42" s="22" t="s">
        <v>11</v>
      </c>
      <c r="I42" s="23"/>
    </row>
    <row r="43" spans="1:9">
      <c r="A43" s="49" t="s">
        <v>1946</v>
      </c>
      <c r="B43" s="39" t="s">
        <v>1144</v>
      </c>
      <c r="C43" s="41" t="str">
        <f t="shared" si="0"/>
        <v>英語文4-汽車二乙</v>
      </c>
      <c r="D43" s="22" t="s">
        <v>1149</v>
      </c>
      <c r="E43" s="22" t="s">
        <v>1150</v>
      </c>
      <c r="F43" s="22">
        <v>43</v>
      </c>
      <c r="G43" s="22">
        <v>2</v>
      </c>
      <c r="H43" s="22" t="s">
        <v>11</v>
      </c>
      <c r="I43" s="23"/>
    </row>
    <row r="44" spans="1:9">
      <c r="A44" s="49" t="s">
        <v>1946</v>
      </c>
      <c r="B44" s="39" t="s">
        <v>1144</v>
      </c>
      <c r="C44" s="41" t="str">
        <f t="shared" si="0"/>
        <v>英語文4-汽車二乙</v>
      </c>
      <c r="D44" s="22" t="s">
        <v>1353</v>
      </c>
      <c r="E44" s="22" t="s">
        <v>1354</v>
      </c>
      <c r="F44" s="22">
        <v>54</v>
      </c>
      <c r="G44" s="22">
        <v>2</v>
      </c>
      <c r="H44" s="22" t="s">
        <v>11</v>
      </c>
      <c r="I44" s="23"/>
    </row>
    <row r="45" spans="1:9">
      <c r="A45" s="49" t="s">
        <v>1946</v>
      </c>
      <c r="B45" s="39" t="s">
        <v>1144</v>
      </c>
      <c r="C45" s="41" t="str">
        <f t="shared" si="0"/>
        <v>英語文4-汽車二乙</v>
      </c>
      <c r="D45" s="22" t="s">
        <v>1153</v>
      </c>
      <c r="E45" s="22" t="s">
        <v>1154</v>
      </c>
      <c r="F45" s="22">
        <v>51</v>
      </c>
      <c r="G45" s="22">
        <v>2</v>
      </c>
      <c r="H45" s="22" t="s">
        <v>11</v>
      </c>
      <c r="I45" s="23"/>
    </row>
    <row r="46" spans="1:9">
      <c r="A46" s="49" t="s">
        <v>1946</v>
      </c>
      <c r="B46" s="39" t="s">
        <v>1144</v>
      </c>
      <c r="C46" s="41" t="str">
        <f t="shared" si="0"/>
        <v>英語文4-汽車二乙</v>
      </c>
      <c r="D46" s="22" t="s">
        <v>1155</v>
      </c>
      <c r="E46" s="22" t="s">
        <v>1156</v>
      </c>
      <c r="F46" s="22">
        <v>48</v>
      </c>
      <c r="G46" s="22">
        <v>2</v>
      </c>
      <c r="H46" s="22" t="s">
        <v>11</v>
      </c>
      <c r="I46" s="23"/>
    </row>
    <row r="47" spans="1:9">
      <c r="A47" s="49" t="s">
        <v>1946</v>
      </c>
      <c r="B47" s="39" t="s">
        <v>1144</v>
      </c>
      <c r="C47" s="41" t="str">
        <f t="shared" si="0"/>
        <v>英語文4-汽車二乙</v>
      </c>
      <c r="D47" s="22" t="s">
        <v>1355</v>
      </c>
      <c r="E47" s="22" t="s">
        <v>1356</v>
      </c>
      <c r="F47" s="22">
        <v>44</v>
      </c>
      <c r="G47" s="22">
        <v>2</v>
      </c>
      <c r="H47" s="22" t="s">
        <v>11</v>
      </c>
      <c r="I47" s="23"/>
    </row>
    <row r="48" spans="1:9">
      <c r="A48" s="49" t="s">
        <v>1946</v>
      </c>
      <c r="B48" s="39" t="s">
        <v>1144</v>
      </c>
      <c r="C48" s="41" t="str">
        <f t="shared" si="0"/>
        <v>英語文4-汽車二乙</v>
      </c>
      <c r="D48" s="22" t="s">
        <v>1163</v>
      </c>
      <c r="E48" s="22" t="s">
        <v>1164</v>
      </c>
      <c r="F48" s="22">
        <v>48</v>
      </c>
      <c r="G48" s="22">
        <v>2</v>
      </c>
      <c r="H48" s="22" t="s">
        <v>11</v>
      </c>
      <c r="I48" s="23"/>
    </row>
    <row r="49" spans="1:9">
      <c r="A49" s="49" t="s">
        <v>1946</v>
      </c>
      <c r="B49" s="39" t="s">
        <v>1144</v>
      </c>
      <c r="C49" s="41" t="str">
        <f t="shared" si="0"/>
        <v>英語文4-汽車二乙</v>
      </c>
      <c r="D49" s="22" t="s">
        <v>1357</v>
      </c>
      <c r="E49" s="22" t="s">
        <v>1358</v>
      </c>
      <c r="F49" s="22">
        <v>57</v>
      </c>
      <c r="G49" s="22">
        <v>2</v>
      </c>
      <c r="H49" s="22" t="s">
        <v>11</v>
      </c>
      <c r="I49" s="23"/>
    </row>
    <row r="50" spans="1:9">
      <c r="A50" s="49" t="s">
        <v>1946</v>
      </c>
      <c r="B50" s="39" t="s">
        <v>1144</v>
      </c>
      <c r="C50" s="41" t="str">
        <f t="shared" si="0"/>
        <v>英語文4-汽車二乙</v>
      </c>
      <c r="D50" s="22" t="s">
        <v>1359</v>
      </c>
      <c r="E50" s="22" t="s">
        <v>1360</v>
      </c>
      <c r="F50" s="22">
        <v>45</v>
      </c>
      <c r="G50" s="22">
        <v>2</v>
      </c>
      <c r="H50" s="22" t="s">
        <v>11</v>
      </c>
      <c r="I50" s="23"/>
    </row>
    <row r="51" spans="1:9">
      <c r="A51" s="49" t="s">
        <v>1946</v>
      </c>
      <c r="B51" s="39" t="s">
        <v>1144</v>
      </c>
      <c r="C51" s="41" t="str">
        <f t="shared" si="0"/>
        <v>英語文4-汽車二乙</v>
      </c>
      <c r="D51" s="22" t="s">
        <v>1361</v>
      </c>
      <c r="E51" s="22" t="s">
        <v>1362</v>
      </c>
      <c r="F51" s="22">
        <v>55</v>
      </c>
      <c r="G51" s="22">
        <v>2</v>
      </c>
      <c r="H51" s="22" t="s">
        <v>11</v>
      </c>
      <c r="I51" s="23"/>
    </row>
    <row r="52" spans="1:9">
      <c r="A52" s="49" t="s">
        <v>1946</v>
      </c>
      <c r="B52" s="39" t="s">
        <v>1144</v>
      </c>
      <c r="C52" s="41" t="str">
        <f t="shared" si="0"/>
        <v>英語文4-汽車二乙</v>
      </c>
      <c r="D52" s="22" t="s">
        <v>1169</v>
      </c>
      <c r="E52" s="22" t="s">
        <v>1170</v>
      </c>
      <c r="F52" s="22">
        <v>48</v>
      </c>
      <c r="G52" s="22">
        <v>2</v>
      </c>
      <c r="H52" s="22" t="s">
        <v>11</v>
      </c>
      <c r="I52" s="23"/>
    </row>
    <row r="53" spans="1:9">
      <c r="A53" s="49" t="s">
        <v>1946</v>
      </c>
      <c r="B53" s="39" t="s">
        <v>1144</v>
      </c>
      <c r="C53" s="41" t="str">
        <f t="shared" si="0"/>
        <v>英語文4-汽車二乙</v>
      </c>
      <c r="D53" s="22" t="s">
        <v>1363</v>
      </c>
      <c r="E53" s="22" t="s">
        <v>1364</v>
      </c>
      <c r="F53" s="22">
        <v>52</v>
      </c>
      <c r="G53" s="22">
        <v>2</v>
      </c>
      <c r="H53" s="22" t="s">
        <v>11</v>
      </c>
      <c r="I53" s="23"/>
    </row>
    <row r="54" spans="1:9">
      <c r="A54" s="49" t="s">
        <v>1946</v>
      </c>
      <c r="B54" s="39" t="s">
        <v>1144</v>
      </c>
      <c r="C54" s="41" t="str">
        <f t="shared" si="0"/>
        <v>英語文4-汽車二乙</v>
      </c>
      <c r="D54" s="22" t="s">
        <v>1365</v>
      </c>
      <c r="E54" s="22" t="s">
        <v>1366</v>
      </c>
      <c r="F54" s="22">
        <v>43</v>
      </c>
      <c r="G54" s="22">
        <v>2</v>
      </c>
      <c r="H54" s="22" t="s">
        <v>11</v>
      </c>
      <c r="I54" s="23"/>
    </row>
    <row r="55" spans="1:9">
      <c r="A55" s="49" t="s">
        <v>1946</v>
      </c>
      <c r="B55" s="39" t="s">
        <v>1035</v>
      </c>
      <c r="C55" s="41" t="str">
        <f t="shared" si="0"/>
        <v>英語文4-汽車二甲</v>
      </c>
      <c r="D55" s="22" t="s">
        <v>1291</v>
      </c>
      <c r="E55" s="22" t="s">
        <v>1292</v>
      </c>
      <c r="F55" s="22">
        <v>57</v>
      </c>
      <c r="G55" s="22">
        <v>2</v>
      </c>
      <c r="H55" s="22" t="s">
        <v>11</v>
      </c>
      <c r="I55" s="23"/>
    </row>
    <row r="56" spans="1:9">
      <c r="A56" s="49" t="s">
        <v>1946</v>
      </c>
      <c r="B56" s="39" t="s">
        <v>1035</v>
      </c>
      <c r="C56" s="41" t="str">
        <f t="shared" si="0"/>
        <v>英語文4-汽車二甲</v>
      </c>
      <c r="D56" s="22" t="s">
        <v>1042</v>
      </c>
      <c r="E56" s="22" t="s">
        <v>1043</v>
      </c>
      <c r="F56" s="22">
        <v>52</v>
      </c>
      <c r="G56" s="22">
        <v>2</v>
      </c>
      <c r="H56" s="22" t="s">
        <v>11</v>
      </c>
      <c r="I56" s="23"/>
    </row>
    <row r="57" spans="1:9">
      <c r="A57" s="49" t="s">
        <v>1946</v>
      </c>
      <c r="B57" s="39" t="s">
        <v>1035</v>
      </c>
      <c r="C57" s="41" t="str">
        <f t="shared" si="0"/>
        <v>英語文4-汽車二甲</v>
      </c>
      <c r="D57" s="22" t="s">
        <v>1293</v>
      </c>
      <c r="E57" s="22" t="s">
        <v>1294</v>
      </c>
      <c r="F57" s="22">
        <v>46</v>
      </c>
      <c r="G57" s="22">
        <v>2</v>
      </c>
      <c r="H57" s="22" t="s">
        <v>11</v>
      </c>
      <c r="I57" s="23"/>
    </row>
    <row r="58" spans="1:9">
      <c r="A58" s="49" t="s">
        <v>1946</v>
      </c>
      <c r="B58" s="39" t="s">
        <v>1083</v>
      </c>
      <c r="C58" s="41" t="str">
        <f t="shared" si="0"/>
        <v>英語文4-資訊二甲</v>
      </c>
      <c r="D58" s="22" t="s">
        <v>1399</v>
      </c>
      <c r="E58" s="22" t="s">
        <v>954</v>
      </c>
      <c r="F58" s="22">
        <v>56</v>
      </c>
      <c r="G58" s="22">
        <v>2</v>
      </c>
      <c r="H58" s="22" t="s">
        <v>11</v>
      </c>
      <c r="I58" s="23"/>
    </row>
    <row r="59" spans="1:9">
      <c r="A59" s="49" t="s">
        <v>1946</v>
      </c>
      <c r="B59" s="39" t="s">
        <v>1083</v>
      </c>
      <c r="C59" s="41" t="str">
        <f t="shared" si="0"/>
        <v>英語文4-資訊二甲</v>
      </c>
      <c r="D59" s="22" t="s">
        <v>1400</v>
      </c>
      <c r="E59" s="22" t="s">
        <v>1401</v>
      </c>
      <c r="F59" s="22">
        <v>46</v>
      </c>
      <c r="G59" s="22">
        <v>2</v>
      </c>
      <c r="H59" s="22" t="s">
        <v>11</v>
      </c>
      <c r="I59" s="23"/>
    </row>
    <row r="60" spans="1:9">
      <c r="A60" s="49" t="s">
        <v>1946</v>
      </c>
      <c r="B60" s="39" t="s">
        <v>1083</v>
      </c>
      <c r="C60" s="41" t="str">
        <f t="shared" si="0"/>
        <v>英語文4-資訊二甲</v>
      </c>
      <c r="D60" s="22" t="s">
        <v>1402</v>
      </c>
      <c r="E60" s="22" t="s">
        <v>1403</v>
      </c>
      <c r="F60" s="22">
        <v>53</v>
      </c>
      <c r="G60" s="22">
        <v>2</v>
      </c>
      <c r="H60" s="22" t="s">
        <v>11</v>
      </c>
      <c r="I60" s="23"/>
    </row>
    <row r="61" spans="1:9">
      <c r="A61" s="49" t="s">
        <v>1946</v>
      </c>
      <c r="B61" s="39" t="s">
        <v>1428</v>
      </c>
      <c r="C61" s="41" t="str">
        <f t="shared" si="0"/>
        <v>英語文4-資處二乙</v>
      </c>
      <c r="D61" s="22" t="s">
        <v>1429</v>
      </c>
      <c r="E61" s="22" t="s">
        <v>1430</v>
      </c>
      <c r="F61" s="22">
        <v>45</v>
      </c>
      <c r="G61" s="22">
        <v>2</v>
      </c>
      <c r="H61" s="22" t="s">
        <v>11</v>
      </c>
      <c r="I61" s="23"/>
    </row>
    <row r="62" spans="1:9">
      <c r="A62" s="49" t="s">
        <v>1946</v>
      </c>
      <c r="B62" s="39" t="s">
        <v>1428</v>
      </c>
      <c r="C62" s="41" t="str">
        <f t="shared" si="0"/>
        <v>英語文4-資處二乙</v>
      </c>
      <c r="D62" s="22" t="s">
        <v>1431</v>
      </c>
      <c r="E62" s="22" t="s">
        <v>1432</v>
      </c>
      <c r="F62" s="22">
        <v>48</v>
      </c>
      <c r="G62" s="22">
        <v>2</v>
      </c>
      <c r="H62" s="22" t="s">
        <v>11</v>
      </c>
      <c r="I62" s="23"/>
    </row>
    <row r="63" spans="1:9">
      <c r="A63" s="49" t="s">
        <v>1946</v>
      </c>
      <c r="B63" s="39" t="s">
        <v>1135</v>
      </c>
      <c r="C63" s="41" t="str">
        <f t="shared" si="0"/>
        <v>英語文4-資處二甲</v>
      </c>
      <c r="D63" s="22" t="s">
        <v>1138</v>
      </c>
      <c r="E63" s="22" t="s">
        <v>1139</v>
      </c>
      <c r="F63" s="22">
        <v>42</v>
      </c>
      <c r="G63" s="22">
        <v>2</v>
      </c>
      <c r="H63" s="22" t="s">
        <v>11</v>
      </c>
      <c r="I63" s="23"/>
    </row>
    <row r="64" spans="1:9">
      <c r="A64" s="49" t="s">
        <v>1946</v>
      </c>
      <c r="B64" s="39" t="s">
        <v>1135</v>
      </c>
      <c r="C64" s="41" t="str">
        <f t="shared" si="0"/>
        <v>英語文4-資處二甲</v>
      </c>
      <c r="D64" s="22" t="s">
        <v>1339</v>
      </c>
      <c r="E64" s="22" t="s">
        <v>1340</v>
      </c>
      <c r="F64" s="22">
        <v>55</v>
      </c>
      <c r="G64" s="22">
        <v>2</v>
      </c>
      <c r="H64" s="22" t="s">
        <v>11</v>
      </c>
      <c r="I64" s="23"/>
    </row>
    <row r="65" spans="1:9">
      <c r="A65" s="49" t="s">
        <v>1946</v>
      </c>
      <c r="B65" s="39" t="s">
        <v>1135</v>
      </c>
      <c r="C65" s="41" t="str">
        <f t="shared" si="0"/>
        <v>英語文4-資處二甲</v>
      </c>
      <c r="D65" s="22" t="s">
        <v>1341</v>
      </c>
      <c r="E65" s="22" t="s">
        <v>1342</v>
      </c>
      <c r="F65" s="22">
        <v>49</v>
      </c>
      <c r="G65" s="22">
        <v>2</v>
      </c>
      <c r="H65" s="22" t="s">
        <v>11</v>
      </c>
      <c r="I65" s="23"/>
    </row>
    <row r="66" spans="1:9">
      <c r="A66" s="49" t="s">
        <v>1946</v>
      </c>
      <c r="B66" s="39" t="s">
        <v>1135</v>
      </c>
      <c r="C66" s="41" t="str">
        <f t="shared" si="0"/>
        <v>英語文4-資處二甲</v>
      </c>
      <c r="D66" s="22" t="s">
        <v>1343</v>
      </c>
      <c r="E66" s="22" t="s">
        <v>1344</v>
      </c>
      <c r="F66" s="22">
        <v>52</v>
      </c>
      <c r="G66" s="22">
        <v>2</v>
      </c>
      <c r="H66" s="22" t="s">
        <v>11</v>
      </c>
      <c r="I66" s="23"/>
    </row>
    <row r="67" spans="1:9">
      <c r="A67" s="49" t="s">
        <v>1946</v>
      </c>
      <c r="B67" s="39" t="s">
        <v>1135</v>
      </c>
      <c r="C67" s="41" t="str">
        <f t="shared" ref="C67:C130" si="1">A67&amp;"-"&amp;B67</f>
        <v>英語文4-資處二甲</v>
      </c>
      <c r="D67" s="22" t="s">
        <v>1345</v>
      </c>
      <c r="E67" s="22" t="s">
        <v>1346</v>
      </c>
      <c r="F67" s="22">
        <v>43</v>
      </c>
      <c r="G67" s="22">
        <v>2</v>
      </c>
      <c r="H67" s="22" t="s">
        <v>11</v>
      </c>
      <c r="I67" s="23"/>
    </row>
    <row r="68" spans="1:9">
      <c r="A68" s="49" t="s">
        <v>1946</v>
      </c>
      <c r="B68" s="39" t="s">
        <v>1135</v>
      </c>
      <c r="C68" s="41" t="str">
        <f t="shared" si="1"/>
        <v>英語文4-資處二甲</v>
      </c>
      <c r="D68" s="22" t="s">
        <v>1347</v>
      </c>
      <c r="E68" s="22" t="s">
        <v>1348</v>
      </c>
      <c r="F68" s="22">
        <v>56</v>
      </c>
      <c r="G68" s="22">
        <v>2</v>
      </c>
      <c r="H68" s="22" t="s">
        <v>11</v>
      </c>
      <c r="I68" s="23"/>
    </row>
    <row r="69" spans="1:9">
      <c r="A69" s="49" t="s">
        <v>1946</v>
      </c>
      <c r="B69" s="39" t="s">
        <v>1135</v>
      </c>
      <c r="C69" s="41" t="str">
        <f t="shared" si="1"/>
        <v>英語文4-資處二甲</v>
      </c>
      <c r="D69" s="22" t="s">
        <v>1349</v>
      </c>
      <c r="E69" s="22" t="s">
        <v>1350</v>
      </c>
      <c r="F69" s="22">
        <v>51</v>
      </c>
      <c r="G69" s="22">
        <v>2</v>
      </c>
      <c r="H69" s="22" t="s">
        <v>11</v>
      </c>
      <c r="I69" s="23"/>
    </row>
    <row r="70" spans="1:9">
      <c r="A70" s="49" t="s">
        <v>1946</v>
      </c>
      <c r="B70" s="39" t="s">
        <v>1200</v>
      </c>
      <c r="C70" s="41" t="str">
        <f t="shared" si="1"/>
        <v>英語文4-電機二乙</v>
      </c>
      <c r="D70" s="22" t="s">
        <v>1295</v>
      </c>
      <c r="E70" s="22" t="s">
        <v>1296</v>
      </c>
      <c r="F70" s="22">
        <v>47</v>
      </c>
      <c r="G70" s="22">
        <v>2</v>
      </c>
      <c r="H70" s="22" t="s">
        <v>11</v>
      </c>
      <c r="I70" s="23"/>
    </row>
    <row r="71" spans="1:9">
      <c r="A71" s="49" t="s">
        <v>1946</v>
      </c>
      <c r="B71" s="39" t="s">
        <v>1200</v>
      </c>
      <c r="C71" s="41" t="str">
        <f t="shared" si="1"/>
        <v>英語文4-電機二乙</v>
      </c>
      <c r="D71" s="22" t="s">
        <v>1297</v>
      </c>
      <c r="E71" s="22" t="s">
        <v>1298</v>
      </c>
      <c r="F71" s="22">
        <v>51</v>
      </c>
      <c r="G71" s="22">
        <v>2</v>
      </c>
      <c r="H71" s="22" t="s">
        <v>11</v>
      </c>
      <c r="I71" s="23"/>
    </row>
    <row r="72" spans="1:9">
      <c r="A72" s="49" t="s">
        <v>1946</v>
      </c>
      <c r="B72" s="39" t="s">
        <v>1200</v>
      </c>
      <c r="C72" s="41" t="str">
        <f t="shared" si="1"/>
        <v>英語文4-電機二乙</v>
      </c>
      <c r="D72" s="22" t="s">
        <v>1201</v>
      </c>
      <c r="E72" s="22" t="s">
        <v>1202</v>
      </c>
      <c r="F72" s="22">
        <v>46</v>
      </c>
      <c r="G72" s="22">
        <v>2</v>
      </c>
      <c r="H72" s="22" t="s">
        <v>11</v>
      </c>
      <c r="I72" s="23"/>
    </row>
    <row r="73" spans="1:9">
      <c r="A73" s="49" t="s">
        <v>1946</v>
      </c>
      <c r="B73" s="39" t="s">
        <v>1200</v>
      </c>
      <c r="C73" s="41" t="str">
        <f t="shared" si="1"/>
        <v>英語文4-電機二乙</v>
      </c>
      <c r="D73" s="22" t="s">
        <v>1203</v>
      </c>
      <c r="E73" s="22" t="s">
        <v>1204</v>
      </c>
      <c r="F73" s="22">
        <v>55</v>
      </c>
      <c r="G73" s="22">
        <v>2</v>
      </c>
      <c r="H73" s="22" t="s">
        <v>11</v>
      </c>
      <c r="I73" s="23"/>
    </row>
    <row r="74" spans="1:9">
      <c r="A74" s="49" t="s">
        <v>1946</v>
      </c>
      <c r="B74" s="39" t="s">
        <v>1200</v>
      </c>
      <c r="C74" s="41" t="str">
        <f t="shared" si="1"/>
        <v>英語文4-電機二乙</v>
      </c>
      <c r="D74" s="22" t="s">
        <v>1205</v>
      </c>
      <c r="E74" s="22" t="s">
        <v>1206</v>
      </c>
      <c r="F74" s="22">
        <v>40</v>
      </c>
      <c r="G74" s="22">
        <v>2</v>
      </c>
      <c r="H74" s="22" t="s">
        <v>11</v>
      </c>
      <c r="I74" s="23"/>
    </row>
    <row r="75" spans="1:9">
      <c r="A75" s="49" t="s">
        <v>1946</v>
      </c>
      <c r="B75" s="39" t="s">
        <v>1200</v>
      </c>
      <c r="C75" s="41" t="str">
        <f t="shared" si="1"/>
        <v>英語文4-電機二乙</v>
      </c>
      <c r="D75" s="22" t="s">
        <v>1207</v>
      </c>
      <c r="E75" s="22" t="s">
        <v>1208</v>
      </c>
      <c r="F75" s="22">
        <v>43</v>
      </c>
      <c r="G75" s="22">
        <v>2</v>
      </c>
      <c r="H75" s="22" t="s">
        <v>11</v>
      </c>
      <c r="I75" s="23"/>
    </row>
    <row r="76" spans="1:9">
      <c r="A76" s="49" t="s">
        <v>1946</v>
      </c>
      <c r="B76" s="39" t="s">
        <v>1200</v>
      </c>
      <c r="C76" s="41" t="str">
        <f t="shared" si="1"/>
        <v>英語文4-電機二乙</v>
      </c>
      <c r="D76" s="22" t="s">
        <v>1299</v>
      </c>
      <c r="E76" s="22" t="s">
        <v>1300</v>
      </c>
      <c r="F76" s="22">
        <v>40</v>
      </c>
      <c r="G76" s="22">
        <v>2</v>
      </c>
      <c r="H76" s="22" t="s">
        <v>11</v>
      </c>
      <c r="I76" s="23"/>
    </row>
    <row r="77" spans="1:9">
      <c r="A77" s="49" t="s">
        <v>1946</v>
      </c>
      <c r="B77" s="39" t="s">
        <v>1200</v>
      </c>
      <c r="C77" s="41" t="str">
        <f t="shared" si="1"/>
        <v>英語文4-電機二乙</v>
      </c>
      <c r="D77" s="22" t="s">
        <v>1211</v>
      </c>
      <c r="E77" s="22" t="s">
        <v>1212</v>
      </c>
      <c r="F77" s="22">
        <v>47</v>
      </c>
      <c r="G77" s="22">
        <v>2</v>
      </c>
      <c r="H77" s="22" t="s">
        <v>11</v>
      </c>
      <c r="I77" s="23"/>
    </row>
    <row r="78" spans="1:9">
      <c r="A78" s="49" t="s">
        <v>1946</v>
      </c>
      <c r="B78" s="39" t="s">
        <v>1200</v>
      </c>
      <c r="C78" s="41" t="str">
        <f t="shared" si="1"/>
        <v>英語文4-電機二乙</v>
      </c>
      <c r="D78" s="22" t="s">
        <v>1301</v>
      </c>
      <c r="E78" s="22" t="s">
        <v>1302</v>
      </c>
      <c r="F78" s="22">
        <v>41</v>
      </c>
      <c r="G78" s="22">
        <v>2</v>
      </c>
      <c r="H78" s="22" t="s">
        <v>11</v>
      </c>
      <c r="I78" s="23"/>
    </row>
    <row r="79" spans="1:9">
      <c r="A79" s="49" t="s">
        <v>1946</v>
      </c>
      <c r="B79" s="39" t="s">
        <v>1184</v>
      </c>
      <c r="C79" s="41" t="str">
        <f t="shared" si="1"/>
        <v>英語文4-電機二丙</v>
      </c>
      <c r="D79" s="22" t="s">
        <v>1387</v>
      </c>
      <c r="E79" s="22" t="s">
        <v>1388</v>
      </c>
      <c r="F79" s="22">
        <v>57</v>
      </c>
      <c r="G79" s="22">
        <v>2</v>
      </c>
      <c r="H79" s="22" t="s">
        <v>11</v>
      </c>
      <c r="I79" s="23"/>
    </row>
    <row r="80" spans="1:9">
      <c r="A80" s="49" t="s">
        <v>1946</v>
      </c>
      <c r="B80" s="39" t="s">
        <v>1184</v>
      </c>
      <c r="C80" s="41" t="str">
        <f t="shared" si="1"/>
        <v>英語文4-電機二丙</v>
      </c>
      <c r="D80" s="22" t="s">
        <v>1389</v>
      </c>
      <c r="E80" s="22" t="s">
        <v>1390</v>
      </c>
      <c r="F80" s="22">
        <v>43</v>
      </c>
      <c r="G80" s="22">
        <v>2</v>
      </c>
      <c r="H80" s="22" t="s">
        <v>11</v>
      </c>
      <c r="I80" s="23"/>
    </row>
    <row r="81" spans="1:9">
      <c r="A81" s="49" t="s">
        <v>1946</v>
      </c>
      <c r="B81" s="39" t="s">
        <v>1184</v>
      </c>
      <c r="C81" s="41" t="str">
        <f t="shared" si="1"/>
        <v>英語文4-電機二丙</v>
      </c>
      <c r="D81" s="22" t="s">
        <v>1187</v>
      </c>
      <c r="E81" s="22" t="s">
        <v>1188</v>
      </c>
      <c r="F81" s="22">
        <v>57</v>
      </c>
      <c r="G81" s="22">
        <v>2</v>
      </c>
      <c r="H81" s="22" t="s">
        <v>11</v>
      </c>
      <c r="I81" s="23"/>
    </row>
    <row r="82" spans="1:9">
      <c r="A82" s="49" t="s">
        <v>1946</v>
      </c>
      <c r="B82" s="39" t="s">
        <v>1184</v>
      </c>
      <c r="C82" s="41" t="str">
        <f t="shared" si="1"/>
        <v>英語文4-電機二丙</v>
      </c>
      <c r="D82" s="22" t="s">
        <v>1391</v>
      </c>
      <c r="E82" s="22" t="s">
        <v>1392</v>
      </c>
      <c r="F82" s="22">
        <v>40</v>
      </c>
      <c r="G82" s="22">
        <v>2</v>
      </c>
      <c r="H82" s="22" t="s">
        <v>11</v>
      </c>
      <c r="I82" s="23"/>
    </row>
    <row r="83" spans="1:9">
      <c r="A83" s="49" t="s">
        <v>1946</v>
      </c>
      <c r="B83" s="39" t="s">
        <v>1184</v>
      </c>
      <c r="C83" s="41" t="str">
        <f t="shared" si="1"/>
        <v>英語文4-電機二丙</v>
      </c>
      <c r="D83" s="22" t="s">
        <v>1393</v>
      </c>
      <c r="E83" s="22" t="s">
        <v>1394</v>
      </c>
      <c r="F83" s="22">
        <v>55</v>
      </c>
      <c r="G83" s="22">
        <v>2</v>
      </c>
      <c r="H83" s="22" t="s">
        <v>11</v>
      </c>
      <c r="I83" s="23"/>
    </row>
    <row r="84" spans="1:9">
      <c r="A84" s="49" t="s">
        <v>1946</v>
      </c>
      <c r="B84" s="39" t="s">
        <v>1184</v>
      </c>
      <c r="C84" s="41" t="str">
        <f t="shared" si="1"/>
        <v>英語文4-電機二丙</v>
      </c>
      <c r="D84" s="22" t="s">
        <v>1395</v>
      </c>
      <c r="E84" s="22" t="s">
        <v>1396</v>
      </c>
      <c r="F84" s="22">
        <v>46</v>
      </c>
      <c r="G84" s="22">
        <v>2</v>
      </c>
      <c r="H84" s="22" t="s">
        <v>11</v>
      </c>
      <c r="I84" s="23"/>
    </row>
    <row r="85" spans="1:9">
      <c r="A85" s="49" t="s">
        <v>1946</v>
      </c>
      <c r="B85" s="39" t="s">
        <v>1184</v>
      </c>
      <c r="C85" s="41" t="str">
        <f t="shared" si="1"/>
        <v>英語文4-電機二丙</v>
      </c>
      <c r="D85" s="22" t="s">
        <v>1397</v>
      </c>
      <c r="E85" s="22" t="s">
        <v>1398</v>
      </c>
      <c r="F85" s="22">
        <v>48</v>
      </c>
      <c r="G85" s="22">
        <v>2</v>
      </c>
      <c r="H85" s="22" t="s">
        <v>11</v>
      </c>
      <c r="I85" s="23"/>
    </row>
    <row r="86" spans="1:9">
      <c r="A86" s="49" t="s">
        <v>1946</v>
      </c>
      <c r="B86" s="39" t="s">
        <v>1054</v>
      </c>
      <c r="C86" s="41" t="str">
        <f t="shared" si="1"/>
        <v>英語文4-電機二甲</v>
      </c>
      <c r="D86" s="22" t="s">
        <v>1369</v>
      </c>
      <c r="E86" s="22" t="s">
        <v>1370</v>
      </c>
      <c r="F86" s="22">
        <v>40</v>
      </c>
      <c r="G86" s="22">
        <v>2</v>
      </c>
      <c r="H86" s="22" t="s">
        <v>11</v>
      </c>
      <c r="I86" s="23"/>
    </row>
    <row r="87" spans="1:9">
      <c r="A87" s="49" t="s">
        <v>1946</v>
      </c>
      <c r="B87" s="39" t="s">
        <v>1054</v>
      </c>
      <c r="C87" s="41" t="str">
        <f t="shared" si="1"/>
        <v>英語文4-電機二甲</v>
      </c>
      <c r="D87" s="22" t="s">
        <v>1371</v>
      </c>
      <c r="E87" s="22" t="s">
        <v>1372</v>
      </c>
      <c r="F87" s="22">
        <v>40</v>
      </c>
      <c r="G87" s="22">
        <v>2</v>
      </c>
      <c r="H87" s="22" t="s">
        <v>11</v>
      </c>
      <c r="I87" s="23"/>
    </row>
    <row r="88" spans="1:9">
      <c r="A88" s="49" t="s">
        <v>1946</v>
      </c>
      <c r="B88" s="39" t="s">
        <v>1054</v>
      </c>
      <c r="C88" s="41" t="str">
        <f t="shared" si="1"/>
        <v>英語文4-電機二甲</v>
      </c>
      <c r="D88" s="22" t="s">
        <v>1373</v>
      </c>
      <c r="E88" s="22" t="s">
        <v>1374</v>
      </c>
      <c r="F88" s="22">
        <v>43</v>
      </c>
      <c r="G88" s="22">
        <v>2</v>
      </c>
      <c r="H88" s="22" t="s">
        <v>11</v>
      </c>
      <c r="I88" s="23"/>
    </row>
    <row r="89" spans="1:9">
      <c r="A89" s="49" t="s">
        <v>1946</v>
      </c>
      <c r="B89" s="39" t="s">
        <v>1054</v>
      </c>
      <c r="C89" s="41" t="str">
        <f t="shared" si="1"/>
        <v>英語文4-電機二甲</v>
      </c>
      <c r="D89" s="22" t="s">
        <v>1375</v>
      </c>
      <c r="E89" s="22" t="s">
        <v>1376</v>
      </c>
      <c r="F89" s="22">
        <v>49</v>
      </c>
      <c r="G89" s="22">
        <v>2</v>
      </c>
      <c r="H89" s="22" t="s">
        <v>11</v>
      </c>
      <c r="I89" s="23"/>
    </row>
    <row r="90" spans="1:9">
      <c r="A90" s="49" t="s">
        <v>1946</v>
      </c>
      <c r="B90" s="39" t="s">
        <v>1054</v>
      </c>
      <c r="C90" s="41" t="str">
        <f t="shared" si="1"/>
        <v>英語文4-電機二甲</v>
      </c>
      <c r="D90" s="22" t="s">
        <v>1377</v>
      </c>
      <c r="E90" s="22" t="s">
        <v>1378</v>
      </c>
      <c r="F90" s="22">
        <v>54</v>
      </c>
      <c r="G90" s="22">
        <v>2</v>
      </c>
      <c r="H90" s="22" t="s">
        <v>11</v>
      </c>
      <c r="I90" s="23"/>
    </row>
    <row r="91" spans="1:9">
      <c r="A91" s="49" t="s">
        <v>1946</v>
      </c>
      <c r="B91" s="39" t="s">
        <v>1054</v>
      </c>
      <c r="C91" s="41" t="str">
        <f t="shared" si="1"/>
        <v>英語文4-電機二甲</v>
      </c>
      <c r="D91" s="22" t="s">
        <v>1379</v>
      </c>
      <c r="E91" s="22" t="s">
        <v>1380</v>
      </c>
      <c r="F91" s="22">
        <v>45</v>
      </c>
      <c r="G91" s="22">
        <v>2</v>
      </c>
      <c r="H91" s="22" t="s">
        <v>11</v>
      </c>
      <c r="I91" s="23"/>
    </row>
    <row r="92" spans="1:9">
      <c r="A92" s="49" t="s">
        <v>1946</v>
      </c>
      <c r="B92" s="39" t="s">
        <v>1054</v>
      </c>
      <c r="C92" s="41" t="str">
        <f t="shared" si="1"/>
        <v>英語文4-電機二甲</v>
      </c>
      <c r="D92" s="22" t="s">
        <v>1381</v>
      </c>
      <c r="E92" s="22" t="s">
        <v>1382</v>
      </c>
      <c r="F92" s="22">
        <v>48</v>
      </c>
      <c r="G92" s="22">
        <v>2</v>
      </c>
      <c r="H92" s="22" t="s">
        <v>11</v>
      </c>
      <c r="I92" s="23"/>
    </row>
    <row r="93" spans="1:9">
      <c r="A93" s="49" t="s">
        <v>1946</v>
      </c>
      <c r="B93" s="39" t="s">
        <v>1054</v>
      </c>
      <c r="C93" s="41" t="str">
        <f t="shared" si="1"/>
        <v>英語文4-電機二甲</v>
      </c>
      <c r="D93" s="22" t="s">
        <v>1383</v>
      </c>
      <c r="E93" s="22" t="s">
        <v>1384</v>
      </c>
      <c r="F93" s="22">
        <v>42</v>
      </c>
      <c r="G93" s="22">
        <v>2</v>
      </c>
      <c r="H93" s="22" t="s">
        <v>11</v>
      </c>
      <c r="I93" s="23"/>
    </row>
    <row r="94" spans="1:9">
      <c r="A94" s="49" t="s">
        <v>1946</v>
      </c>
      <c r="B94" s="39" t="s">
        <v>1054</v>
      </c>
      <c r="C94" s="41" t="str">
        <f t="shared" si="1"/>
        <v>英語文4-電機二甲</v>
      </c>
      <c r="D94" s="22" t="s">
        <v>1385</v>
      </c>
      <c r="E94" s="22" t="s">
        <v>1386</v>
      </c>
      <c r="F94" s="22">
        <v>50</v>
      </c>
      <c r="G94" s="22">
        <v>2</v>
      </c>
      <c r="H94" s="22" t="s">
        <v>11</v>
      </c>
      <c r="I94" s="23"/>
    </row>
    <row r="95" spans="1:9">
      <c r="A95" s="49" t="s">
        <v>1946</v>
      </c>
      <c r="B95" s="39" t="s">
        <v>1231</v>
      </c>
      <c r="C95" s="41" t="str">
        <f t="shared" si="1"/>
        <v>英語文4-製圖二乙</v>
      </c>
      <c r="D95" s="22" t="s">
        <v>1412</v>
      </c>
      <c r="E95" s="22" t="s">
        <v>1413</v>
      </c>
      <c r="F95" s="22">
        <v>51</v>
      </c>
      <c r="G95" s="22">
        <v>2</v>
      </c>
      <c r="H95" s="22" t="s">
        <v>11</v>
      </c>
      <c r="I95" s="23"/>
    </row>
    <row r="96" spans="1:9">
      <c r="A96" s="49" t="s">
        <v>1946</v>
      </c>
      <c r="B96" s="39" t="s">
        <v>1231</v>
      </c>
      <c r="C96" s="41" t="str">
        <f t="shared" si="1"/>
        <v>英語文4-製圖二乙</v>
      </c>
      <c r="D96" s="22" t="s">
        <v>1414</v>
      </c>
      <c r="E96" s="22" t="s">
        <v>1415</v>
      </c>
      <c r="F96" s="22">
        <v>52</v>
      </c>
      <c r="G96" s="22">
        <v>2</v>
      </c>
      <c r="H96" s="22" t="s">
        <v>11</v>
      </c>
      <c r="I96" s="23"/>
    </row>
    <row r="97" spans="1:9">
      <c r="A97" s="49" t="s">
        <v>1946</v>
      </c>
      <c r="B97" s="39" t="s">
        <v>1231</v>
      </c>
      <c r="C97" s="41" t="str">
        <f t="shared" si="1"/>
        <v>英語文4-製圖二乙</v>
      </c>
      <c r="D97" s="22" t="s">
        <v>1416</v>
      </c>
      <c r="E97" s="22" t="s">
        <v>1417</v>
      </c>
      <c r="F97" s="22">
        <v>50</v>
      </c>
      <c r="G97" s="22">
        <v>2</v>
      </c>
      <c r="H97" s="22" t="s">
        <v>11</v>
      </c>
      <c r="I97" s="23"/>
    </row>
    <row r="98" spans="1:9">
      <c r="A98" s="49" t="s">
        <v>1946</v>
      </c>
      <c r="B98" s="39" t="s">
        <v>1231</v>
      </c>
      <c r="C98" s="41" t="str">
        <f t="shared" si="1"/>
        <v>英語文4-製圖二乙</v>
      </c>
      <c r="D98" s="22" t="s">
        <v>1234</v>
      </c>
      <c r="E98" s="22" t="s">
        <v>1235</v>
      </c>
      <c r="F98" s="22">
        <v>54</v>
      </c>
      <c r="G98" s="22">
        <v>2</v>
      </c>
      <c r="H98" s="22" t="s">
        <v>11</v>
      </c>
      <c r="I98" s="23"/>
    </row>
    <row r="99" spans="1:9">
      <c r="A99" s="49" t="s">
        <v>1946</v>
      </c>
      <c r="B99" s="39" t="s">
        <v>1231</v>
      </c>
      <c r="C99" s="41" t="str">
        <f t="shared" si="1"/>
        <v>英語文4-製圖二乙</v>
      </c>
      <c r="D99" s="22" t="s">
        <v>1418</v>
      </c>
      <c r="E99" s="22" t="s">
        <v>1419</v>
      </c>
      <c r="F99" s="22">
        <v>48</v>
      </c>
      <c r="G99" s="22">
        <v>2</v>
      </c>
      <c r="H99" s="22" t="s">
        <v>11</v>
      </c>
      <c r="I99" s="23"/>
    </row>
    <row r="100" spans="1:9">
      <c r="A100" s="49" t="s">
        <v>1946</v>
      </c>
      <c r="B100" s="39" t="s">
        <v>1231</v>
      </c>
      <c r="C100" s="41" t="str">
        <f t="shared" si="1"/>
        <v>英語文4-製圖二乙</v>
      </c>
      <c r="D100" s="22" t="s">
        <v>1420</v>
      </c>
      <c r="E100" s="22" t="s">
        <v>1421</v>
      </c>
      <c r="F100" s="22">
        <v>55</v>
      </c>
      <c r="G100" s="22">
        <v>2</v>
      </c>
      <c r="H100" s="22" t="s">
        <v>11</v>
      </c>
      <c r="I100" s="23"/>
    </row>
    <row r="101" spans="1:9">
      <c r="A101" s="49" t="s">
        <v>1946</v>
      </c>
      <c r="B101" s="39" t="s">
        <v>1231</v>
      </c>
      <c r="C101" s="41" t="str">
        <f t="shared" si="1"/>
        <v>英語文4-製圖二乙</v>
      </c>
      <c r="D101" s="22" t="s">
        <v>1422</v>
      </c>
      <c r="E101" s="22" t="s">
        <v>1423</v>
      </c>
      <c r="F101" s="22">
        <v>50</v>
      </c>
      <c r="G101" s="22">
        <v>2</v>
      </c>
      <c r="H101" s="22" t="s">
        <v>11</v>
      </c>
      <c r="I101" s="23"/>
    </row>
    <row r="102" spans="1:9">
      <c r="A102" s="49" t="s">
        <v>1946</v>
      </c>
      <c r="B102" s="39" t="s">
        <v>1231</v>
      </c>
      <c r="C102" s="41" t="str">
        <f t="shared" si="1"/>
        <v>英語文4-製圖二乙</v>
      </c>
      <c r="D102" s="22" t="s">
        <v>1236</v>
      </c>
      <c r="E102" s="22" t="s">
        <v>1237</v>
      </c>
      <c r="F102" s="22">
        <v>40</v>
      </c>
      <c r="G102" s="22">
        <v>2</v>
      </c>
      <c r="H102" s="22" t="s">
        <v>11</v>
      </c>
      <c r="I102" s="23"/>
    </row>
    <row r="103" spans="1:9">
      <c r="A103" s="49" t="s">
        <v>1946</v>
      </c>
      <c r="B103" s="39" t="s">
        <v>1231</v>
      </c>
      <c r="C103" s="41" t="str">
        <f t="shared" si="1"/>
        <v>英語文4-製圖二乙</v>
      </c>
      <c r="D103" s="22" t="s">
        <v>1238</v>
      </c>
      <c r="E103" s="22" t="s">
        <v>1239</v>
      </c>
      <c r="F103" s="22">
        <v>43</v>
      </c>
      <c r="G103" s="22">
        <v>2</v>
      </c>
      <c r="H103" s="22" t="s">
        <v>11</v>
      </c>
      <c r="I103" s="23"/>
    </row>
    <row r="104" spans="1:9">
      <c r="A104" s="49" t="s">
        <v>1946</v>
      </c>
      <c r="B104" s="39" t="s">
        <v>1231</v>
      </c>
      <c r="C104" s="41" t="str">
        <f t="shared" si="1"/>
        <v>英語文4-製圖二乙</v>
      </c>
      <c r="D104" s="22" t="s">
        <v>1240</v>
      </c>
      <c r="E104" s="22" t="s">
        <v>157</v>
      </c>
      <c r="F104" s="22">
        <v>40</v>
      </c>
      <c r="G104" s="22">
        <v>2</v>
      </c>
      <c r="H104" s="22" t="s">
        <v>11</v>
      </c>
      <c r="I104" s="23"/>
    </row>
    <row r="105" spans="1:9">
      <c r="A105" s="49" t="s">
        <v>1946</v>
      </c>
      <c r="B105" s="39" t="s">
        <v>1231</v>
      </c>
      <c r="C105" s="41" t="str">
        <f t="shared" si="1"/>
        <v>英語文4-製圖二乙</v>
      </c>
      <c r="D105" s="22" t="s">
        <v>1424</v>
      </c>
      <c r="E105" s="22" t="s">
        <v>1425</v>
      </c>
      <c r="F105" s="22">
        <v>40</v>
      </c>
      <c r="G105" s="22">
        <v>2</v>
      </c>
      <c r="H105" s="22" t="s">
        <v>11</v>
      </c>
      <c r="I105" s="23"/>
    </row>
    <row r="106" spans="1:9">
      <c r="A106" s="49" t="s">
        <v>1946</v>
      </c>
      <c r="B106" s="39" t="s">
        <v>1231</v>
      </c>
      <c r="C106" s="41" t="str">
        <f t="shared" si="1"/>
        <v>英語文4-製圖二乙</v>
      </c>
      <c r="D106" s="22" t="s">
        <v>1426</v>
      </c>
      <c r="E106" s="22" t="s">
        <v>1427</v>
      </c>
      <c r="F106" s="22">
        <v>44</v>
      </c>
      <c r="G106" s="22">
        <v>2</v>
      </c>
      <c r="H106" s="22" t="s">
        <v>11</v>
      </c>
      <c r="I106" s="23"/>
    </row>
    <row r="107" spans="1:9">
      <c r="A107" s="49" t="s">
        <v>1946</v>
      </c>
      <c r="B107" s="39" t="s">
        <v>1231</v>
      </c>
      <c r="C107" s="41" t="str">
        <f t="shared" si="1"/>
        <v>英語文4-製圖二乙</v>
      </c>
      <c r="D107" s="22" t="s">
        <v>1241</v>
      </c>
      <c r="E107" s="22" t="s">
        <v>1242</v>
      </c>
      <c r="F107" s="22">
        <v>40</v>
      </c>
      <c r="G107" s="22">
        <v>2</v>
      </c>
      <c r="H107" s="22" t="s">
        <v>11</v>
      </c>
      <c r="I107" s="23"/>
    </row>
    <row r="108" spans="1:9">
      <c r="A108" s="49" t="s">
        <v>1946</v>
      </c>
      <c r="B108" s="39" t="s">
        <v>1102</v>
      </c>
      <c r="C108" s="41" t="str">
        <f t="shared" si="1"/>
        <v>英語文4-製圖二丙</v>
      </c>
      <c r="D108" s="22" t="s">
        <v>1105</v>
      </c>
      <c r="E108" s="22" t="s">
        <v>1106</v>
      </c>
      <c r="F108" s="22">
        <v>49</v>
      </c>
      <c r="G108" s="22">
        <v>2</v>
      </c>
      <c r="H108" s="22" t="s">
        <v>11</v>
      </c>
      <c r="I108" s="23"/>
    </row>
    <row r="109" spans="1:9">
      <c r="A109" s="49" t="s">
        <v>1946</v>
      </c>
      <c r="B109" s="39" t="s">
        <v>1102</v>
      </c>
      <c r="C109" s="41" t="str">
        <f t="shared" si="1"/>
        <v>英語文4-製圖二丙</v>
      </c>
      <c r="D109" s="22" t="s">
        <v>1107</v>
      </c>
      <c r="E109" s="22" t="s">
        <v>1108</v>
      </c>
      <c r="F109" s="22">
        <v>45</v>
      </c>
      <c r="G109" s="22">
        <v>2</v>
      </c>
      <c r="H109" s="22" t="s">
        <v>11</v>
      </c>
      <c r="I109" s="23"/>
    </row>
    <row r="110" spans="1:9">
      <c r="A110" s="49" t="s">
        <v>1946</v>
      </c>
      <c r="B110" s="39" t="s">
        <v>1102</v>
      </c>
      <c r="C110" s="41" t="str">
        <f t="shared" si="1"/>
        <v>英語文4-製圖二丙</v>
      </c>
      <c r="D110" s="22" t="s">
        <v>1117</v>
      </c>
      <c r="E110" s="22" t="s">
        <v>1118</v>
      </c>
      <c r="F110" s="22">
        <v>44</v>
      </c>
      <c r="G110" s="22">
        <v>2</v>
      </c>
      <c r="H110" s="22" t="s">
        <v>11</v>
      </c>
      <c r="I110" s="23"/>
    </row>
    <row r="111" spans="1:9">
      <c r="A111" s="49" t="s">
        <v>1946</v>
      </c>
      <c r="B111" s="39" t="s">
        <v>1102</v>
      </c>
      <c r="C111" s="41" t="str">
        <f t="shared" si="1"/>
        <v>英語文4-製圖二丙</v>
      </c>
      <c r="D111" s="22" t="s">
        <v>1303</v>
      </c>
      <c r="E111" s="22" t="s">
        <v>1304</v>
      </c>
      <c r="F111" s="22">
        <v>40</v>
      </c>
      <c r="G111" s="22">
        <v>2</v>
      </c>
      <c r="H111" s="22" t="s">
        <v>11</v>
      </c>
      <c r="I111" s="23"/>
    </row>
    <row r="112" spans="1:9">
      <c r="A112" s="49" t="s">
        <v>1946</v>
      </c>
      <c r="B112" s="39" t="s">
        <v>1102</v>
      </c>
      <c r="C112" s="41" t="str">
        <f t="shared" si="1"/>
        <v>英語文4-製圖二丙</v>
      </c>
      <c r="D112" s="22" t="s">
        <v>1129</v>
      </c>
      <c r="E112" s="22" t="s">
        <v>1130</v>
      </c>
      <c r="F112" s="22">
        <v>43</v>
      </c>
      <c r="G112" s="22">
        <v>2</v>
      </c>
      <c r="H112" s="22" t="s">
        <v>11</v>
      </c>
      <c r="I112" s="23"/>
    </row>
    <row r="113" spans="1:9">
      <c r="A113" s="49" t="s">
        <v>1946</v>
      </c>
      <c r="B113" s="39" t="s">
        <v>1102</v>
      </c>
      <c r="C113" s="41" t="str">
        <f t="shared" si="1"/>
        <v>英語文4-製圖二丙</v>
      </c>
      <c r="D113" s="22" t="s">
        <v>1131</v>
      </c>
      <c r="E113" s="22" t="s">
        <v>1132</v>
      </c>
      <c r="F113" s="22">
        <v>52</v>
      </c>
      <c r="G113" s="22">
        <v>2</v>
      </c>
      <c r="H113" s="22" t="s">
        <v>11</v>
      </c>
      <c r="I113" s="23"/>
    </row>
    <row r="114" spans="1:9">
      <c r="A114" s="49" t="s">
        <v>1946</v>
      </c>
      <c r="B114" s="39" t="s">
        <v>1191</v>
      </c>
      <c r="C114" s="41" t="str">
        <f t="shared" si="1"/>
        <v>英語文4-製圖二甲</v>
      </c>
      <c r="D114" s="22" t="s">
        <v>1319</v>
      </c>
      <c r="E114" s="22" t="s">
        <v>1320</v>
      </c>
      <c r="F114" s="22">
        <v>48</v>
      </c>
      <c r="G114" s="22">
        <v>2</v>
      </c>
      <c r="H114" s="22" t="s">
        <v>11</v>
      </c>
      <c r="I114" s="23"/>
    </row>
    <row r="115" spans="1:9">
      <c r="A115" s="49" t="s">
        <v>1946</v>
      </c>
      <c r="B115" s="39" t="s">
        <v>1191</v>
      </c>
      <c r="C115" s="41" t="str">
        <f t="shared" si="1"/>
        <v>英語文4-製圖二甲</v>
      </c>
      <c r="D115" s="22" t="s">
        <v>1321</v>
      </c>
      <c r="E115" s="22" t="s">
        <v>1322</v>
      </c>
      <c r="F115" s="22">
        <v>45</v>
      </c>
      <c r="G115" s="22">
        <v>2</v>
      </c>
      <c r="H115" s="22" t="s">
        <v>11</v>
      </c>
      <c r="I115" s="23"/>
    </row>
    <row r="116" spans="1:9">
      <c r="A116" s="49" t="s">
        <v>1946</v>
      </c>
      <c r="B116" s="39" t="s">
        <v>1191</v>
      </c>
      <c r="C116" s="41" t="str">
        <f t="shared" si="1"/>
        <v>英語文4-製圖二甲</v>
      </c>
      <c r="D116" s="22" t="s">
        <v>1323</v>
      </c>
      <c r="E116" s="22" t="s">
        <v>1324</v>
      </c>
      <c r="F116" s="22">
        <v>54</v>
      </c>
      <c r="G116" s="22">
        <v>2</v>
      </c>
      <c r="H116" s="22" t="s">
        <v>11</v>
      </c>
      <c r="I116" s="23"/>
    </row>
    <row r="117" spans="1:9">
      <c r="A117" s="49" t="s">
        <v>1946</v>
      </c>
      <c r="B117" s="39" t="s">
        <v>1191</v>
      </c>
      <c r="C117" s="41" t="str">
        <f t="shared" si="1"/>
        <v>英語文4-製圖二甲</v>
      </c>
      <c r="D117" s="22" t="s">
        <v>1325</v>
      </c>
      <c r="E117" s="22" t="s">
        <v>1326</v>
      </c>
      <c r="F117" s="22">
        <v>41</v>
      </c>
      <c r="G117" s="22">
        <v>2</v>
      </c>
      <c r="H117" s="22" t="s">
        <v>11</v>
      </c>
      <c r="I117" s="23"/>
    </row>
    <row r="118" spans="1:9">
      <c r="A118" s="49" t="s">
        <v>1946</v>
      </c>
      <c r="B118" s="39" t="s">
        <v>1191</v>
      </c>
      <c r="C118" s="41" t="str">
        <f t="shared" si="1"/>
        <v>英語文4-製圖二甲</v>
      </c>
      <c r="D118" s="22" t="s">
        <v>1327</v>
      </c>
      <c r="E118" s="22" t="s">
        <v>1328</v>
      </c>
      <c r="F118" s="22">
        <v>46</v>
      </c>
      <c r="G118" s="22">
        <v>2</v>
      </c>
      <c r="H118" s="22" t="s">
        <v>11</v>
      </c>
      <c r="I118" s="23"/>
    </row>
    <row r="119" spans="1:9">
      <c r="A119" s="49" t="s">
        <v>1946</v>
      </c>
      <c r="B119" s="39" t="s">
        <v>1191</v>
      </c>
      <c r="C119" s="41" t="str">
        <f t="shared" si="1"/>
        <v>英語文4-製圖二甲</v>
      </c>
      <c r="D119" s="22" t="s">
        <v>1329</v>
      </c>
      <c r="E119" s="22" t="s">
        <v>1330</v>
      </c>
      <c r="F119" s="22">
        <v>53</v>
      </c>
      <c r="G119" s="22">
        <v>2</v>
      </c>
      <c r="H119" s="22" t="s">
        <v>11</v>
      </c>
      <c r="I119" s="23"/>
    </row>
    <row r="120" spans="1:9">
      <c r="A120" s="49" t="s">
        <v>1946</v>
      </c>
      <c r="B120" s="39" t="s">
        <v>1191</v>
      </c>
      <c r="C120" s="41" t="str">
        <f t="shared" si="1"/>
        <v>英語文4-製圖二甲</v>
      </c>
      <c r="D120" s="22" t="s">
        <v>1331</v>
      </c>
      <c r="E120" s="22" t="s">
        <v>1332</v>
      </c>
      <c r="F120" s="22">
        <v>40</v>
      </c>
      <c r="G120" s="22">
        <v>2</v>
      </c>
      <c r="H120" s="22" t="s">
        <v>11</v>
      </c>
      <c r="I120" s="23"/>
    </row>
    <row r="121" spans="1:9">
      <c r="A121" s="49" t="s">
        <v>1946</v>
      </c>
      <c r="B121" s="39" t="s">
        <v>1191</v>
      </c>
      <c r="C121" s="41" t="str">
        <f t="shared" si="1"/>
        <v>英語文4-製圖二甲</v>
      </c>
      <c r="D121" s="22" t="s">
        <v>1333</v>
      </c>
      <c r="E121" s="22" t="s">
        <v>1334</v>
      </c>
      <c r="F121" s="22">
        <v>40</v>
      </c>
      <c r="G121" s="22">
        <v>2</v>
      </c>
      <c r="H121" s="22" t="s">
        <v>11</v>
      </c>
      <c r="I121" s="23"/>
    </row>
    <row r="122" spans="1:9">
      <c r="A122" s="49" t="s">
        <v>1946</v>
      </c>
      <c r="B122" s="39" t="s">
        <v>1191</v>
      </c>
      <c r="C122" s="41" t="str">
        <f t="shared" si="1"/>
        <v>英語文4-製圖二甲</v>
      </c>
      <c r="D122" s="22" t="s">
        <v>1335</v>
      </c>
      <c r="E122" s="22" t="s">
        <v>1336</v>
      </c>
      <c r="F122" s="22">
        <v>42</v>
      </c>
      <c r="G122" s="22">
        <v>2</v>
      </c>
      <c r="H122" s="22" t="s">
        <v>11</v>
      </c>
      <c r="I122" s="23"/>
    </row>
    <row r="123" spans="1:9">
      <c r="A123" s="49" t="s">
        <v>1946</v>
      </c>
      <c r="B123" s="39" t="s">
        <v>1191</v>
      </c>
      <c r="C123" s="41" t="str">
        <f t="shared" si="1"/>
        <v>英語文4-製圖二甲</v>
      </c>
      <c r="D123" s="22" t="s">
        <v>1337</v>
      </c>
      <c r="E123" s="22" t="s">
        <v>1338</v>
      </c>
      <c r="F123" s="22">
        <v>55</v>
      </c>
      <c r="G123" s="22">
        <v>2</v>
      </c>
      <c r="H123" s="22" t="s">
        <v>11</v>
      </c>
      <c r="I123" s="23"/>
    </row>
    <row r="124" spans="1:9">
      <c r="A124" s="49" t="s">
        <v>1946</v>
      </c>
      <c r="B124" s="39" t="s">
        <v>1191</v>
      </c>
      <c r="C124" s="41" t="str">
        <f t="shared" si="1"/>
        <v>英語文4-製圖二甲</v>
      </c>
      <c r="D124" s="22" t="s">
        <v>1198</v>
      </c>
      <c r="E124" s="22" t="s">
        <v>1199</v>
      </c>
      <c r="F124" s="22">
        <v>47</v>
      </c>
      <c r="G124" s="22">
        <v>2</v>
      </c>
      <c r="H124" s="22" t="s">
        <v>11</v>
      </c>
      <c r="I124" s="23"/>
    </row>
    <row r="125" spans="1:9">
      <c r="A125" s="49" t="s">
        <v>1946</v>
      </c>
      <c r="B125" s="39" t="s">
        <v>998</v>
      </c>
      <c r="C125" s="41" t="str">
        <f t="shared" si="1"/>
        <v>英語文4-模具二乙</v>
      </c>
      <c r="D125" s="22" t="s">
        <v>1367</v>
      </c>
      <c r="E125" s="22" t="s">
        <v>1368</v>
      </c>
      <c r="F125" s="22">
        <v>51</v>
      </c>
      <c r="G125" s="22">
        <v>2</v>
      </c>
      <c r="H125" s="22" t="s">
        <v>11</v>
      </c>
      <c r="I125" s="23"/>
    </row>
    <row r="126" spans="1:9">
      <c r="A126" s="49" t="s">
        <v>1946</v>
      </c>
      <c r="B126" s="39" t="s">
        <v>1217</v>
      </c>
      <c r="C126" s="41" t="str">
        <f t="shared" si="1"/>
        <v>英語文4-模具二甲</v>
      </c>
      <c r="D126" s="22" t="s">
        <v>1404</v>
      </c>
      <c r="E126" s="22" t="s">
        <v>1405</v>
      </c>
      <c r="F126" s="22">
        <v>40</v>
      </c>
      <c r="G126" s="22">
        <v>2</v>
      </c>
      <c r="H126" s="22" t="s">
        <v>11</v>
      </c>
      <c r="I126" s="23"/>
    </row>
    <row r="127" spans="1:9">
      <c r="A127" s="49" t="s">
        <v>1946</v>
      </c>
      <c r="B127" s="39" t="s">
        <v>1217</v>
      </c>
      <c r="C127" s="41" t="str">
        <f t="shared" si="1"/>
        <v>英語文4-模具二甲</v>
      </c>
      <c r="D127" s="22" t="s">
        <v>1220</v>
      </c>
      <c r="E127" s="22" t="s">
        <v>1221</v>
      </c>
      <c r="F127" s="22">
        <v>46</v>
      </c>
      <c r="G127" s="22">
        <v>2</v>
      </c>
      <c r="H127" s="22" t="s">
        <v>11</v>
      </c>
      <c r="I127" s="23"/>
    </row>
    <row r="128" spans="1:9">
      <c r="A128" s="49" t="s">
        <v>1946</v>
      </c>
      <c r="B128" s="39" t="s">
        <v>1217</v>
      </c>
      <c r="C128" s="41" t="str">
        <f t="shared" si="1"/>
        <v>英語文4-模具二甲</v>
      </c>
      <c r="D128" s="22" t="s">
        <v>1406</v>
      </c>
      <c r="E128" s="22" t="s">
        <v>1407</v>
      </c>
      <c r="F128" s="22">
        <v>50</v>
      </c>
      <c r="G128" s="22">
        <v>2</v>
      </c>
      <c r="H128" s="22" t="s">
        <v>11</v>
      </c>
      <c r="I128" s="23"/>
    </row>
    <row r="129" spans="1:9">
      <c r="A129" s="49" t="s">
        <v>1946</v>
      </c>
      <c r="B129" s="39" t="s">
        <v>1217</v>
      </c>
      <c r="C129" s="41" t="str">
        <f t="shared" si="1"/>
        <v>英語文4-模具二甲</v>
      </c>
      <c r="D129" s="22" t="s">
        <v>1222</v>
      </c>
      <c r="E129" s="22" t="s">
        <v>1223</v>
      </c>
      <c r="F129" s="22">
        <v>40</v>
      </c>
      <c r="G129" s="22">
        <v>2</v>
      </c>
      <c r="H129" s="22" t="s">
        <v>11</v>
      </c>
      <c r="I129" s="23"/>
    </row>
    <row r="130" spans="1:9">
      <c r="A130" s="49" t="s">
        <v>1946</v>
      </c>
      <c r="B130" s="39" t="s">
        <v>1217</v>
      </c>
      <c r="C130" s="41" t="str">
        <f t="shared" si="1"/>
        <v>英語文4-模具二甲</v>
      </c>
      <c r="D130" s="22" t="s">
        <v>1224</v>
      </c>
      <c r="E130" s="22" t="s">
        <v>1225</v>
      </c>
      <c r="F130" s="22">
        <v>46</v>
      </c>
      <c r="G130" s="22">
        <v>2</v>
      </c>
      <c r="H130" s="22" t="s">
        <v>11</v>
      </c>
      <c r="I130" s="23"/>
    </row>
    <row r="131" spans="1:9">
      <c r="A131" s="49" t="s">
        <v>1946</v>
      </c>
      <c r="B131" s="39" t="s">
        <v>1217</v>
      </c>
      <c r="C131" s="41" t="str">
        <f t="shared" ref="C131:C194" si="2">A131&amp;"-"&amp;B131</f>
        <v>英語文4-模具二甲</v>
      </c>
      <c r="D131" s="22" t="s">
        <v>1408</v>
      </c>
      <c r="E131" s="22" t="s">
        <v>1409</v>
      </c>
      <c r="F131" s="22">
        <v>51</v>
      </c>
      <c r="G131" s="22">
        <v>2</v>
      </c>
      <c r="H131" s="22" t="s">
        <v>11</v>
      </c>
      <c r="I131" s="23"/>
    </row>
    <row r="132" spans="1:9">
      <c r="A132" s="49" t="s">
        <v>1946</v>
      </c>
      <c r="B132" s="39" t="s">
        <v>1217</v>
      </c>
      <c r="C132" s="41" t="str">
        <f t="shared" si="2"/>
        <v>英語文4-模具二甲</v>
      </c>
      <c r="D132" s="22" t="s">
        <v>1410</v>
      </c>
      <c r="E132" s="22" t="s">
        <v>1411</v>
      </c>
      <c r="F132" s="22">
        <v>41</v>
      </c>
      <c r="G132" s="22">
        <v>2</v>
      </c>
      <c r="H132" s="22" t="s">
        <v>11</v>
      </c>
      <c r="I132" s="23"/>
    </row>
    <row r="133" spans="1:9">
      <c r="A133" s="49" t="s">
        <v>1946</v>
      </c>
      <c r="B133" s="39" t="s">
        <v>1171</v>
      </c>
      <c r="C133" s="41" t="str">
        <f t="shared" si="2"/>
        <v>英語文4-機械二乙</v>
      </c>
      <c r="D133" s="22" t="s">
        <v>1243</v>
      </c>
      <c r="E133" s="22" t="s">
        <v>1244</v>
      </c>
      <c r="F133" s="22">
        <v>40</v>
      </c>
      <c r="G133" s="22">
        <v>2</v>
      </c>
      <c r="H133" s="22" t="s">
        <v>11</v>
      </c>
      <c r="I133" s="23"/>
    </row>
    <row r="134" spans="1:9">
      <c r="A134" s="49" t="s">
        <v>1946</v>
      </c>
      <c r="B134" s="39" t="s">
        <v>1171</v>
      </c>
      <c r="C134" s="41" t="str">
        <f t="shared" si="2"/>
        <v>英語文4-機械二乙</v>
      </c>
      <c r="D134" s="22" t="s">
        <v>1245</v>
      </c>
      <c r="E134" s="22" t="s">
        <v>1246</v>
      </c>
      <c r="F134" s="22">
        <v>40</v>
      </c>
      <c r="G134" s="22">
        <v>2</v>
      </c>
      <c r="H134" s="22" t="s">
        <v>11</v>
      </c>
      <c r="I134" s="23"/>
    </row>
    <row r="135" spans="1:9">
      <c r="A135" s="49" t="s">
        <v>1946</v>
      </c>
      <c r="B135" s="39" t="s">
        <v>1171</v>
      </c>
      <c r="C135" s="41" t="str">
        <f t="shared" si="2"/>
        <v>英語文4-機械二乙</v>
      </c>
      <c r="D135" s="22" t="s">
        <v>1247</v>
      </c>
      <c r="E135" s="22" t="s">
        <v>1248</v>
      </c>
      <c r="F135" s="22">
        <v>41</v>
      </c>
      <c r="G135" s="22">
        <v>2</v>
      </c>
      <c r="H135" s="22" t="s">
        <v>11</v>
      </c>
      <c r="I135" s="23"/>
    </row>
    <row r="136" spans="1:9">
      <c r="A136" s="49" t="s">
        <v>1946</v>
      </c>
      <c r="B136" s="39" t="s">
        <v>1171</v>
      </c>
      <c r="C136" s="41" t="str">
        <f t="shared" si="2"/>
        <v>英語文4-機械二乙</v>
      </c>
      <c r="D136" s="22" t="s">
        <v>1176</v>
      </c>
      <c r="E136" s="22" t="s">
        <v>1177</v>
      </c>
      <c r="F136" s="22">
        <v>53</v>
      </c>
      <c r="G136" s="22">
        <v>2</v>
      </c>
      <c r="H136" s="22" t="s">
        <v>11</v>
      </c>
      <c r="I136" s="23"/>
    </row>
    <row r="137" spans="1:9">
      <c r="A137" s="49" t="s">
        <v>1946</v>
      </c>
      <c r="B137" s="39" t="s">
        <v>1171</v>
      </c>
      <c r="C137" s="41" t="str">
        <f t="shared" si="2"/>
        <v>英語文4-機械二乙</v>
      </c>
      <c r="D137" s="22" t="s">
        <v>1249</v>
      </c>
      <c r="E137" s="22" t="s">
        <v>1250</v>
      </c>
      <c r="F137" s="22">
        <v>51</v>
      </c>
      <c r="G137" s="22">
        <v>2</v>
      </c>
      <c r="H137" s="22" t="s">
        <v>11</v>
      </c>
      <c r="I137" s="23"/>
    </row>
    <row r="138" spans="1:9">
      <c r="A138" s="49" t="s">
        <v>1946</v>
      </c>
      <c r="B138" s="39" t="s">
        <v>1171</v>
      </c>
      <c r="C138" s="41" t="str">
        <f t="shared" si="2"/>
        <v>英語文4-機械二乙</v>
      </c>
      <c r="D138" s="22" t="s">
        <v>1251</v>
      </c>
      <c r="E138" s="22" t="s">
        <v>1252</v>
      </c>
      <c r="F138" s="22">
        <v>40</v>
      </c>
      <c r="G138" s="22">
        <v>2</v>
      </c>
      <c r="H138" s="22" t="s">
        <v>11</v>
      </c>
      <c r="I138" s="23"/>
    </row>
    <row r="139" spans="1:9">
      <c r="A139" s="49" t="s">
        <v>1946</v>
      </c>
      <c r="B139" s="39" t="s">
        <v>1171</v>
      </c>
      <c r="C139" s="41" t="str">
        <f t="shared" si="2"/>
        <v>英語文4-機械二乙</v>
      </c>
      <c r="D139" s="22" t="s">
        <v>1253</v>
      </c>
      <c r="E139" s="22" t="s">
        <v>1254</v>
      </c>
      <c r="F139" s="22">
        <v>43</v>
      </c>
      <c r="G139" s="22">
        <v>2</v>
      </c>
      <c r="H139" s="22" t="s">
        <v>11</v>
      </c>
      <c r="I139" s="23"/>
    </row>
    <row r="140" spans="1:9">
      <c r="A140" s="49" t="s">
        <v>1946</v>
      </c>
      <c r="B140" s="39" t="s">
        <v>1171</v>
      </c>
      <c r="C140" s="41" t="str">
        <f t="shared" si="2"/>
        <v>英語文4-機械二乙</v>
      </c>
      <c r="D140" s="22" t="s">
        <v>1255</v>
      </c>
      <c r="E140" s="22" t="s">
        <v>1256</v>
      </c>
      <c r="F140" s="22">
        <v>52</v>
      </c>
      <c r="G140" s="22">
        <v>2</v>
      </c>
      <c r="H140" s="22" t="s">
        <v>11</v>
      </c>
      <c r="I140" s="23"/>
    </row>
    <row r="141" spans="1:9">
      <c r="A141" s="49" t="s">
        <v>1946</v>
      </c>
      <c r="B141" s="39" t="s">
        <v>971</v>
      </c>
      <c r="C141" s="41" t="str">
        <f t="shared" si="2"/>
        <v>英語文4-機械二甲</v>
      </c>
      <c r="D141" s="22" t="s">
        <v>1281</v>
      </c>
      <c r="E141" s="22" t="s">
        <v>1282</v>
      </c>
      <c r="F141" s="22">
        <v>54</v>
      </c>
      <c r="G141" s="22">
        <v>2</v>
      </c>
      <c r="H141" s="22" t="s">
        <v>11</v>
      </c>
      <c r="I141" s="23"/>
    </row>
    <row r="142" spans="1:9">
      <c r="A142" s="49" t="s">
        <v>1946</v>
      </c>
      <c r="B142" s="39" t="s">
        <v>971</v>
      </c>
      <c r="C142" s="41" t="str">
        <f t="shared" si="2"/>
        <v>英語文4-機械二甲</v>
      </c>
      <c r="D142" s="22" t="s">
        <v>1283</v>
      </c>
      <c r="E142" s="22" t="s">
        <v>1284</v>
      </c>
      <c r="F142" s="22">
        <v>46</v>
      </c>
      <c r="G142" s="22">
        <v>2</v>
      </c>
      <c r="H142" s="22" t="s">
        <v>11</v>
      </c>
      <c r="I142" s="23"/>
    </row>
    <row r="143" spans="1:9">
      <c r="A143" s="49" t="s">
        <v>1946</v>
      </c>
      <c r="B143" s="39" t="s">
        <v>971</v>
      </c>
      <c r="C143" s="41" t="str">
        <f t="shared" si="2"/>
        <v>英語文4-機械二甲</v>
      </c>
      <c r="D143" s="22" t="s">
        <v>1285</v>
      </c>
      <c r="E143" s="22" t="s">
        <v>1286</v>
      </c>
      <c r="F143" s="22">
        <v>48</v>
      </c>
      <c r="G143" s="22">
        <v>2</v>
      </c>
      <c r="H143" s="22" t="s">
        <v>11</v>
      </c>
      <c r="I143" s="23"/>
    </row>
    <row r="144" spans="1:9">
      <c r="A144" s="49" t="s">
        <v>1946</v>
      </c>
      <c r="B144" s="39" t="s">
        <v>971</v>
      </c>
      <c r="C144" s="41" t="str">
        <f t="shared" si="2"/>
        <v>英語文4-機械二甲</v>
      </c>
      <c r="D144" s="22" t="s">
        <v>980</v>
      </c>
      <c r="E144" s="22" t="s">
        <v>981</v>
      </c>
      <c r="F144" s="22">
        <v>42</v>
      </c>
      <c r="G144" s="22">
        <v>2</v>
      </c>
      <c r="H144" s="22" t="s">
        <v>11</v>
      </c>
      <c r="I144" s="23"/>
    </row>
    <row r="145" spans="1:9">
      <c r="A145" s="49" t="s">
        <v>1946</v>
      </c>
      <c r="B145" s="39" t="s">
        <v>971</v>
      </c>
      <c r="C145" s="41" t="str">
        <f t="shared" si="2"/>
        <v>英語文4-機械二甲</v>
      </c>
      <c r="D145" s="22" t="s">
        <v>988</v>
      </c>
      <c r="E145" s="22" t="s">
        <v>989</v>
      </c>
      <c r="F145" s="22">
        <v>54</v>
      </c>
      <c r="G145" s="22">
        <v>2</v>
      </c>
      <c r="H145" s="22" t="s">
        <v>11</v>
      </c>
      <c r="I145" s="23"/>
    </row>
    <row r="146" spans="1:9">
      <c r="A146" s="49" t="s">
        <v>1946</v>
      </c>
      <c r="B146" s="39" t="s">
        <v>971</v>
      </c>
      <c r="C146" s="41" t="str">
        <f t="shared" si="2"/>
        <v>英語文4-機械二甲</v>
      </c>
      <c r="D146" s="22" t="s">
        <v>990</v>
      </c>
      <c r="E146" s="22" t="s">
        <v>991</v>
      </c>
      <c r="F146" s="22">
        <v>47</v>
      </c>
      <c r="G146" s="22">
        <v>2</v>
      </c>
      <c r="H146" s="22" t="s">
        <v>11</v>
      </c>
      <c r="I146" s="23"/>
    </row>
    <row r="147" spans="1:9">
      <c r="A147" s="49" t="s">
        <v>1946</v>
      </c>
      <c r="B147" s="39" t="s">
        <v>971</v>
      </c>
      <c r="C147" s="41" t="str">
        <f t="shared" si="2"/>
        <v>英語文4-機械二甲</v>
      </c>
      <c r="D147" s="22" t="s">
        <v>1287</v>
      </c>
      <c r="E147" s="22" t="s">
        <v>1288</v>
      </c>
      <c r="F147" s="22">
        <v>41</v>
      </c>
      <c r="G147" s="22">
        <v>2</v>
      </c>
      <c r="H147" s="22" t="s">
        <v>11</v>
      </c>
      <c r="I147" s="23"/>
    </row>
    <row r="148" spans="1:9">
      <c r="A148" s="49" t="s">
        <v>1946</v>
      </c>
      <c r="B148" s="39" t="s">
        <v>971</v>
      </c>
      <c r="C148" s="41" t="str">
        <f t="shared" si="2"/>
        <v>英語文4-機械二甲</v>
      </c>
      <c r="D148" s="22" t="s">
        <v>1289</v>
      </c>
      <c r="E148" s="22" t="s">
        <v>1290</v>
      </c>
      <c r="F148" s="22">
        <v>42</v>
      </c>
      <c r="G148" s="22">
        <v>2</v>
      </c>
      <c r="H148" s="22" t="s">
        <v>11</v>
      </c>
      <c r="I148" s="23"/>
    </row>
    <row r="149" spans="1:9">
      <c r="A149" s="49" t="s">
        <v>1946</v>
      </c>
      <c r="B149" s="39" t="s">
        <v>1020</v>
      </c>
      <c r="C149" s="41" t="str">
        <f t="shared" si="2"/>
        <v>英語文4-鑄造二乙</v>
      </c>
      <c r="D149" s="22" t="s">
        <v>1257</v>
      </c>
      <c r="E149" s="22" t="s">
        <v>1258</v>
      </c>
      <c r="F149" s="22">
        <v>48</v>
      </c>
      <c r="G149" s="22">
        <v>2</v>
      </c>
      <c r="H149" s="22" t="s">
        <v>11</v>
      </c>
      <c r="I149" s="23"/>
    </row>
    <row r="150" spans="1:9">
      <c r="A150" s="49" t="s">
        <v>1946</v>
      </c>
      <c r="B150" s="39" t="s">
        <v>1020</v>
      </c>
      <c r="C150" s="41" t="str">
        <f t="shared" si="2"/>
        <v>英語文4-鑄造二乙</v>
      </c>
      <c r="D150" s="22" t="s">
        <v>1259</v>
      </c>
      <c r="E150" s="22" t="s">
        <v>1260</v>
      </c>
      <c r="F150" s="22">
        <v>40</v>
      </c>
      <c r="G150" s="22">
        <v>2</v>
      </c>
      <c r="H150" s="22" t="s">
        <v>11</v>
      </c>
      <c r="I150" s="23"/>
    </row>
    <row r="151" spans="1:9">
      <c r="A151" s="49" t="s">
        <v>1946</v>
      </c>
      <c r="B151" s="39" t="s">
        <v>1020</v>
      </c>
      <c r="C151" s="41" t="str">
        <f t="shared" si="2"/>
        <v>英語文4-鑄造二乙</v>
      </c>
      <c r="D151" s="22" t="s">
        <v>1261</v>
      </c>
      <c r="E151" s="22" t="s">
        <v>1262</v>
      </c>
      <c r="F151" s="22">
        <v>50</v>
      </c>
      <c r="G151" s="22">
        <v>2</v>
      </c>
      <c r="H151" s="22" t="s">
        <v>11</v>
      </c>
      <c r="I151" s="23"/>
    </row>
    <row r="152" spans="1:9">
      <c r="A152" s="49" t="s">
        <v>1946</v>
      </c>
      <c r="B152" s="39" t="s">
        <v>1020</v>
      </c>
      <c r="C152" s="41" t="str">
        <f t="shared" si="2"/>
        <v>英語文4-鑄造二乙</v>
      </c>
      <c r="D152" s="22" t="s">
        <v>1263</v>
      </c>
      <c r="E152" s="22" t="s">
        <v>1264</v>
      </c>
      <c r="F152" s="22">
        <v>49</v>
      </c>
      <c r="G152" s="22">
        <v>2</v>
      </c>
      <c r="H152" s="22" t="s">
        <v>11</v>
      </c>
      <c r="I152" s="23"/>
    </row>
    <row r="153" spans="1:9">
      <c r="A153" s="49" t="s">
        <v>1946</v>
      </c>
      <c r="B153" s="39" t="s">
        <v>1020</v>
      </c>
      <c r="C153" s="41" t="str">
        <f t="shared" si="2"/>
        <v>英語文4-鑄造二乙</v>
      </c>
      <c r="D153" s="22" t="s">
        <v>1265</v>
      </c>
      <c r="E153" s="22" t="s">
        <v>1266</v>
      </c>
      <c r="F153" s="22">
        <v>33</v>
      </c>
      <c r="G153" s="22">
        <v>2</v>
      </c>
      <c r="H153" s="22" t="s">
        <v>11</v>
      </c>
      <c r="I153" s="23"/>
    </row>
    <row r="154" spans="1:9">
      <c r="A154" s="49" t="s">
        <v>1946</v>
      </c>
      <c r="B154" s="39" t="s">
        <v>1020</v>
      </c>
      <c r="C154" s="41" t="str">
        <f t="shared" si="2"/>
        <v>英語文4-鑄造二乙</v>
      </c>
      <c r="D154" s="22" t="s">
        <v>1025</v>
      </c>
      <c r="E154" s="22" t="s">
        <v>1026</v>
      </c>
      <c r="F154" s="22">
        <v>40</v>
      </c>
      <c r="G154" s="22">
        <v>2</v>
      </c>
      <c r="H154" s="22" t="s">
        <v>11</v>
      </c>
      <c r="I154" s="23"/>
    </row>
    <row r="155" spans="1:9">
      <c r="A155" s="49" t="s">
        <v>1946</v>
      </c>
      <c r="B155" s="39" t="s">
        <v>1020</v>
      </c>
      <c r="C155" s="41" t="str">
        <f t="shared" si="2"/>
        <v>英語文4-鑄造二乙</v>
      </c>
      <c r="D155" s="22" t="s">
        <v>1267</v>
      </c>
      <c r="E155" s="22" t="s">
        <v>1268</v>
      </c>
      <c r="F155" s="22">
        <v>47</v>
      </c>
      <c r="G155" s="22">
        <v>2</v>
      </c>
      <c r="H155" s="22" t="s">
        <v>11</v>
      </c>
      <c r="I155" s="23"/>
    </row>
    <row r="156" spans="1:9">
      <c r="A156" s="49" t="s">
        <v>1946</v>
      </c>
      <c r="B156" s="39" t="s">
        <v>1020</v>
      </c>
      <c r="C156" s="41" t="str">
        <f t="shared" si="2"/>
        <v>英語文4-鑄造二乙</v>
      </c>
      <c r="D156" s="22" t="s">
        <v>1027</v>
      </c>
      <c r="E156" s="22" t="s">
        <v>1028</v>
      </c>
      <c r="F156" s="22">
        <v>53</v>
      </c>
      <c r="G156" s="22">
        <v>2</v>
      </c>
      <c r="H156" s="22" t="s">
        <v>11</v>
      </c>
      <c r="I156" s="23"/>
    </row>
    <row r="157" spans="1:9">
      <c r="A157" s="49" t="s">
        <v>1946</v>
      </c>
      <c r="B157" s="39" t="s">
        <v>1020</v>
      </c>
      <c r="C157" s="41" t="str">
        <f t="shared" si="2"/>
        <v>英語文4-鑄造二乙</v>
      </c>
      <c r="D157" s="22" t="s">
        <v>1269</v>
      </c>
      <c r="E157" s="22" t="s">
        <v>1270</v>
      </c>
      <c r="F157" s="22">
        <v>48</v>
      </c>
      <c r="G157" s="22">
        <v>2</v>
      </c>
      <c r="H157" s="22" t="s">
        <v>11</v>
      </c>
      <c r="I157" s="23"/>
    </row>
    <row r="158" spans="1:9">
      <c r="A158" s="49" t="s">
        <v>1946</v>
      </c>
      <c r="B158" s="39" t="s">
        <v>1020</v>
      </c>
      <c r="C158" s="41" t="str">
        <f t="shared" si="2"/>
        <v>英語文4-鑄造二乙</v>
      </c>
      <c r="D158" s="22" t="s">
        <v>1029</v>
      </c>
      <c r="E158" s="22" t="s">
        <v>1030</v>
      </c>
      <c r="F158" s="22">
        <v>52</v>
      </c>
      <c r="G158" s="22">
        <v>2</v>
      </c>
      <c r="H158" s="22" t="s">
        <v>11</v>
      </c>
      <c r="I158" s="23"/>
    </row>
    <row r="159" spans="1:9">
      <c r="A159" s="49" t="s">
        <v>1946</v>
      </c>
      <c r="B159" s="39" t="s">
        <v>1020</v>
      </c>
      <c r="C159" s="41" t="str">
        <f t="shared" si="2"/>
        <v>英語文4-鑄造二乙</v>
      </c>
      <c r="D159" s="22" t="s">
        <v>1033</v>
      </c>
      <c r="E159" s="22" t="s">
        <v>1034</v>
      </c>
      <c r="F159" s="22">
        <v>44</v>
      </c>
      <c r="G159" s="22">
        <v>2</v>
      </c>
      <c r="H159" s="22" t="s">
        <v>11</v>
      </c>
      <c r="I159" s="23"/>
    </row>
    <row r="160" spans="1:9">
      <c r="A160" s="49" t="s">
        <v>1946</v>
      </c>
      <c r="B160" s="39" t="s">
        <v>1064</v>
      </c>
      <c r="C160" s="41" t="str">
        <f t="shared" si="2"/>
        <v>英語文4-鑄造二甲</v>
      </c>
      <c r="D160" s="22" t="s">
        <v>1305</v>
      </c>
      <c r="E160" s="22" t="s">
        <v>1306</v>
      </c>
      <c r="F160" s="22">
        <v>40</v>
      </c>
      <c r="G160" s="22">
        <v>2</v>
      </c>
      <c r="H160" s="22" t="s">
        <v>11</v>
      </c>
      <c r="I160" s="23"/>
    </row>
    <row r="161" spans="1:9">
      <c r="A161" s="49" t="s">
        <v>1946</v>
      </c>
      <c r="B161" s="39" t="s">
        <v>1064</v>
      </c>
      <c r="C161" s="41" t="str">
        <f t="shared" si="2"/>
        <v>英語文4-鑄造二甲</v>
      </c>
      <c r="D161" s="22" t="s">
        <v>1307</v>
      </c>
      <c r="E161" s="22" t="s">
        <v>1308</v>
      </c>
      <c r="F161" s="22">
        <v>47</v>
      </c>
      <c r="G161" s="22">
        <v>2</v>
      </c>
      <c r="H161" s="22" t="s">
        <v>11</v>
      </c>
      <c r="I161" s="23"/>
    </row>
    <row r="162" spans="1:9">
      <c r="A162" s="49" t="s">
        <v>1946</v>
      </c>
      <c r="B162" s="39" t="s">
        <v>1064</v>
      </c>
      <c r="C162" s="41" t="str">
        <f t="shared" si="2"/>
        <v>英語文4-鑄造二甲</v>
      </c>
      <c r="D162" s="22" t="s">
        <v>1309</v>
      </c>
      <c r="E162" s="22" t="s">
        <v>1310</v>
      </c>
      <c r="F162" s="22">
        <v>41</v>
      </c>
      <c r="G162" s="22">
        <v>2</v>
      </c>
      <c r="H162" s="22" t="s">
        <v>11</v>
      </c>
      <c r="I162" s="23"/>
    </row>
    <row r="163" spans="1:9">
      <c r="A163" s="49" t="s">
        <v>1946</v>
      </c>
      <c r="B163" s="39" t="s">
        <v>1064</v>
      </c>
      <c r="C163" s="41" t="str">
        <f t="shared" si="2"/>
        <v>英語文4-鑄造二甲</v>
      </c>
      <c r="D163" s="22" t="s">
        <v>1311</v>
      </c>
      <c r="E163" s="22" t="s">
        <v>1312</v>
      </c>
      <c r="F163" s="22">
        <v>43</v>
      </c>
      <c r="G163" s="22">
        <v>2</v>
      </c>
      <c r="H163" s="22" t="s">
        <v>11</v>
      </c>
      <c r="I163" s="23"/>
    </row>
    <row r="164" spans="1:9">
      <c r="A164" s="49" t="s">
        <v>1946</v>
      </c>
      <c r="B164" s="39" t="s">
        <v>1064</v>
      </c>
      <c r="C164" s="41" t="str">
        <f t="shared" si="2"/>
        <v>英語文4-鑄造二甲</v>
      </c>
      <c r="D164" s="22" t="s">
        <v>1071</v>
      </c>
      <c r="E164" s="22" t="s">
        <v>1072</v>
      </c>
      <c r="F164" s="22">
        <v>43</v>
      </c>
      <c r="G164" s="22">
        <v>2</v>
      </c>
      <c r="H164" s="22" t="s">
        <v>11</v>
      </c>
      <c r="I164" s="23"/>
    </row>
    <row r="165" spans="1:9">
      <c r="A165" s="49" t="s">
        <v>1946</v>
      </c>
      <c r="B165" s="39" t="s">
        <v>1064</v>
      </c>
      <c r="C165" s="41" t="str">
        <f t="shared" si="2"/>
        <v>英語文4-鑄造二甲</v>
      </c>
      <c r="D165" s="22" t="s">
        <v>1313</v>
      </c>
      <c r="E165" s="22" t="s">
        <v>1314</v>
      </c>
      <c r="F165" s="22">
        <v>49</v>
      </c>
      <c r="G165" s="22">
        <v>2</v>
      </c>
      <c r="H165" s="22" t="s">
        <v>11</v>
      </c>
      <c r="I165" s="23"/>
    </row>
    <row r="166" spans="1:9">
      <c r="A166" s="49" t="s">
        <v>1946</v>
      </c>
      <c r="B166" s="39" t="s">
        <v>1064</v>
      </c>
      <c r="C166" s="41" t="str">
        <f t="shared" si="2"/>
        <v>英語文4-鑄造二甲</v>
      </c>
      <c r="D166" s="22" t="s">
        <v>1315</v>
      </c>
      <c r="E166" s="22" t="s">
        <v>1316</v>
      </c>
      <c r="F166" s="22">
        <v>42</v>
      </c>
      <c r="G166" s="22">
        <v>2</v>
      </c>
      <c r="H166" s="22" t="s">
        <v>11</v>
      </c>
      <c r="I166" s="23"/>
    </row>
    <row r="167" spans="1:9">
      <c r="A167" s="49" t="s">
        <v>1946</v>
      </c>
      <c r="B167" s="39" t="s">
        <v>1064</v>
      </c>
      <c r="C167" s="41" t="str">
        <f t="shared" si="2"/>
        <v>英語文4-鑄造二甲</v>
      </c>
      <c r="D167" s="22" t="s">
        <v>1075</v>
      </c>
      <c r="E167" s="22" t="s">
        <v>1076</v>
      </c>
      <c r="F167" s="22">
        <v>40</v>
      </c>
      <c r="G167" s="22">
        <v>2</v>
      </c>
      <c r="H167" s="22" t="s">
        <v>11</v>
      </c>
      <c r="I167" s="23"/>
    </row>
    <row r="168" spans="1:9">
      <c r="A168" s="49" t="s">
        <v>1946</v>
      </c>
      <c r="B168" s="39" t="s">
        <v>1064</v>
      </c>
      <c r="C168" s="41" t="str">
        <f t="shared" si="2"/>
        <v>英語文4-鑄造二甲</v>
      </c>
      <c r="D168" s="22" t="s">
        <v>1317</v>
      </c>
      <c r="E168" s="22" t="s">
        <v>1318</v>
      </c>
      <c r="F168" s="22">
        <v>40</v>
      </c>
      <c r="G168" s="22">
        <v>2</v>
      </c>
      <c r="H168" s="22" t="s">
        <v>11</v>
      </c>
      <c r="I168" s="23"/>
    </row>
    <row r="169" spans="1:9">
      <c r="A169" s="49" t="s">
        <v>1946</v>
      </c>
      <c r="B169" s="39" t="s">
        <v>1064</v>
      </c>
      <c r="C169" s="41" t="str">
        <f t="shared" si="2"/>
        <v>英語文4-鑄造二甲</v>
      </c>
      <c r="D169" s="22" t="s">
        <v>1081</v>
      </c>
      <c r="E169" s="22" t="s">
        <v>1082</v>
      </c>
      <c r="F169" s="22">
        <v>54</v>
      </c>
      <c r="G169" s="22">
        <v>2</v>
      </c>
      <c r="H169" s="22" t="s">
        <v>11</v>
      </c>
      <c r="I169" s="23"/>
    </row>
    <row r="170" spans="1:9">
      <c r="A170" s="49" t="s">
        <v>1947</v>
      </c>
      <c r="B170" s="39" t="s">
        <v>968</v>
      </c>
      <c r="C170" s="41" t="str">
        <f t="shared" si="2"/>
        <v>英語文6-體育二甲</v>
      </c>
      <c r="D170" s="22" t="s">
        <v>1271</v>
      </c>
      <c r="E170" s="22" t="s">
        <v>1272</v>
      </c>
      <c r="F170" s="22">
        <v>42</v>
      </c>
      <c r="G170" s="22">
        <v>2</v>
      </c>
      <c r="H170" s="22" t="s">
        <v>11</v>
      </c>
      <c r="I170" s="23"/>
    </row>
    <row r="171" spans="1:9">
      <c r="A171" s="49" t="s">
        <v>1947</v>
      </c>
      <c r="B171" s="39" t="s">
        <v>968</v>
      </c>
      <c r="C171" s="41" t="str">
        <f t="shared" si="2"/>
        <v>英語文6-體育二甲</v>
      </c>
      <c r="D171" s="22" t="s">
        <v>1273</v>
      </c>
      <c r="E171" s="22" t="s">
        <v>1274</v>
      </c>
      <c r="F171" s="22">
        <v>54</v>
      </c>
      <c r="G171" s="22">
        <v>2</v>
      </c>
      <c r="H171" s="22" t="s">
        <v>11</v>
      </c>
      <c r="I171" s="23"/>
    </row>
    <row r="172" spans="1:9">
      <c r="A172" s="49" t="s">
        <v>1947</v>
      </c>
      <c r="B172" s="39" t="s">
        <v>968</v>
      </c>
      <c r="C172" s="41" t="str">
        <f t="shared" si="2"/>
        <v>英語文6-體育二甲</v>
      </c>
      <c r="D172" s="22" t="s">
        <v>1275</v>
      </c>
      <c r="E172" s="22" t="s">
        <v>1276</v>
      </c>
      <c r="F172" s="22">
        <v>41</v>
      </c>
      <c r="G172" s="22">
        <v>2</v>
      </c>
      <c r="H172" s="22" t="s">
        <v>11</v>
      </c>
      <c r="I172" s="23"/>
    </row>
    <row r="173" spans="1:9">
      <c r="A173" s="49" t="s">
        <v>1947</v>
      </c>
      <c r="B173" s="39" t="s">
        <v>968</v>
      </c>
      <c r="C173" s="41" t="str">
        <f t="shared" si="2"/>
        <v>英語文6-體育二甲</v>
      </c>
      <c r="D173" s="22" t="s">
        <v>1277</v>
      </c>
      <c r="E173" s="22" t="s">
        <v>1278</v>
      </c>
      <c r="F173" s="22">
        <v>41</v>
      </c>
      <c r="G173" s="22">
        <v>2</v>
      </c>
      <c r="H173" s="22" t="s">
        <v>11</v>
      </c>
      <c r="I173" s="23"/>
    </row>
    <row r="174" spans="1:9">
      <c r="A174" s="49" t="s">
        <v>1947</v>
      </c>
      <c r="B174" s="39" t="s">
        <v>968</v>
      </c>
      <c r="C174" s="41" t="str">
        <f t="shared" si="2"/>
        <v>英語文6-體育二甲</v>
      </c>
      <c r="D174" s="22" t="s">
        <v>1279</v>
      </c>
      <c r="E174" s="22" t="s">
        <v>1280</v>
      </c>
      <c r="F174" s="22">
        <v>41</v>
      </c>
      <c r="G174" s="22">
        <v>2</v>
      </c>
      <c r="H174" s="22" t="s">
        <v>11</v>
      </c>
      <c r="I174" s="23"/>
    </row>
    <row r="175" spans="1:9">
      <c r="A175" s="49" t="s">
        <v>1947</v>
      </c>
      <c r="B175" s="39" t="s">
        <v>968</v>
      </c>
      <c r="C175" s="41" t="str">
        <f t="shared" si="2"/>
        <v>英語文6-體育二甲</v>
      </c>
      <c r="D175" s="22" t="s">
        <v>969</v>
      </c>
      <c r="E175" s="22" t="s">
        <v>970</v>
      </c>
      <c r="F175" s="22">
        <v>41</v>
      </c>
      <c r="G175" s="22">
        <v>2</v>
      </c>
      <c r="H175" s="22" t="s">
        <v>11</v>
      </c>
      <c r="I175" s="23"/>
    </row>
    <row r="176" spans="1:9">
      <c r="A176" s="22" t="s">
        <v>10</v>
      </c>
      <c r="B176" s="39" t="s">
        <v>1144</v>
      </c>
      <c r="C176" s="41" t="str">
        <f t="shared" si="2"/>
        <v>國語文-汽車二乙</v>
      </c>
      <c r="D176" s="22" t="s">
        <v>1145</v>
      </c>
      <c r="E176" s="22" t="s">
        <v>1146</v>
      </c>
      <c r="F176" s="22">
        <v>54</v>
      </c>
      <c r="G176" s="22">
        <v>3</v>
      </c>
      <c r="H176" s="22" t="s">
        <v>11</v>
      </c>
      <c r="I176" s="23"/>
    </row>
    <row r="177" spans="1:9">
      <c r="A177" s="22" t="s">
        <v>10</v>
      </c>
      <c r="B177" s="39" t="s">
        <v>1144</v>
      </c>
      <c r="C177" s="41" t="str">
        <f t="shared" si="2"/>
        <v>國語文-汽車二乙</v>
      </c>
      <c r="D177" s="22" t="s">
        <v>1147</v>
      </c>
      <c r="E177" s="22" t="s">
        <v>1148</v>
      </c>
      <c r="F177" s="22">
        <v>46</v>
      </c>
      <c r="G177" s="22">
        <v>3</v>
      </c>
      <c r="H177" s="22" t="s">
        <v>11</v>
      </c>
      <c r="I177" s="23"/>
    </row>
    <row r="178" spans="1:9">
      <c r="A178" s="22" t="s">
        <v>10</v>
      </c>
      <c r="B178" s="39" t="s">
        <v>1144</v>
      </c>
      <c r="C178" s="41" t="str">
        <f t="shared" si="2"/>
        <v>國語文-汽車二乙</v>
      </c>
      <c r="D178" s="22" t="s">
        <v>1149</v>
      </c>
      <c r="E178" s="22" t="s">
        <v>1150</v>
      </c>
      <c r="F178" s="22">
        <v>40</v>
      </c>
      <c r="G178" s="22">
        <v>3</v>
      </c>
      <c r="H178" s="22" t="s">
        <v>11</v>
      </c>
      <c r="I178" s="23"/>
    </row>
    <row r="179" spans="1:9">
      <c r="A179" s="22" t="s">
        <v>10</v>
      </c>
      <c r="B179" s="39" t="s">
        <v>1144</v>
      </c>
      <c r="C179" s="41" t="str">
        <f t="shared" si="2"/>
        <v>國語文-汽車二乙</v>
      </c>
      <c r="D179" s="22" t="s">
        <v>1151</v>
      </c>
      <c r="E179" s="22" t="s">
        <v>1152</v>
      </c>
      <c r="F179" s="22">
        <v>40</v>
      </c>
      <c r="G179" s="22">
        <v>3</v>
      </c>
      <c r="H179" s="22" t="s">
        <v>11</v>
      </c>
      <c r="I179" s="23"/>
    </row>
    <row r="180" spans="1:9">
      <c r="A180" s="22" t="s">
        <v>10</v>
      </c>
      <c r="B180" s="39" t="s">
        <v>1144</v>
      </c>
      <c r="C180" s="41" t="str">
        <f t="shared" si="2"/>
        <v>國語文-汽車二乙</v>
      </c>
      <c r="D180" s="22" t="s">
        <v>1153</v>
      </c>
      <c r="E180" s="22" t="s">
        <v>1154</v>
      </c>
      <c r="F180" s="22">
        <v>50</v>
      </c>
      <c r="G180" s="22">
        <v>3</v>
      </c>
      <c r="H180" s="22" t="s">
        <v>11</v>
      </c>
      <c r="I180" s="23"/>
    </row>
    <row r="181" spans="1:9">
      <c r="A181" s="22" t="s">
        <v>10</v>
      </c>
      <c r="B181" s="39" t="s">
        <v>1144</v>
      </c>
      <c r="C181" s="41" t="str">
        <f t="shared" si="2"/>
        <v>國語文-汽車二乙</v>
      </c>
      <c r="D181" s="22" t="s">
        <v>1155</v>
      </c>
      <c r="E181" s="22" t="s">
        <v>1156</v>
      </c>
      <c r="F181" s="22">
        <v>44</v>
      </c>
      <c r="G181" s="22">
        <v>3</v>
      </c>
      <c r="H181" s="22" t="s">
        <v>11</v>
      </c>
      <c r="I181" s="23"/>
    </row>
    <row r="182" spans="1:9">
      <c r="A182" s="22" t="s">
        <v>10</v>
      </c>
      <c r="B182" s="39" t="s">
        <v>1144</v>
      </c>
      <c r="C182" s="41" t="str">
        <f t="shared" si="2"/>
        <v>國語文-汽車二乙</v>
      </c>
      <c r="D182" s="22" t="s">
        <v>1157</v>
      </c>
      <c r="E182" s="22" t="s">
        <v>1158</v>
      </c>
      <c r="F182" s="22">
        <v>40</v>
      </c>
      <c r="G182" s="22">
        <v>3</v>
      </c>
      <c r="H182" s="22" t="s">
        <v>11</v>
      </c>
      <c r="I182" s="23"/>
    </row>
    <row r="183" spans="1:9">
      <c r="A183" s="22" t="s">
        <v>10</v>
      </c>
      <c r="B183" s="39" t="s">
        <v>1144</v>
      </c>
      <c r="C183" s="41" t="str">
        <f t="shared" si="2"/>
        <v>國語文-汽車二乙</v>
      </c>
      <c r="D183" s="22" t="s">
        <v>1159</v>
      </c>
      <c r="E183" s="22" t="s">
        <v>1160</v>
      </c>
      <c r="F183" s="22">
        <v>40</v>
      </c>
      <c r="G183" s="22">
        <v>3</v>
      </c>
      <c r="H183" s="22" t="s">
        <v>11</v>
      </c>
      <c r="I183" s="23"/>
    </row>
    <row r="184" spans="1:9">
      <c r="A184" s="22" t="s">
        <v>10</v>
      </c>
      <c r="B184" s="39" t="s">
        <v>1144</v>
      </c>
      <c r="C184" s="41" t="str">
        <f t="shared" si="2"/>
        <v>國語文-汽車二乙</v>
      </c>
      <c r="D184" s="22" t="s">
        <v>1161</v>
      </c>
      <c r="E184" s="22" t="s">
        <v>1162</v>
      </c>
      <c r="F184" s="22">
        <v>52</v>
      </c>
      <c r="G184" s="22">
        <v>3</v>
      </c>
      <c r="H184" s="22" t="s">
        <v>11</v>
      </c>
      <c r="I184" s="23"/>
    </row>
    <row r="185" spans="1:9">
      <c r="A185" s="22" t="s">
        <v>10</v>
      </c>
      <c r="B185" s="39" t="s">
        <v>1144</v>
      </c>
      <c r="C185" s="41" t="str">
        <f t="shared" si="2"/>
        <v>國語文-汽車二乙</v>
      </c>
      <c r="D185" s="22" t="s">
        <v>1163</v>
      </c>
      <c r="E185" s="22" t="s">
        <v>1164</v>
      </c>
      <c r="F185" s="22">
        <v>47</v>
      </c>
      <c r="G185" s="22">
        <v>3</v>
      </c>
      <c r="H185" s="22" t="s">
        <v>11</v>
      </c>
      <c r="I185" s="23"/>
    </row>
    <row r="186" spans="1:9">
      <c r="A186" s="22" t="s">
        <v>10</v>
      </c>
      <c r="B186" s="39" t="s">
        <v>1144</v>
      </c>
      <c r="C186" s="41" t="str">
        <f t="shared" si="2"/>
        <v>國語文-汽車二乙</v>
      </c>
      <c r="D186" s="22" t="s">
        <v>1165</v>
      </c>
      <c r="E186" s="22" t="s">
        <v>1166</v>
      </c>
      <c r="F186" s="22">
        <v>41</v>
      </c>
      <c r="G186" s="22">
        <v>3</v>
      </c>
      <c r="H186" s="22" t="s">
        <v>11</v>
      </c>
      <c r="I186" s="23"/>
    </row>
    <row r="187" spans="1:9">
      <c r="A187" s="22" t="s">
        <v>10</v>
      </c>
      <c r="B187" s="39" t="s">
        <v>1144</v>
      </c>
      <c r="C187" s="41" t="str">
        <f t="shared" si="2"/>
        <v>國語文-汽車二乙</v>
      </c>
      <c r="D187" s="22" t="s">
        <v>1167</v>
      </c>
      <c r="E187" s="22" t="s">
        <v>1168</v>
      </c>
      <c r="F187" s="22">
        <v>40</v>
      </c>
      <c r="G187" s="22">
        <v>3</v>
      </c>
      <c r="H187" s="22" t="s">
        <v>11</v>
      </c>
      <c r="I187" s="23"/>
    </row>
    <row r="188" spans="1:9">
      <c r="A188" s="22" t="s">
        <v>10</v>
      </c>
      <c r="B188" s="39" t="s">
        <v>1144</v>
      </c>
      <c r="C188" s="41" t="str">
        <f t="shared" si="2"/>
        <v>國語文-汽車二乙</v>
      </c>
      <c r="D188" s="22" t="s">
        <v>1169</v>
      </c>
      <c r="E188" s="22" t="s">
        <v>1170</v>
      </c>
      <c r="F188" s="22">
        <v>48</v>
      </c>
      <c r="G188" s="22">
        <v>3</v>
      </c>
      <c r="H188" s="22" t="s">
        <v>11</v>
      </c>
      <c r="I188" s="23"/>
    </row>
    <row r="189" spans="1:9">
      <c r="A189" s="22" t="s">
        <v>10</v>
      </c>
      <c r="B189" s="39" t="s">
        <v>1035</v>
      </c>
      <c r="C189" s="41" t="str">
        <f t="shared" si="2"/>
        <v>國語文-汽車二甲</v>
      </c>
      <c r="D189" s="22" t="s">
        <v>1036</v>
      </c>
      <c r="E189" s="22" t="s">
        <v>1037</v>
      </c>
      <c r="F189" s="22">
        <v>57</v>
      </c>
      <c r="G189" s="22">
        <v>3</v>
      </c>
      <c r="H189" s="22" t="s">
        <v>11</v>
      </c>
      <c r="I189" s="23"/>
    </row>
    <row r="190" spans="1:9">
      <c r="A190" s="22" t="s">
        <v>10</v>
      </c>
      <c r="B190" s="39" t="s">
        <v>1035</v>
      </c>
      <c r="C190" s="41" t="str">
        <f t="shared" si="2"/>
        <v>國語文-汽車二甲</v>
      </c>
      <c r="D190" s="22" t="s">
        <v>1038</v>
      </c>
      <c r="E190" s="22" t="s">
        <v>1039</v>
      </c>
      <c r="F190" s="22">
        <v>53</v>
      </c>
      <c r="G190" s="22">
        <v>3</v>
      </c>
      <c r="H190" s="22" t="s">
        <v>11</v>
      </c>
      <c r="I190" s="23"/>
    </row>
    <row r="191" spans="1:9">
      <c r="A191" s="22" t="s">
        <v>10</v>
      </c>
      <c r="B191" s="39" t="s">
        <v>1035</v>
      </c>
      <c r="C191" s="41" t="str">
        <f t="shared" si="2"/>
        <v>國語文-汽車二甲</v>
      </c>
      <c r="D191" s="22" t="s">
        <v>1040</v>
      </c>
      <c r="E191" s="22" t="s">
        <v>1041</v>
      </c>
      <c r="F191" s="22">
        <v>56</v>
      </c>
      <c r="G191" s="22">
        <v>3</v>
      </c>
      <c r="H191" s="22" t="s">
        <v>11</v>
      </c>
      <c r="I191" s="23"/>
    </row>
    <row r="192" spans="1:9">
      <c r="A192" s="22" t="s">
        <v>10</v>
      </c>
      <c r="B192" s="39" t="s">
        <v>1035</v>
      </c>
      <c r="C192" s="41" t="str">
        <f t="shared" si="2"/>
        <v>國語文-汽車二甲</v>
      </c>
      <c r="D192" s="22" t="s">
        <v>1042</v>
      </c>
      <c r="E192" s="22" t="s">
        <v>1043</v>
      </c>
      <c r="F192" s="22">
        <v>52</v>
      </c>
      <c r="G192" s="22">
        <v>3</v>
      </c>
      <c r="H192" s="22" t="s">
        <v>11</v>
      </c>
      <c r="I192" s="23"/>
    </row>
    <row r="193" spans="1:9">
      <c r="A193" s="22" t="s">
        <v>10</v>
      </c>
      <c r="B193" s="39" t="s">
        <v>1035</v>
      </c>
      <c r="C193" s="41" t="str">
        <f t="shared" si="2"/>
        <v>國語文-汽車二甲</v>
      </c>
      <c r="D193" s="22" t="s">
        <v>1044</v>
      </c>
      <c r="E193" s="22" t="s">
        <v>1045</v>
      </c>
      <c r="F193" s="22">
        <v>56</v>
      </c>
      <c r="G193" s="22">
        <v>3</v>
      </c>
      <c r="H193" s="22" t="s">
        <v>11</v>
      </c>
      <c r="I193" s="23"/>
    </row>
    <row r="194" spans="1:9">
      <c r="A194" s="22" t="s">
        <v>10</v>
      </c>
      <c r="B194" s="39" t="s">
        <v>1035</v>
      </c>
      <c r="C194" s="41" t="str">
        <f t="shared" si="2"/>
        <v>國語文-汽車二甲</v>
      </c>
      <c r="D194" s="22" t="s">
        <v>1046</v>
      </c>
      <c r="E194" s="22" t="s">
        <v>1047</v>
      </c>
      <c r="F194" s="22">
        <v>54</v>
      </c>
      <c r="G194" s="22">
        <v>3</v>
      </c>
      <c r="H194" s="22" t="s">
        <v>11</v>
      </c>
      <c r="I194" s="23"/>
    </row>
    <row r="195" spans="1:9">
      <c r="A195" s="22" t="s">
        <v>10</v>
      </c>
      <c r="B195" s="39" t="s">
        <v>1035</v>
      </c>
      <c r="C195" s="41" t="str">
        <f t="shared" ref="C195:C258" si="3">A195&amp;"-"&amp;B195</f>
        <v>國語文-汽車二甲</v>
      </c>
      <c r="D195" s="22" t="s">
        <v>1048</v>
      </c>
      <c r="E195" s="22" t="s">
        <v>1049</v>
      </c>
      <c r="F195" s="22">
        <v>55</v>
      </c>
      <c r="G195" s="22">
        <v>3</v>
      </c>
      <c r="H195" s="22" t="s">
        <v>11</v>
      </c>
      <c r="I195" s="23"/>
    </row>
    <row r="196" spans="1:9">
      <c r="A196" s="22" t="s">
        <v>10</v>
      </c>
      <c r="B196" s="39" t="s">
        <v>1035</v>
      </c>
      <c r="C196" s="41" t="str">
        <f t="shared" si="3"/>
        <v>國語文-汽車二甲</v>
      </c>
      <c r="D196" s="22" t="s">
        <v>1050</v>
      </c>
      <c r="E196" s="22" t="s">
        <v>1051</v>
      </c>
      <c r="F196" s="22">
        <v>55</v>
      </c>
      <c r="G196" s="22">
        <v>3</v>
      </c>
      <c r="H196" s="22" t="s">
        <v>11</v>
      </c>
      <c r="I196" s="23"/>
    </row>
    <row r="197" spans="1:9">
      <c r="A197" s="22" t="s">
        <v>10</v>
      </c>
      <c r="B197" s="39" t="s">
        <v>1035</v>
      </c>
      <c r="C197" s="41" t="str">
        <f t="shared" si="3"/>
        <v>國語文-汽車二甲</v>
      </c>
      <c r="D197" s="22" t="s">
        <v>1052</v>
      </c>
      <c r="E197" s="22" t="s">
        <v>1053</v>
      </c>
      <c r="F197" s="22">
        <v>51</v>
      </c>
      <c r="G197" s="22">
        <v>3</v>
      </c>
      <c r="H197" s="22" t="s">
        <v>11</v>
      </c>
      <c r="I197" s="23"/>
    </row>
    <row r="198" spans="1:9">
      <c r="A198" s="22" t="s">
        <v>10</v>
      </c>
      <c r="B198" s="39" t="s">
        <v>1083</v>
      </c>
      <c r="C198" s="41" t="str">
        <f t="shared" si="3"/>
        <v>國語文-資訊二甲</v>
      </c>
      <c r="D198" s="22" t="s">
        <v>1084</v>
      </c>
      <c r="E198" s="22" t="s">
        <v>1085</v>
      </c>
      <c r="F198" s="22">
        <v>42</v>
      </c>
      <c r="G198" s="22">
        <v>3</v>
      </c>
      <c r="H198" s="22" t="s">
        <v>11</v>
      </c>
      <c r="I198" s="23"/>
    </row>
    <row r="199" spans="1:9">
      <c r="A199" s="22" t="s">
        <v>10</v>
      </c>
      <c r="B199" s="39" t="s">
        <v>1083</v>
      </c>
      <c r="C199" s="41" t="str">
        <f t="shared" si="3"/>
        <v>國語文-資訊二甲</v>
      </c>
      <c r="D199" s="22" t="s">
        <v>1086</v>
      </c>
      <c r="E199" s="22" t="s">
        <v>1087</v>
      </c>
      <c r="F199" s="22">
        <v>54</v>
      </c>
      <c r="G199" s="22">
        <v>3</v>
      </c>
      <c r="H199" s="22" t="s">
        <v>11</v>
      </c>
      <c r="I199" s="23"/>
    </row>
    <row r="200" spans="1:9">
      <c r="A200" s="22" t="s">
        <v>10</v>
      </c>
      <c r="B200" s="39" t="s">
        <v>1083</v>
      </c>
      <c r="C200" s="41" t="str">
        <f t="shared" si="3"/>
        <v>國語文-資訊二甲</v>
      </c>
      <c r="D200" s="22" t="s">
        <v>1088</v>
      </c>
      <c r="E200" s="22" t="s">
        <v>1089</v>
      </c>
      <c r="F200" s="22">
        <v>59</v>
      </c>
      <c r="G200" s="22">
        <v>3</v>
      </c>
      <c r="H200" s="22" t="s">
        <v>11</v>
      </c>
      <c r="I200" s="23"/>
    </row>
    <row r="201" spans="1:9">
      <c r="A201" s="22" t="s">
        <v>10</v>
      </c>
      <c r="B201" s="39" t="s">
        <v>1083</v>
      </c>
      <c r="C201" s="41" t="str">
        <f t="shared" si="3"/>
        <v>國語文-資訊二甲</v>
      </c>
      <c r="D201" s="22" t="s">
        <v>1090</v>
      </c>
      <c r="E201" s="22" t="s">
        <v>1091</v>
      </c>
      <c r="F201" s="22">
        <v>56</v>
      </c>
      <c r="G201" s="22">
        <v>3</v>
      </c>
      <c r="H201" s="22" t="s">
        <v>11</v>
      </c>
      <c r="I201" s="23"/>
    </row>
    <row r="202" spans="1:9">
      <c r="A202" s="22" t="s">
        <v>10</v>
      </c>
      <c r="B202" s="39" t="s">
        <v>1083</v>
      </c>
      <c r="C202" s="41" t="str">
        <f t="shared" si="3"/>
        <v>國語文-資訊二甲</v>
      </c>
      <c r="D202" s="22" t="s">
        <v>1092</v>
      </c>
      <c r="E202" s="22" t="s">
        <v>1093</v>
      </c>
      <c r="F202" s="22">
        <v>53</v>
      </c>
      <c r="G202" s="22">
        <v>3</v>
      </c>
      <c r="H202" s="22" t="s">
        <v>11</v>
      </c>
      <c r="I202" s="23"/>
    </row>
    <row r="203" spans="1:9">
      <c r="A203" s="22" t="s">
        <v>10</v>
      </c>
      <c r="B203" s="39" t="s">
        <v>1083</v>
      </c>
      <c r="C203" s="41" t="str">
        <f t="shared" si="3"/>
        <v>國語文-資訊二甲</v>
      </c>
      <c r="D203" s="22" t="s">
        <v>1094</v>
      </c>
      <c r="E203" s="22" t="s">
        <v>1095</v>
      </c>
      <c r="F203" s="22">
        <v>57</v>
      </c>
      <c r="G203" s="22">
        <v>3</v>
      </c>
      <c r="H203" s="22" t="s">
        <v>11</v>
      </c>
      <c r="I203" s="23"/>
    </row>
    <row r="204" spans="1:9">
      <c r="A204" s="22" t="s">
        <v>10</v>
      </c>
      <c r="B204" s="39" t="s">
        <v>1083</v>
      </c>
      <c r="C204" s="41" t="str">
        <f t="shared" si="3"/>
        <v>國語文-資訊二甲</v>
      </c>
      <c r="D204" s="22" t="s">
        <v>1096</v>
      </c>
      <c r="E204" s="22" t="s">
        <v>1097</v>
      </c>
      <c r="F204" s="22">
        <v>51</v>
      </c>
      <c r="G204" s="22">
        <v>3</v>
      </c>
      <c r="H204" s="22" t="s">
        <v>11</v>
      </c>
      <c r="I204" s="23"/>
    </row>
    <row r="205" spans="1:9">
      <c r="A205" s="22" t="s">
        <v>10</v>
      </c>
      <c r="B205" s="39" t="s">
        <v>1083</v>
      </c>
      <c r="C205" s="41" t="str">
        <f t="shared" si="3"/>
        <v>國語文-資訊二甲</v>
      </c>
      <c r="D205" s="22" t="s">
        <v>1098</v>
      </c>
      <c r="E205" s="22" t="s">
        <v>1099</v>
      </c>
      <c r="F205" s="22">
        <v>45</v>
      </c>
      <c r="G205" s="22">
        <v>3</v>
      </c>
      <c r="H205" s="22" t="s">
        <v>11</v>
      </c>
      <c r="I205" s="23"/>
    </row>
    <row r="206" spans="1:9">
      <c r="A206" s="22" t="s">
        <v>10</v>
      </c>
      <c r="B206" s="39" t="s">
        <v>1083</v>
      </c>
      <c r="C206" s="41" t="str">
        <f t="shared" si="3"/>
        <v>國語文-資訊二甲</v>
      </c>
      <c r="D206" s="22" t="s">
        <v>1100</v>
      </c>
      <c r="E206" s="22" t="s">
        <v>1101</v>
      </c>
      <c r="F206" s="22">
        <v>45</v>
      </c>
      <c r="G206" s="22">
        <v>3</v>
      </c>
      <c r="H206" s="22" t="s">
        <v>11</v>
      </c>
      <c r="I206" s="23"/>
    </row>
    <row r="207" spans="1:9">
      <c r="A207" s="53" t="s">
        <v>1891</v>
      </c>
      <c r="B207" s="39" t="s">
        <v>1135</v>
      </c>
      <c r="C207" s="41" t="str">
        <f t="shared" si="3"/>
        <v>國語文-資處二甲</v>
      </c>
      <c r="D207" s="22" t="s">
        <v>1136</v>
      </c>
      <c r="E207" s="22" t="s">
        <v>1137</v>
      </c>
      <c r="F207" s="22">
        <v>52</v>
      </c>
      <c r="G207" s="22">
        <v>3</v>
      </c>
      <c r="H207" s="22" t="s">
        <v>11</v>
      </c>
      <c r="I207" s="23"/>
    </row>
    <row r="208" spans="1:9">
      <c r="A208" s="22" t="s">
        <v>10</v>
      </c>
      <c r="B208" s="39" t="s">
        <v>1135</v>
      </c>
      <c r="C208" s="41" t="str">
        <f t="shared" si="3"/>
        <v>國語文-資處二甲</v>
      </c>
      <c r="D208" s="22" t="s">
        <v>1138</v>
      </c>
      <c r="E208" s="22" t="s">
        <v>1139</v>
      </c>
      <c r="F208" s="22">
        <v>52</v>
      </c>
      <c r="G208" s="22">
        <v>3</v>
      </c>
      <c r="H208" s="22" t="s">
        <v>11</v>
      </c>
      <c r="I208" s="23"/>
    </row>
    <row r="209" spans="1:9">
      <c r="A209" s="22" t="s">
        <v>10</v>
      </c>
      <c r="B209" s="39" t="s">
        <v>1135</v>
      </c>
      <c r="C209" s="41" t="str">
        <f t="shared" si="3"/>
        <v>國語文-資處二甲</v>
      </c>
      <c r="D209" s="22" t="s">
        <v>1140</v>
      </c>
      <c r="E209" s="22" t="s">
        <v>1141</v>
      </c>
      <c r="F209" s="22">
        <v>58</v>
      </c>
      <c r="G209" s="22">
        <v>3</v>
      </c>
      <c r="H209" s="22" t="s">
        <v>11</v>
      </c>
      <c r="I209" s="23"/>
    </row>
    <row r="210" spans="1:9">
      <c r="A210" s="22" t="s">
        <v>10</v>
      </c>
      <c r="B210" s="39" t="s">
        <v>1135</v>
      </c>
      <c r="C210" s="41" t="str">
        <f t="shared" si="3"/>
        <v>國語文-資處二甲</v>
      </c>
      <c r="D210" s="22" t="s">
        <v>1142</v>
      </c>
      <c r="E210" s="22" t="s">
        <v>1143</v>
      </c>
      <c r="F210" s="22">
        <v>54</v>
      </c>
      <c r="G210" s="22">
        <v>3</v>
      </c>
      <c r="H210" s="22" t="s">
        <v>11</v>
      </c>
      <c r="I210" s="23"/>
    </row>
    <row r="211" spans="1:9">
      <c r="A211" s="22" t="s">
        <v>10</v>
      </c>
      <c r="B211" s="39" t="s">
        <v>1200</v>
      </c>
      <c r="C211" s="41" t="str">
        <f t="shared" si="3"/>
        <v>國語文-電機二乙</v>
      </c>
      <c r="D211" s="22" t="s">
        <v>1201</v>
      </c>
      <c r="E211" s="22" t="s">
        <v>1202</v>
      </c>
      <c r="F211" s="22">
        <v>57</v>
      </c>
      <c r="G211" s="22">
        <v>3</v>
      </c>
      <c r="H211" s="22" t="s">
        <v>11</v>
      </c>
      <c r="I211" s="23"/>
    </row>
    <row r="212" spans="1:9">
      <c r="A212" s="22" t="s">
        <v>10</v>
      </c>
      <c r="B212" s="39" t="s">
        <v>1200</v>
      </c>
      <c r="C212" s="41" t="str">
        <f t="shared" si="3"/>
        <v>國語文-電機二乙</v>
      </c>
      <c r="D212" s="22" t="s">
        <v>1203</v>
      </c>
      <c r="E212" s="22" t="s">
        <v>1204</v>
      </c>
      <c r="F212" s="22">
        <v>40</v>
      </c>
      <c r="G212" s="22">
        <v>3</v>
      </c>
      <c r="H212" s="22" t="s">
        <v>11</v>
      </c>
      <c r="I212" s="23"/>
    </row>
    <row r="213" spans="1:9">
      <c r="A213" s="22" t="s">
        <v>10</v>
      </c>
      <c r="B213" s="39" t="s">
        <v>1200</v>
      </c>
      <c r="C213" s="41" t="str">
        <f t="shared" si="3"/>
        <v>國語文-電機二乙</v>
      </c>
      <c r="D213" s="22" t="s">
        <v>1205</v>
      </c>
      <c r="E213" s="22" t="s">
        <v>1206</v>
      </c>
      <c r="F213" s="22">
        <v>55</v>
      </c>
      <c r="G213" s="22">
        <v>3</v>
      </c>
      <c r="H213" s="22" t="s">
        <v>11</v>
      </c>
      <c r="I213" s="23"/>
    </row>
    <row r="214" spans="1:9">
      <c r="A214" s="22" t="s">
        <v>10</v>
      </c>
      <c r="B214" s="39" t="s">
        <v>1200</v>
      </c>
      <c r="C214" s="41" t="str">
        <f t="shared" si="3"/>
        <v>國語文-電機二乙</v>
      </c>
      <c r="D214" s="22" t="s">
        <v>1207</v>
      </c>
      <c r="E214" s="22" t="s">
        <v>1208</v>
      </c>
      <c r="F214" s="22">
        <v>53</v>
      </c>
      <c r="G214" s="22">
        <v>3</v>
      </c>
      <c r="H214" s="22" t="s">
        <v>11</v>
      </c>
      <c r="I214" s="23"/>
    </row>
    <row r="215" spans="1:9">
      <c r="A215" s="22" t="s">
        <v>10</v>
      </c>
      <c r="B215" s="39" t="s">
        <v>1200</v>
      </c>
      <c r="C215" s="41" t="str">
        <f t="shared" si="3"/>
        <v>國語文-電機二乙</v>
      </c>
      <c r="D215" s="22" t="s">
        <v>1209</v>
      </c>
      <c r="E215" s="22" t="s">
        <v>1210</v>
      </c>
      <c r="F215" s="22">
        <v>56</v>
      </c>
      <c r="G215" s="22">
        <v>3</v>
      </c>
      <c r="H215" s="22" t="s">
        <v>11</v>
      </c>
      <c r="I215" s="23"/>
    </row>
    <row r="216" spans="1:9">
      <c r="A216" s="22" t="s">
        <v>10</v>
      </c>
      <c r="B216" s="39" t="s">
        <v>1200</v>
      </c>
      <c r="C216" s="41" t="str">
        <f t="shared" si="3"/>
        <v>國語文-電機二乙</v>
      </c>
      <c r="D216" s="22" t="s">
        <v>1211</v>
      </c>
      <c r="E216" s="22" t="s">
        <v>1212</v>
      </c>
      <c r="F216" s="22">
        <v>51</v>
      </c>
      <c r="G216" s="22">
        <v>3</v>
      </c>
      <c r="H216" s="22" t="s">
        <v>11</v>
      </c>
      <c r="I216" s="23"/>
    </row>
    <row r="217" spans="1:9">
      <c r="A217" s="22" t="s">
        <v>10</v>
      </c>
      <c r="B217" s="39" t="s">
        <v>1200</v>
      </c>
      <c r="C217" s="41" t="str">
        <f t="shared" si="3"/>
        <v>國語文-電機二乙</v>
      </c>
      <c r="D217" s="22" t="s">
        <v>1213</v>
      </c>
      <c r="E217" s="22" t="s">
        <v>1214</v>
      </c>
      <c r="F217" s="22">
        <v>45</v>
      </c>
      <c r="G217" s="22">
        <v>3</v>
      </c>
      <c r="H217" s="22" t="s">
        <v>11</v>
      </c>
      <c r="I217" s="23"/>
    </row>
    <row r="218" spans="1:9">
      <c r="A218" s="22" t="s">
        <v>10</v>
      </c>
      <c r="B218" s="39" t="s">
        <v>1200</v>
      </c>
      <c r="C218" s="41" t="str">
        <f t="shared" si="3"/>
        <v>國語文-電機二乙</v>
      </c>
      <c r="D218" s="22" t="s">
        <v>1215</v>
      </c>
      <c r="E218" s="22" t="s">
        <v>1216</v>
      </c>
      <c r="F218" s="22">
        <v>57</v>
      </c>
      <c r="G218" s="22">
        <v>3</v>
      </c>
      <c r="H218" s="22" t="s">
        <v>11</v>
      </c>
      <c r="I218" s="23"/>
    </row>
    <row r="219" spans="1:9">
      <c r="A219" s="22" t="s">
        <v>10</v>
      </c>
      <c r="B219" s="39" t="s">
        <v>1184</v>
      </c>
      <c r="C219" s="41" t="str">
        <f t="shared" si="3"/>
        <v>國語文-電機二丙</v>
      </c>
      <c r="D219" s="22" t="s">
        <v>1185</v>
      </c>
      <c r="E219" s="22" t="s">
        <v>1186</v>
      </c>
      <c r="F219" s="22">
        <v>51</v>
      </c>
      <c r="G219" s="22">
        <v>3</v>
      </c>
      <c r="H219" s="22" t="s">
        <v>11</v>
      </c>
      <c r="I219" s="23"/>
    </row>
    <row r="220" spans="1:9">
      <c r="A220" s="22" t="s">
        <v>10</v>
      </c>
      <c r="B220" s="39" t="s">
        <v>1184</v>
      </c>
      <c r="C220" s="41" t="str">
        <f t="shared" si="3"/>
        <v>國語文-電機二丙</v>
      </c>
      <c r="D220" s="22" t="s">
        <v>1187</v>
      </c>
      <c r="E220" s="22" t="s">
        <v>1188</v>
      </c>
      <c r="F220" s="22">
        <v>53</v>
      </c>
      <c r="G220" s="22">
        <v>3</v>
      </c>
      <c r="H220" s="22" t="s">
        <v>11</v>
      </c>
      <c r="I220" s="23"/>
    </row>
    <row r="221" spans="1:9">
      <c r="A221" s="22" t="s">
        <v>10</v>
      </c>
      <c r="B221" s="39" t="s">
        <v>1184</v>
      </c>
      <c r="C221" s="41" t="str">
        <f t="shared" si="3"/>
        <v>國語文-電機二丙</v>
      </c>
      <c r="D221" s="22" t="s">
        <v>1189</v>
      </c>
      <c r="E221" s="22" t="s">
        <v>1190</v>
      </c>
      <c r="F221" s="22">
        <v>54</v>
      </c>
      <c r="G221" s="22">
        <v>3</v>
      </c>
      <c r="H221" s="22" t="s">
        <v>11</v>
      </c>
      <c r="I221" s="23"/>
    </row>
    <row r="222" spans="1:9">
      <c r="A222" s="22" t="s">
        <v>10</v>
      </c>
      <c r="B222" s="39" t="s">
        <v>1054</v>
      </c>
      <c r="C222" s="41" t="str">
        <f t="shared" si="3"/>
        <v>國語文-電機二甲</v>
      </c>
      <c r="D222" s="22" t="s">
        <v>1055</v>
      </c>
      <c r="E222" s="22" t="s">
        <v>1056</v>
      </c>
      <c r="F222" s="22">
        <v>50</v>
      </c>
      <c r="G222" s="22">
        <v>3</v>
      </c>
      <c r="H222" s="22" t="s">
        <v>11</v>
      </c>
      <c r="I222" s="23"/>
    </row>
    <row r="223" spans="1:9">
      <c r="A223" s="22" t="s">
        <v>10</v>
      </c>
      <c r="B223" s="39" t="s">
        <v>1054</v>
      </c>
      <c r="C223" s="41" t="str">
        <f t="shared" si="3"/>
        <v>國語文-電機二甲</v>
      </c>
      <c r="D223" s="22" t="s">
        <v>1057</v>
      </c>
      <c r="E223" s="22" t="s">
        <v>1058</v>
      </c>
      <c r="F223" s="22">
        <v>48</v>
      </c>
      <c r="G223" s="22">
        <v>3</v>
      </c>
      <c r="H223" s="22" t="s">
        <v>11</v>
      </c>
      <c r="I223" s="23"/>
    </row>
    <row r="224" spans="1:9">
      <c r="A224" s="22" t="s">
        <v>10</v>
      </c>
      <c r="B224" s="39" t="s">
        <v>1231</v>
      </c>
      <c r="C224" s="41" t="str">
        <f t="shared" si="3"/>
        <v>國語文-製圖二乙</v>
      </c>
      <c r="D224" s="22" t="s">
        <v>1232</v>
      </c>
      <c r="E224" s="22" t="s">
        <v>1233</v>
      </c>
      <c r="F224" s="22">
        <v>55</v>
      </c>
      <c r="G224" s="22">
        <v>3</v>
      </c>
      <c r="H224" s="22" t="s">
        <v>11</v>
      </c>
      <c r="I224" s="23"/>
    </row>
    <row r="225" spans="1:9">
      <c r="A225" s="22" t="s">
        <v>10</v>
      </c>
      <c r="B225" s="39" t="s">
        <v>1231</v>
      </c>
      <c r="C225" s="41" t="str">
        <f t="shared" si="3"/>
        <v>國語文-製圖二乙</v>
      </c>
      <c r="D225" s="22" t="s">
        <v>1234</v>
      </c>
      <c r="E225" s="22" t="s">
        <v>1235</v>
      </c>
      <c r="F225" s="22">
        <v>55</v>
      </c>
      <c r="G225" s="22">
        <v>3</v>
      </c>
      <c r="H225" s="22" t="s">
        <v>11</v>
      </c>
      <c r="I225" s="23"/>
    </row>
    <row r="226" spans="1:9">
      <c r="A226" s="22" t="s">
        <v>10</v>
      </c>
      <c r="B226" s="39" t="s">
        <v>1231</v>
      </c>
      <c r="C226" s="41" t="str">
        <f t="shared" si="3"/>
        <v>國語文-製圖二乙</v>
      </c>
      <c r="D226" s="22" t="s">
        <v>1236</v>
      </c>
      <c r="E226" s="22" t="s">
        <v>1237</v>
      </c>
      <c r="F226" s="22">
        <v>54</v>
      </c>
      <c r="G226" s="22">
        <v>3</v>
      </c>
      <c r="H226" s="22" t="s">
        <v>11</v>
      </c>
      <c r="I226" s="23"/>
    </row>
    <row r="227" spans="1:9">
      <c r="A227" s="22" t="s">
        <v>10</v>
      </c>
      <c r="B227" s="39" t="s">
        <v>1231</v>
      </c>
      <c r="C227" s="41" t="str">
        <f t="shared" si="3"/>
        <v>國語文-製圖二乙</v>
      </c>
      <c r="D227" s="22" t="s">
        <v>1238</v>
      </c>
      <c r="E227" s="22" t="s">
        <v>1239</v>
      </c>
      <c r="F227" s="22">
        <v>44</v>
      </c>
      <c r="G227" s="22">
        <v>3</v>
      </c>
      <c r="H227" s="22" t="s">
        <v>11</v>
      </c>
      <c r="I227" s="23"/>
    </row>
    <row r="228" spans="1:9">
      <c r="A228" s="22" t="s">
        <v>10</v>
      </c>
      <c r="B228" s="39" t="s">
        <v>1231</v>
      </c>
      <c r="C228" s="41" t="str">
        <f t="shared" si="3"/>
        <v>國語文-製圖二乙</v>
      </c>
      <c r="D228" s="22" t="s">
        <v>1240</v>
      </c>
      <c r="E228" s="22" t="s">
        <v>157</v>
      </c>
      <c r="F228" s="22">
        <v>55</v>
      </c>
      <c r="G228" s="22">
        <v>3</v>
      </c>
      <c r="H228" s="22" t="s">
        <v>11</v>
      </c>
      <c r="I228" s="23"/>
    </row>
    <row r="229" spans="1:9">
      <c r="A229" s="22" t="s">
        <v>10</v>
      </c>
      <c r="B229" s="39" t="s">
        <v>1231</v>
      </c>
      <c r="C229" s="41" t="str">
        <f t="shared" si="3"/>
        <v>國語文-製圖二乙</v>
      </c>
      <c r="D229" s="22" t="s">
        <v>1241</v>
      </c>
      <c r="E229" s="22" t="s">
        <v>1242</v>
      </c>
      <c r="F229" s="22">
        <v>44</v>
      </c>
      <c r="G229" s="22">
        <v>3</v>
      </c>
      <c r="H229" s="22" t="s">
        <v>11</v>
      </c>
      <c r="I229" s="23"/>
    </row>
    <row r="230" spans="1:9">
      <c r="A230" s="22" t="s">
        <v>10</v>
      </c>
      <c r="B230" s="39" t="s">
        <v>1102</v>
      </c>
      <c r="C230" s="41" t="str">
        <f t="shared" si="3"/>
        <v>國語文-製圖二丙</v>
      </c>
      <c r="D230" s="22" t="s">
        <v>1103</v>
      </c>
      <c r="E230" s="22" t="s">
        <v>1104</v>
      </c>
      <c r="F230" s="22">
        <v>58</v>
      </c>
      <c r="G230" s="22">
        <v>3</v>
      </c>
      <c r="H230" s="22" t="s">
        <v>11</v>
      </c>
      <c r="I230" s="23"/>
    </row>
    <row r="231" spans="1:9">
      <c r="A231" s="22" t="s">
        <v>10</v>
      </c>
      <c r="B231" s="39" t="s">
        <v>1102</v>
      </c>
      <c r="C231" s="41" t="str">
        <f t="shared" si="3"/>
        <v>國語文-製圖二丙</v>
      </c>
      <c r="D231" s="22" t="s">
        <v>1105</v>
      </c>
      <c r="E231" s="22" t="s">
        <v>1106</v>
      </c>
      <c r="F231" s="22">
        <v>45</v>
      </c>
      <c r="G231" s="22">
        <v>3</v>
      </c>
      <c r="H231" s="22" t="s">
        <v>11</v>
      </c>
      <c r="I231" s="23"/>
    </row>
    <row r="232" spans="1:9">
      <c r="A232" s="22" t="s">
        <v>10</v>
      </c>
      <c r="B232" s="39" t="s">
        <v>1102</v>
      </c>
      <c r="C232" s="41" t="str">
        <f t="shared" si="3"/>
        <v>國語文-製圖二丙</v>
      </c>
      <c r="D232" s="22" t="s">
        <v>1107</v>
      </c>
      <c r="E232" s="22" t="s">
        <v>1108</v>
      </c>
      <c r="F232" s="22">
        <v>49</v>
      </c>
      <c r="G232" s="22">
        <v>3</v>
      </c>
      <c r="H232" s="22" t="s">
        <v>11</v>
      </c>
      <c r="I232" s="23"/>
    </row>
    <row r="233" spans="1:9">
      <c r="A233" s="22" t="s">
        <v>10</v>
      </c>
      <c r="B233" s="39" t="s">
        <v>1102</v>
      </c>
      <c r="C233" s="41" t="str">
        <f t="shared" si="3"/>
        <v>國語文-製圖二丙</v>
      </c>
      <c r="D233" s="22" t="s">
        <v>1109</v>
      </c>
      <c r="E233" s="22" t="s">
        <v>1110</v>
      </c>
      <c r="F233" s="22">
        <v>52</v>
      </c>
      <c r="G233" s="22">
        <v>3</v>
      </c>
      <c r="H233" s="22" t="s">
        <v>11</v>
      </c>
      <c r="I233" s="23"/>
    </row>
    <row r="234" spans="1:9">
      <c r="A234" s="22" t="s">
        <v>10</v>
      </c>
      <c r="B234" s="39" t="s">
        <v>1102</v>
      </c>
      <c r="C234" s="41" t="str">
        <f t="shared" si="3"/>
        <v>國語文-製圖二丙</v>
      </c>
      <c r="D234" s="22" t="s">
        <v>1111</v>
      </c>
      <c r="E234" s="22" t="s">
        <v>1112</v>
      </c>
      <c r="F234" s="22">
        <v>58</v>
      </c>
      <c r="G234" s="22">
        <v>3</v>
      </c>
      <c r="H234" s="22" t="s">
        <v>11</v>
      </c>
      <c r="I234" s="23"/>
    </row>
    <row r="235" spans="1:9">
      <c r="A235" s="22" t="s">
        <v>10</v>
      </c>
      <c r="B235" s="39" t="s">
        <v>1102</v>
      </c>
      <c r="C235" s="41" t="str">
        <f t="shared" si="3"/>
        <v>國語文-製圖二丙</v>
      </c>
      <c r="D235" s="22" t="s">
        <v>1113</v>
      </c>
      <c r="E235" s="22" t="s">
        <v>1114</v>
      </c>
      <c r="F235" s="22">
        <v>53</v>
      </c>
      <c r="G235" s="22">
        <v>3</v>
      </c>
      <c r="H235" s="22" t="s">
        <v>11</v>
      </c>
      <c r="I235" s="23"/>
    </row>
    <row r="236" spans="1:9">
      <c r="A236" s="22" t="s">
        <v>10</v>
      </c>
      <c r="B236" s="39" t="s">
        <v>1102</v>
      </c>
      <c r="C236" s="41" t="str">
        <f t="shared" si="3"/>
        <v>國語文-製圖二丙</v>
      </c>
      <c r="D236" s="22" t="s">
        <v>1115</v>
      </c>
      <c r="E236" s="22" t="s">
        <v>1116</v>
      </c>
      <c r="F236" s="22">
        <v>43</v>
      </c>
      <c r="G236" s="22">
        <v>3</v>
      </c>
      <c r="H236" s="22" t="s">
        <v>11</v>
      </c>
      <c r="I236" s="23"/>
    </row>
    <row r="237" spans="1:9">
      <c r="A237" s="22" t="s">
        <v>10</v>
      </c>
      <c r="B237" s="39" t="s">
        <v>1102</v>
      </c>
      <c r="C237" s="41" t="str">
        <f t="shared" si="3"/>
        <v>國語文-製圖二丙</v>
      </c>
      <c r="D237" s="22" t="s">
        <v>1117</v>
      </c>
      <c r="E237" s="22" t="s">
        <v>1118</v>
      </c>
      <c r="F237" s="22">
        <v>40</v>
      </c>
      <c r="G237" s="22">
        <v>3</v>
      </c>
      <c r="H237" s="22" t="s">
        <v>11</v>
      </c>
      <c r="I237" s="23"/>
    </row>
    <row r="238" spans="1:9">
      <c r="A238" s="22" t="s">
        <v>10</v>
      </c>
      <c r="B238" s="39" t="s">
        <v>1102</v>
      </c>
      <c r="C238" s="41" t="str">
        <f t="shared" si="3"/>
        <v>國語文-製圖二丙</v>
      </c>
      <c r="D238" s="22" t="s">
        <v>1119</v>
      </c>
      <c r="E238" s="22" t="s">
        <v>1120</v>
      </c>
      <c r="F238" s="22">
        <v>45</v>
      </c>
      <c r="G238" s="22">
        <v>3</v>
      </c>
      <c r="H238" s="22" t="s">
        <v>11</v>
      </c>
      <c r="I238" s="23"/>
    </row>
    <row r="239" spans="1:9">
      <c r="A239" s="22" t="s">
        <v>10</v>
      </c>
      <c r="B239" s="39" t="s">
        <v>1102</v>
      </c>
      <c r="C239" s="41" t="str">
        <f t="shared" si="3"/>
        <v>國語文-製圖二丙</v>
      </c>
      <c r="D239" s="22" t="s">
        <v>1121</v>
      </c>
      <c r="E239" s="22" t="s">
        <v>1122</v>
      </c>
      <c r="F239" s="22">
        <v>50</v>
      </c>
      <c r="G239" s="22">
        <v>3</v>
      </c>
      <c r="H239" s="22" t="s">
        <v>11</v>
      </c>
      <c r="I239" s="23"/>
    </row>
    <row r="240" spans="1:9">
      <c r="A240" s="22" t="s">
        <v>10</v>
      </c>
      <c r="B240" s="39" t="s">
        <v>1102</v>
      </c>
      <c r="C240" s="41" t="str">
        <f t="shared" si="3"/>
        <v>國語文-製圖二丙</v>
      </c>
      <c r="D240" s="22" t="s">
        <v>1123</v>
      </c>
      <c r="E240" s="22" t="s">
        <v>1124</v>
      </c>
      <c r="F240" s="22">
        <v>43</v>
      </c>
      <c r="G240" s="22">
        <v>3</v>
      </c>
      <c r="H240" s="22" t="s">
        <v>11</v>
      </c>
      <c r="I240" s="23"/>
    </row>
    <row r="241" spans="1:9">
      <c r="A241" s="22" t="s">
        <v>10</v>
      </c>
      <c r="B241" s="39" t="s">
        <v>1102</v>
      </c>
      <c r="C241" s="41" t="str">
        <f t="shared" si="3"/>
        <v>國語文-製圖二丙</v>
      </c>
      <c r="D241" s="22" t="s">
        <v>1125</v>
      </c>
      <c r="E241" s="22" t="s">
        <v>1126</v>
      </c>
      <c r="F241" s="22">
        <v>56</v>
      </c>
      <c r="G241" s="22">
        <v>3</v>
      </c>
      <c r="H241" s="22" t="s">
        <v>11</v>
      </c>
      <c r="I241" s="23"/>
    </row>
    <row r="242" spans="1:9">
      <c r="A242" s="22" t="s">
        <v>10</v>
      </c>
      <c r="B242" s="39" t="s">
        <v>1102</v>
      </c>
      <c r="C242" s="41" t="str">
        <f t="shared" si="3"/>
        <v>國語文-製圖二丙</v>
      </c>
      <c r="D242" s="22" t="s">
        <v>1127</v>
      </c>
      <c r="E242" s="22" t="s">
        <v>1128</v>
      </c>
      <c r="F242" s="22">
        <v>52</v>
      </c>
      <c r="G242" s="22">
        <v>3</v>
      </c>
      <c r="H242" s="22" t="s">
        <v>11</v>
      </c>
      <c r="I242" s="23"/>
    </row>
    <row r="243" spans="1:9">
      <c r="A243" s="22" t="s">
        <v>10</v>
      </c>
      <c r="B243" s="39" t="s">
        <v>1102</v>
      </c>
      <c r="C243" s="41" t="str">
        <f t="shared" si="3"/>
        <v>國語文-製圖二丙</v>
      </c>
      <c r="D243" s="22" t="s">
        <v>1129</v>
      </c>
      <c r="E243" s="22" t="s">
        <v>1130</v>
      </c>
      <c r="F243" s="22">
        <v>43</v>
      </c>
      <c r="G243" s="22">
        <v>3</v>
      </c>
      <c r="H243" s="22" t="s">
        <v>11</v>
      </c>
      <c r="I243" s="23"/>
    </row>
    <row r="244" spans="1:9">
      <c r="A244" s="22" t="s">
        <v>10</v>
      </c>
      <c r="B244" s="39" t="s">
        <v>1102</v>
      </c>
      <c r="C244" s="41" t="str">
        <f t="shared" si="3"/>
        <v>國語文-製圖二丙</v>
      </c>
      <c r="D244" s="22" t="s">
        <v>1131</v>
      </c>
      <c r="E244" s="22" t="s">
        <v>1132</v>
      </c>
      <c r="F244" s="22">
        <v>53</v>
      </c>
      <c r="G244" s="22">
        <v>3</v>
      </c>
      <c r="H244" s="22" t="s">
        <v>11</v>
      </c>
      <c r="I244" s="23"/>
    </row>
    <row r="245" spans="1:9">
      <c r="A245" s="22" t="s">
        <v>10</v>
      </c>
      <c r="B245" s="39" t="s">
        <v>1102</v>
      </c>
      <c r="C245" s="41" t="str">
        <f t="shared" si="3"/>
        <v>國語文-製圖二丙</v>
      </c>
      <c r="D245" s="22" t="s">
        <v>1133</v>
      </c>
      <c r="E245" s="22" t="s">
        <v>1134</v>
      </c>
      <c r="F245" s="22">
        <v>55</v>
      </c>
      <c r="G245" s="22">
        <v>3</v>
      </c>
      <c r="H245" s="22" t="s">
        <v>11</v>
      </c>
      <c r="I245" s="23"/>
    </row>
    <row r="246" spans="1:9">
      <c r="A246" s="22" t="s">
        <v>10</v>
      </c>
      <c r="B246" s="39" t="s">
        <v>1191</v>
      </c>
      <c r="C246" s="41" t="str">
        <f t="shared" si="3"/>
        <v>國語文-製圖二甲</v>
      </c>
      <c r="D246" s="22" t="s">
        <v>1192</v>
      </c>
      <c r="E246" s="22" t="s">
        <v>1193</v>
      </c>
      <c r="F246" s="22">
        <v>55</v>
      </c>
      <c r="G246" s="22">
        <v>3</v>
      </c>
      <c r="H246" s="22" t="s">
        <v>11</v>
      </c>
      <c r="I246" s="23"/>
    </row>
    <row r="247" spans="1:9">
      <c r="A247" s="22" t="s">
        <v>10</v>
      </c>
      <c r="B247" s="39" t="s">
        <v>1191</v>
      </c>
      <c r="C247" s="41" t="str">
        <f t="shared" si="3"/>
        <v>國語文-製圖二甲</v>
      </c>
      <c r="D247" s="22" t="s">
        <v>1194</v>
      </c>
      <c r="E247" s="22" t="s">
        <v>1195</v>
      </c>
      <c r="F247" s="22">
        <v>41</v>
      </c>
      <c r="G247" s="22">
        <v>3</v>
      </c>
      <c r="H247" s="22" t="s">
        <v>11</v>
      </c>
      <c r="I247" s="23"/>
    </row>
    <row r="248" spans="1:9">
      <c r="A248" s="22" t="s">
        <v>10</v>
      </c>
      <c r="B248" s="39" t="s">
        <v>1191</v>
      </c>
      <c r="C248" s="41" t="str">
        <f t="shared" si="3"/>
        <v>國語文-製圖二甲</v>
      </c>
      <c r="D248" s="22" t="s">
        <v>1196</v>
      </c>
      <c r="E248" s="22" t="s">
        <v>1197</v>
      </c>
      <c r="F248" s="22">
        <v>49</v>
      </c>
      <c r="G248" s="22">
        <v>3</v>
      </c>
      <c r="H248" s="22" t="s">
        <v>11</v>
      </c>
      <c r="I248" s="23"/>
    </row>
    <row r="249" spans="1:9">
      <c r="A249" s="22" t="s">
        <v>10</v>
      </c>
      <c r="B249" s="39" t="s">
        <v>1191</v>
      </c>
      <c r="C249" s="41" t="str">
        <f t="shared" si="3"/>
        <v>國語文-製圖二甲</v>
      </c>
      <c r="D249" s="22" t="s">
        <v>1198</v>
      </c>
      <c r="E249" s="22" t="s">
        <v>1199</v>
      </c>
      <c r="F249" s="22">
        <v>42</v>
      </c>
      <c r="G249" s="22">
        <v>3</v>
      </c>
      <c r="H249" s="22" t="s">
        <v>11</v>
      </c>
      <c r="I249" s="23"/>
    </row>
    <row r="250" spans="1:9">
      <c r="A250" s="22" t="s">
        <v>10</v>
      </c>
      <c r="B250" s="39" t="s">
        <v>998</v>
      </c>
      <c r="C250" s="41" t="str">
        <f t="shared" si="3"/>
        <v>國語文-模具二乙</v>
      </c>
      <c r="D250" s="22" t="s">
        <v>999</v>
      </c>
      <c r="E250" s="22" t="s">
        <v>1000</v>
      </c>
      <c r="F250" s="22">
        <v>41</v>
      </c>
      <c r="G250" s="22">
        <v>3</v>
      </c>
      <c r="H250" s="22" t="s">
        <v>11</v>
      </c>
      <c r="I250" s="23"/>
    </row>
    <row r="251" spans="1:9">
      <c r="A251" s="22" t="s">
        <v>10</v>
      </c>
      <c r="B251" s="39" t="s">
        <v>998</v>
      </c>
      <c r="C251" s="41" t="str">
        <f t="shared" si="3"/>
        <v>國語文-模具二乙</v>
      </c>
      <c r="D251" s="22" t="s">
        <v>1001</v>
      </c>
      <c r="E251" s="22" t="s">
        <v>1002</v>
      </c>
      <c r="F251" s="22">
        <v>53</v>
      </c>
      <c r="G251" s="22">
        <v>3</v>
      </c>
      <c r="H251" s="22" t="s">
        <v>11</v>
      </c>
      <c r="I251" s="23"/>
    </row>
    <row r="252" spans="1:9">
      <c r="A252" s="22" t="s">
        <v>10</v>
      </c>
      <c r="B252" s="39" t="s">
        <v>998</v>
      </c>
      <c r="C252" s="41" t="str">
        <f t="shared" si="3"/>
        <v>國語文-模具二乙</v>
      </c>
      <c r="D252" s="22" t="s">
        <v>1003</v>
      </c>
      <c r="E252" s="22" t="s">
        <v>1004</v>
      </c>
      <c r="F252" s="22">
        <v>48</v>
      </c>
      <c r="G252" s="22">
        <v>3</v>
      </c>
      <c r="H252" s="22" t="s">
        <v>11</v>
      </c>
      <c r="I252" s="23"/>
    </row>
    <row r="253" spans="1:9">
      <c r="A253" s="22" t="s">
        <v>10</v>
      </c>
      <c r="B253" s="39" t="s">
        <v>998</v>
      </c>
      <c r="C253" s="41" t="str">
        <f t="shared" si="3"/>
        <v>國語文-模具二乙</v>
      </c>
      <c r="D253" s="22" t="s">
        <v>1005</v>
      </c>
      <c r="E253" s="22" t="s">
        <v>1006</v>
      </c>
      <c r="F253" s="22">
        <v>52</v>
      </c>
      <c r="G253" s="22">
        <v>3</v>
      </c>
      <c r="H253" s="22" t="s">
        <v>11</v>
      </c>
      <c r="I253" s="23"/>
    </row>
    <row r="254" spans="1:9">
      <c r="A254" s="22" t="s">
        <v>10</v>
      </c>
      <c r="B254" s="39" t="s">
        <v>998</v>
      </c>
      <c r="C254" s="41" t="str">
        <f t="shared" si="3"/>
        <v>國語文-模具二乙</v>
      </c>
      <c r="D254" s="22" t="s">
        <v>1007</v>
      </c>
      <c r="E254" s="22" t="s">
        <v>1008</v>
      </c>
      <c r="F254" s="22">
        <v>54</v>
      </c>
      <c r="G254" s="22">
        <v>3</v>
      </c>
      <c r="H254" s="22" t="s">
        <v>11</v>
      </c>
      <c r="I254" s="23"/>
    </row>
    <row r="255" spans="1:9">
      <c r="A255" s="22" t="s">
        <v>10</v>
      </c>
      <c r="B255" s="39" t="s">
        <v>1217</v>
      </c>
      <c r="C255" s="41" t="str">
        <f t="shared" si="3"/>
        <v>國語文-模具二甲</v>
      </c>
      <c r="D255" s="22" t="s">
        <v>1218</v>
      </c>
      <c r="E255" s="22" t="s">
        <v>1219</v>
      </c>
      <c r="F255" s="22">
        <v>56</v>
      </c>
      <c r="G255" s="22">
        <v>3</v>
      </c>
      <c r="H255" s="22" t="s">
        <v>11</v>
      </c>
      <c r="I255" s="23"/>
    </row>
    <row r="256" spans="1:9">
      <c r="A256" s="22" t="s">
        <v>10</v>
      </c>
      <c r="B256" s="39" t="s">
        <v>1217</v>
      </c>
      <c r="C256" s="41" t="str">
        <f t="shared" si="3"/>
        <v>國語文-模具二甲</v>
      </c>
      <c r="D256" s="22" t="s">
        <v>1220</v>
      </c>
      <c r="E256" s="22" t="s">
        <v>1221</v>
      </c>
      <c r="F256" s="22">
        <v>54</v>
      </c>
      <c r="G256" s="22">
        <v>3</v>
      </c>
      <c r="H256" s="22" t="s">
        <v>11</v>
      </c>
      <c r="I256" s="23"/>
    </row>
    <row r="257" spans="1:9">
      <c r="A257" s="22" t="s">
        <v>10</v>
      </c>
      <c r="B257" s="39" t="s">
        <v>1217</v>
      </c>
      <c r="C257" s="41" t="str">
        <f t="shared" si="3"/>
        <v>國語文-模具二甲</v>
      </c>
      <c r="D257" s="22" t="s">
        <v>1222</v>
      </c>
      <c r="E257" s="22" t="s">
        <v>1223</v>
      </c>
      <c r="F257" s="22">
        <v>40</v>
      </c>
      <c r="G257" s="22">
        <v>3</v>
      </c>
      <c r="H257" s="22" t="s">
        <v>11</v>
      </c>
      <c r="I257" s="23"/>
    </row>
    <row r="258" spans="1:9">
      <c r="A258" s="22" t="s">
        <v>10</v>
      </c>
      <c r="B258" s="39" t="s">
        <v>1217</v>
      </c>
      <c r="C258" s="41" t="str">
        <f t="shared" si="3"/>
        <v>國語文-模具二甲</v>
      </c>
      <c r="D258" s="22" t="s">
        <v>1224</v>
      </c>
      <c r="E258" s="22" t="s">
        <v>1225</v>
      </c>
      <c r="F258" s="22">
        <v>56</v>
      </c>
      <c r="G258" s="22">
        <v>3</v>
      </c>
      <c r="H258" s="22" t="s">
        <v>11</v>
      </c>
      <c r="I258" s="23"/>
    </row>
    <row r="259" spans="1:9">
      <c r="A259" s="22" t="s">
        <v>10</v>
      </c>
      <c r="B259" s="39" t="s">
        <v>1217</v>
      </c>
      <c r="C259" s="41" t="str">
        <f t="shared" ref="C259:C310" si="4">A259&amp;"-"&amp;B259</f>
        <v>國語文-模具二甲</v>
      </c>
      <c r="D259" s="22" t="s">
        <v>1226</v>
      </c>
      <c r="E259" s="22" t="s">
        <v>1227</v>
      </c>
      <c r="F259" s="22">
        <v>41</v>
      </c>
      <c r="G259" s="22">
        <v>3</v>
      </c>
      <c r="H259" s="22" t="s">
        <v>11</v>
      </c>
      <c r="I259" s="23"/>
    </row>
    <row r="260" spans="1:9">
      <c r="A260" s="22" t="s">
        <v>10</v>
      </c>
      <c r="B260" s="39" t="s">
        <v>1217</v>
      </c>
      <c r="C260" s="41" t="str">
        <f t="shared" si="4"/>
        <v>國語文-模具二甲</v>
      </c>
      <c r="D260" s="22" t="s">
        <v>1228</v>
      </c>
      <c r="E260" s="22" t="s">
        <v>954</v>
      </c>
      <c r="F260" s="22">
        <v>40</v>
      </c>
      <c r="G260" s="22">
        <v>3</v>
      </c>
      <c r="H260" s="22" t="s">
        <v>11</v>
      </c>
      <c r="I260" s="23"/>
    </row>
    <row r="261" spans="1:9">
      <c r="A261" s="22" t="s">
        <v>10</v>
      </c>
      <c r="B261" s="39" t="s">
        <v>1217</v>
      </c>
      <c r="C261" s="41" t="str">
        <f t="shared" si="4"/>
        <v>國語文-模具二甲</v>
      </c>
      <c r="D261" s="22" t="s">
        <v>1229</v>
      </c>
      <c r="E261" s="22" t="s">
        <v>1230</v>
      </c>
      <c r="F261" s="22">
        <v>50</v>
      </c>
      <c r="G261" s="22">
        <v>3</v>
      </c>
      <c r="H261" s="22" t="s">
        <v>11</v>
      </c>
      <c r="I261" s="23"/>
    </row>
    <row r="262" spans="1:9">
      <c r="A262" s="22" t="s">
        <v>10</v>
      </c>
      <c r="B262" s="39" t="s">
        <v>1171</v>
      </c>
      <c r="C262" s="41" t="str">
        <f t="shared" si="4"/>
        <v>國語文-機械二乙</v>
      </c>
      <c r="D262" s="22" t="s">
        <v>1172</v>
      </c>
      <c r="E262" s="22" t="s">
        <v>1173</v>
      </c>
      <c r="F262" s="22">
        <v>54</v>
      </c>
      <c r="G262" s="22">
        <v>3</v>
      </c>
      <c r="H262" s="22" t="s">
        <v>11</v>
      </c>
      <c r="I262" s="23"/>
    </row>
    <row r="263" spans="1:9">
      <c r="A263" s="22" t="s">
        <v>10</v>
      </c>
      <c r="B263" s="39" t="s">
        <v>1171</v>
      </c>
      <c r="C263" s="41" t="str">
        <f t="shared" si="4"/>
        <v>國語文-機械二乙</v>
      </c>
      <c r="D263" s="22" t="s">
        <v>1174</v>
      </c>
      <c r="E263" s="22" t="s">
        <v>1175</v>
      </c>
      <c r="F263" s="22">
        <v>56</v>
      </c>
      <c r="G263" s="22">
        <v>3</v>
      </c>
      <c r="H263" s="22" t="s">
        <v>11</v>
      </c>
      <c r="I263" s="23"/>
    </row>
    <row r="264" spans="1:9">
      <c r="A264" s="22" t="s">
        <v>10</v>
      </c>
      <c r="B264" s="39" t="s">
        <v>1171</v>
      </c>
      <c r="C264" s="41" t="str">
        <f t="shared" si="4"/>
        <v>國語文-機械二乙</v>
      </c>
      <c r="D264" s="22" t="s">
        <v>1176</v>
      </c>
      <c r="E264" s="22" t="s">
        <v>1177</v>
      </c>
      <c r="F264" s="22">
        <v>53</v>
      </c>
      <c r="G264" s="22">
        <v>3</v>
      </c>
      <c r="H264" s="22" t="s">
        <v>11</v>
      </c>
      <c r="I264" s="23"/>
    </row>
    <row r="265" spans="1:9">
      <c r="A265" s="22" t="s">
        <v>10</v>
      </c>
      <c r="B265" s="39" t="s">
        <v>1171</v>
      </c>
      <c r="C265" s="41" t="str">
        <f t="shared" si="4"/>
        <v>國語文-機械二乙</v>
      </c>
      <c r="D265" s="22" t="s">
        <v>1178</v>
      </c>
      <c r="E265" s="22" t="s">
        <v>1179</v>
      </c>
      <c r="F265" s="22">
        <v>40</v>
      </c>
      <c r="G265" s="22">
        <v>3</v>
      </c>
      <c r="H265" s="22" t="s">
        <v>11</v>
      </c>
      <c r="I265" s="23"/>
    </row>
    <row r="266" spans="1:9">
      <c r="A266" s="22" t="s">
        <v>10</v>
      </c>
      <c r="B266" s="39" t="s">
        <v>1171</v>
      </c>
      <c r="C266" s="41" t="str">
        <f t="shared" si="4"/>
        <v>國語文-機械二乙</v>
      </c>
      <c r="D266" s="22" t="s">
        <v>1180</v>
      </c>
      <c r="E266" s="22" t="s">
        <v>1181</v>
      </c>
      <c r="F266" s="22">
        <v>40</v>
      </c>
      <c r="G266" s="22">
        <v>3</v>
      </c>
      <c r="H266" s="22" t="s">
        <v>11</v>
      </c>
      <c r="I266" s="23"/>
    </row>
    <row r="267" spans="1:9">
      <c r="A267" s="22" t="s">
        <v>10</v>
      </c>
      <c r="B267" s="39" t="s">
        <v>1171</v>
      </c>
      <c r="C267" s="41" t="str">
        <f t="shared" si="4"/>
        <v>國語文-機械二乙</v>
      </c>
      <c r="D267" s="22" t="s">
        <v>1182</v>
      </c>
      <c r="E267" s="22" t="s">
        <v>1183</v>
      </c>
      <c r="F267" s="22">
        <v>52</v>
      </c>
      <c r="G267" s="22">
        <v>3</v>
      </c>
      <c r="H267" s="22" t="s">
        <v>11</v>
      </c>
      <c r="I267" s="23"/>
    </row>
    <row r="268" spans="1:9">
      <c r="A268" s="22" t="s">
        <v>10</v>
      </c>
      <c r="B268" s="39" t="s">
        <v>971</v>
      </c>
      <c r="C268" s="41" t="str">
        <f t="shared" si="4"/>
        <v>國語文-機械二甲</v>
      </c>
      <c r="D268" s="22" t="s">
        <v>972</v>
      </c>
      <c r="E268" s="22" t="s">
        <v>973</v>
      </c>
      <c r="F268" s="22">
        <v>56</v>
      </c>
      <c r="G268" s="22">
        <v>3</v>
      </c>
      <c r="H268" s="22" t="s">
        <v>11</v>
      </c>
      <c r="I268" s="23"/>
    </row>
    <row r="269" spans="1:9">
      <c r="A269" s="22" t="s">
        <v>10</v>
      </c>
      <c r="B269" s="39" t="s">
        <v>971</v>
      </c>
      <c r="C269" s="41" t="str">
        <f t="shared" si="4"/>
        <v>國語文-機械二甲</v>
      </c>
      <c r="D269" s="22" t="s">
        <v>974</v>
      </c>
      <c r="E269" s="22" t="s">
        <v>975</v>
      </c>
      <c r="F269" s="22">
        <v>53</v>
      </c>
      <c r="G269" s="22">
        <v>3</v>
      </c>
      <c r="H269" s="22" t="s">
        <v>11</v>
      </c>
      <c r="I269" s="23"/>
    </row>
    <row r="270" spans="1:9">
      <c r="A270" s="22" t="s">
        <v>10</v>
      </c>
      <c r="B270" s="39" t="s">
        <v>971</v>
      </c>
      <c r="C270" s="41" t="str">
        <f t="shared" si="4"/>
        <v>國語文-機械二甲</v>
      </c>
      <c r="D270" s="22" t="s">
        <v>976</v>
      </c>
      <c r="E270" s="22" t="s">
        <v>977</v>
      </c>
      <c r="F270" s="22">
        <v>54</v>
      </c>
      <c r="G270" s="22">
        <v>3</v>
      </c>
      <c r="H270" s="22" t="s">
        <v>11</v>
      </c>
      <c r="I270" s="23"/>
    </row>
    <row r="271" spans="1:9">
      <c r="A271" s="22" t="s">
        <v>10</v>
      </c>
      <c r="B271" s="39" t="s">
        <v>971</v>
      </c>
      <c r="C271" s="41" t="str">
        <f t="shared" si="4"/>
        <v>國語文-機械二甲</v>
      </c>
      <c r="D271" s="22" t="s">
        <v>978</v>
      </c>
      <c r="E271" s="22" t="s">
        <v>979</v>
      </c>
      <c r="F271" s="22">
        <v>40</v>
      </c>
      <c r="G271" s="22">
        <v>3</v>
      </c>
      <c r="H271" s="22" t="s">
        <v>11</v>
      </c>
      <c r="I271" s="23"/>
    </row>
    <row r="272" spans="1:9">
      <c r="A272" s="22" t="s">
        <v>10</v>
      </c>
      <c r="B272" s="39" t="s">
        <v>971</v>
      </c>
      <c r="C272" s="41" t="str">
        <f t="shared" si="4"/>
        <v>國語文-機械二甲</v>
      </c>
      <c r="D272" s="22" t="s">
        <v>980</v>
      </c>
      <c r="E272" s="22" t="s">
        <v>981</v>
      </c>
      <c r="F272" s="22">
        <v>53</v>
      </c>
      <c r="G272" s="22">
        <v>3</v>
      </c>
      <c r="H272" s="22" t="s">
        <v>11</v>
      </c>
      <c r="I272" s="23"/>
    </row>
    <row r="273" spans="1:9">
      <c r="A273" s="22" t="s">
        <v>10</v>
      </c>
      <c r="B273" s="39" t="s">
        <v>971</v>
      </c>
      <c r="C273" s="41" t="str">
        <f t="shared" si="4"/>
        <v>國語文-機械二甲</v>
      </c>
      <c r="D273" s="22" t="s">
        <v>982</v>
      </c>
      <c r="E273" s="22" t="s">
        <v>983</v>
      </c>
      <c r="F273" s="22">
        <v>47</v>
      </c>
      <c r="G273" s="22">
        <v>3</v>
      </c>
      <c r="H273" s="22" t="s">
        <v>11</v>
      </c>
      <c r="I273" s="23"/>
    </row>
    <row r="274" spans="1:9">
      <c r="A274" s="22" t="s">
        <v>10</v>
      </c>
      <c r="B274" s="39" t="s">
        <v>971</v>
      </c>
      <c r="C274" s="41" t="str">
        <f t="shared" si="4"/>
        <v>國語文-機械二甲</v>
      </c>
      <c r="D274" s="22" t="s">
        <v>984</v>
      </c>
      <c r="E274" s="22" t="s">
        <v>985</v>
      </c>
      <c r="F274" s="22">
        <v>52</v>
      </c>
      <c r="G274" s="22">
        <v>3</v>
      </c>
      <c r="H274" s="22" t="s">
        <v>11</v>
      </c>
      <c r="I274" s="23"/>
    </row>
    <row r="275" spans="1:9">
      <c r="A275" s="22" t="s">
        <v>10</v>
      </c>
      <c r="B275" s="39" t="s">
        <v>971</v>
      </c>
      <c r="C275" s="41" t="str">
        <f t="shared" si="4"/>
        <v>國語文-機械二甲</v>
      </c>
      <c r="D275" s="22" t="s">
        <v>986</v>
      </c>
      <c r="E275" s="22" t="s">
        <v>987</v>
      </c>
      <c r="F275" s="22">
        <v>56</v>
      </c>
      <c r="G275" s="22">
        <v>3</v>
      </c>
      <c r="H275" s="22" t="s">
        <v>11</v>
      </c>
      <c r="I275" s="23"/>
    </row>
    <row r="276" spans="1:9">
      <c r="A276" s="22" t="s">
        <v>10</v>
      </c>
      <c r="B276" s="39" t="s">
        <v>971</v>
      </c>
      <c r="C276" s="41" t="str">
        <f t="shared" si="4"/>
        <v>國語文-機械二甲</v>
      </c>
      <c r="D276" s="22" t="s">
        <v>988</v>
      </c>
      <c r="E276" s="22" t="s">
        <v>989</v>
      </c>
      <c r="F276" s="22">
        <v>51</v>
      </c>
      <c r="G276" s="22">
        <v>3</v>
      </c>
      <c r="H276" s="22" t="s">
        <v>11</v>
      </c>
      <c r="I276" s="23"/>
    </row>
    <row r="277" spans="1:9">
      <c r="A277" s="22" t="s">
        <v>10</v>
      </c>
      <c r="B277" s="39" t="s">
        <v>971</v>
      </c>
      <c r="C277" s="41" t="str">
        <f t="shared" si="4"/>
        <v>國語文-機械二甲</v>
      </c>
      <c r="D277" s="22" t="s">
        <v>990</v>
      </c>
      <c r="E277" s="22" t="s">
        <v>991</v>
      </c>
      <c r="F277" s="22">
        <v>52</v>
      </c>
      <c r="G277" s="22">
        <v>3</v>
      </c>
      <c r="H277" s="22" t="s">
        <v>11</v>
      </c>
      <c r="I277" s="23"/>
    </row>
    <row r="278" spans="1:9">
      <c r="A278" s="22" t="s">
        <v>10</v>
      </c>
      <c r="B278" s="39" t="s">
        <v>971</v>
      </c>
      <c r="C278" s="41" t="str">
        <f t="shared" si="4"/>
        <v>國語文-機械二甲</v>
      </c>
      <c r="D278" s="22" t="s">
        <v>992</v>
      </c>
      <c r="E278" s="22" t="s">
        <v>993</v>
      </c>
      <c r="F278" s="22">
        <v>50</v>
      </c>
      <c r="G278" s="22">
        <v>3</v>
      </c>
      <c r="H278" s="22" t="s">
        <v>11</v>
      </c>
      <c r="I278" s="23"/>
    </row>
    <row r="279" spans="1:9">
      <c r="A279" s="22" t="s">
        <v>10</v>
      </c>
      <c r="B279" s="39" t="s">
        <v>971</v>
      </c>
      <c r="C279" s="41" t="str">
        <f t="shared" si="4"/>
        <v>國語文-機械二甲</v>
      </c>
      <c r="D279" s="22" t="s">
        <v>994</v>
      </c>
      <c r="E279" s="22" t="s">
        <v>995</v>
      </c>
      <c r="F279" s="22">
        <v>54</v>
      </c>
      <c r="G279" s="22">
        <v>3</v>
      </c>
      <c r="H279" s="22" t="s">
        <v>11</v>
      </c>
      <c r="I279" s="23"/>
    </row>
    <row r="280" spans="1:9">
      <c r="A280" s="22" t="s">
        <v>10</v>
      </c>
      <c r="B280" s="39" t="s">
        <v>971</v>
      </c>
      <c r="C280" s="41" t="str">
        <f t="shared" si="4"/>
        <v>國語文-機械二甲</v>
      </c>
      <c r="D280" s="22" t="s">
        <v>996</v>
      </c>
      <c r="E280" s="22" t="s">
        <v>997</v>
      </c>
      <c r="F280" s="22">
        <v>47</v>
      </c>
      <c r="G280" s="22">
        <v>3</v>
      </c>
      <c r="H280" s="22" t="s">
        <v>11</v>
      </c>
      <c r="I280" s="23"/>
    </row>
    <row r="281" spans="1:9">
      <c r="A281" s="22" t="s">
        <v>10</v>
      </c>
      <c r="B281" s="39" t="s">
        <v>1059</v>
      </c>
      <c r="C281" s="41" t="str">
        <f t="shared" si="4"/>
        <v>國語文-應英二乙</v>
      </c>
      <c r="D281" s="22" t="s">
        <v>1060</v>
      </c>
      <c r="E281" s="22" t="s">
        <v>1061</v>
      </c>
      <c r="F281" s="22">
        <v>49</v>
      </c>
      <c r="G281" s="22">
        <v>3</v>
      </c>
      <c r="H281" s="22" t="s">
        <v>11</v>
      </c>
      <c r="I281" s="23"/>
    </row>
    <row r="282" spans="1:9">
      <c r="A282" s="22" t="s">
        <v>10</v>
      </c>
      <c r="B282" s="39" t="s">
        <v>1059</v>
      </c>
      <c r="C282" s="41" t="str">
        <f t="shared" si="4"/>
        <v>國語文-應英二乙</v>
      </c>
      <c r="D282" s="22" t="s">
        <v>1062</v>
      </c>
      <c r="E282" s="22" t="s">
        <v>1063</v>
      </c>
      <c r="F282" s="22">
        <v>53</v>
      </c>
      <c r="G282" s="22">
        <v>3</v>
      </c>
      <c r="H282" s="22" t="s">
        <v>11</v>
      </c>
      <c r="I282" s="23"/>
    </row>
    <row r="283" spans="1:9">
      <c r="A283" s="22" t="s">
        <v>10</v>
      </c>
      <c r="B283" s="39" t="s">
        <v>1009</v>
      </c>
      <c r="C283" s="41" t="str">
        <f t="shared" si="4"/>
        <v>國語文-應英二甲</v>
      </c>
      <c r="D283" s="22" t="s">
        <v>1010</v>
      </c>
      <c r="E283" s="22" t="s">
        <v>1011</v>
      </c>
      <c r="F283" s="22">
        <v>53</v>
      </c>
      <c r="G283" s="22">
        <v>3</v>
      </c>
      <c r="H283" s="22" t="s">
        <v>11</v>
      </c>
      <c r="I283" s="23"/>
    </row>
    <row r="284" spans="1:9">
      <c r="A284" s="22" t="s">
        <v>10</v>
      </c>
      <c r="B284" s="39" t="s">
        <v>1009</v>
      </c>
      <c r="C284" s="41" t="str">
        <f t="shared" si="4"/>
        <v>國語文-應英二甲</v>
      </c>
      <c r="D284" s="22" t="s">
        <v>1012</v>
      </c>
      <c r="E284" s="22" t="s">
        <v>1013</v>
      </c>
      <c r="F284" s="22">
        <v>45</v>
      </c>
      <c r="G284" s="22">
        <v>3</v>
      </c>
      <c r="H284" s="22" t="s">
        <v>11</v>
      </c>
      <c r="I284" s="23"/>
    </row>
    <row r="285" spans="1:9">
      <c r="A285" s="22" t="s">
        <v>10</v>
      </c>
      <c r="B285" s="39" t="s">
        <v>1009</v>
      </c>
      <c r="C285" s="41" t="str">
        <f t="shared" si="4"/>
        <v>國語文-應英二甲</v>
      </c>
      <c r="D285" s="22" t="s">
        <v>1014</v>
      </c>
      <c r="E285" s="22" t="s">
        <v>1015</v>
      </c>
      <c r="F285" s="22">
        <v>58</v>
      </c>
      <c r="G285" s="22">
        <v>3</v>
      </c>
      <c r="H285" s="22" t="s">
        <v>11</v>
      </c>
      <c r="I285" s="23"/>
    </row>
    <row r="286" spans="1:9">
      <c r="A286" s="22" t="s">
        <v>10</v>
      </c>
      <c r="B286" s="39" t="s">
        <v>1009</v>
      </c>
      <c r="C286" s="41" t="str">
        <f t="shared" si="4"/>
        <v>國語文-應英二甲</v>
      </c>
      <c r="D286" s="22" t="s">
        <v>1016</v>
      </c>
      <c r="E286" s="22" t="s">
        <v>1017</v>
      </c>
      <c r="F286" s="22">
        <v>59</v>
      </c>
      <c r="G286" s="22">
        <v>3</v>
      </c>
      <c r="H286" s="22" t="s">
        <v>11</v>
      </c>
      <c r="I286" s="23"/>
    </row>
    <row r="287" spans="1:9">
      <c r="A287" s="22" t="s">
        <v>10</v>
      </c>
      <c r="B287" s="39" t="s">
        <v>1009</v>
      </c>
      <c r="C287" s="41" t="str">
        <f t="shared" si="4"/>
        <v>國語文-應英二甲</v>
      </c>
      <c r="D287" s="22" t="s">
        <v>1018</v>
      </c>
      <c r="E287" s="22" t="s">
        <v>1019</v>
      </c>
      <c r="F287" s="22">
        <v>54</v>
      </c>
      <c r="G287" s="22">
        <v>3</v>
      </c>
      <c r="H287" s="22" t="s">
        <v>11</v>
      </c>
      <c r="I287" s="23"/>
    </row>
    <row r="288" spans="1:9">
      <c r="A288" s="22" t="s">
        <v>10</v>
      </c>
      <c r="B288" s="39" t="s">
        <v>1020</v>
      </c>
      <c r="C288" s="41" t="str">
        <f t="shared" si="4"/>
        <v>國語文-鑄造二乙</v>
      </c>
      <c r="D288" s="22" t="s">
        <v>1021</v>
      </c>
      <c r="E288" s="22" t="s">
        <v>1022</v>
      </c>
      <c r="F288" s="22">
        <v>49</v>
      </c>
      <c r="G288" s="22">
        <v>3</v>
      </c>
      <c r="H288" s="22" t="s">
        <v>11</v>
      </c>
      <c r="I288" s="23"/>
    </row>
    <row r="289" spans="1:9">
      <c r="A289" s="22" t="s">
        <v>10</v>
      </c>
      <c r="B289" s="39" t="s">
        <v>1020</v>
      </c>
      <c r="C289" s="41" t="str">
        <f t="shared" si="4"/>
        <v>國語文-鑄造二乙</v>
      </c>
      <c r="D289" s="22" t="s">
        <v>1023</v>
      </c>
      <c r="E289" s="22" t="s">
        <v>1024</v>
      </c>
      <c r="F289" s="22">
        <v>49</v>
      </c>
      <c r="G289" s="22">
        <v>3</v>
      </c>
      <c r="H289" s="22" t="s">
        <v>11</v>
      </c>
      <c r="I289" s="23"/>
    </row>
    <row r="290" spans="1:9">
      <c r="A290" s="22" t="s">
        <v>10</v>
      </c>
      <c r="B290" s="39" t="s">
        <v>1020</v>
      </c>
      <c r="C290" s="41" t="str">
        <f t="shared" si="4"/>
        <v>國語文-鑄造二乙</v>
      </c>
      <c r="D290" s="22" t="s">
        <v>1025</v>
      </c>
      <c r="E290" s="22" t="s">
        <v>1026</v>
      </c>
      <c r="F290" s="22">
        <v>50</v>
      </c>
      <c r="G290" s="22">
        <v>3</v>
      </c>
      <c r="H290" s="22" t="s">
        <v>11</v>
      </c>
      <c r="I290" s="23"/>
    </row>
    <row r="291" spans="1:9">
      <c r="A291" s="22" t="s">
        <v>10</v>
      </c>
      <c r="B291" s="39" t="s">
        <v>1020</v>
      </c>
      <c r="C291" s="41" t="str">
        <f t="shared" si="4"/>
        <v>國語文-鑄造二乙</v>
      </c>
      <c r="D291" s="22" t="s">
        <v>1027</v>
      </c>
      <c r="E291" s="22" t="s">
        <v>1028</v>
      </c>
      <c r="F291" s="22">
        <v>54</v>
      </c>
      <c r="G291" s="22">
        <v>3</v>
      </c>
      <c r="H291" s="22" t="s">
        <v>11</v>
      </c>
      <c r="I291" s="23"/>
    </row>
    <row r="292" spans="1:9">
      <c r="A292" s="22" t="s">
        <v>10</v>
      </c>
      <c r="B292" s="39" t="s">
        <v>1020</v>
      </c>
      <c r="C292" s="41" t="str">
        <f t="shared" si="4"/>
        <v>國語文-鑄造二乙</v>
      </c>
      <c r="D292" s="22" t="s">
        <v>1029</v>
      </c>
      <c r="E292" s="22" t="s">
        <v>1030</v>
      </c>
      <c r="F292" s="22">
        <v>49</v>
      </c>
      <c r="G292" s="22">
        <v>3</v>
      </c>
      <c r="H292" s="22" t="s">
        <v>11</v>
      </c>
      <c r="I292" s="23"/>
    </row>
    <row r="293" spans="1:9">
      <c r="A293" s="22" t="s">
        <v>10</v>
      </c>
      <c r="B293" s="39" t="s">
        <v>1020</v>
      </c>
      <c r="C293" s="41" t="str">
        <f t="shared" si="4"/>
        <v>國語文-鑄造二乙</v>
      </c>
      <c r="D293" s="22" t="s">
        <v>1031</v>
      </c>
      <c r="E293" s="22" t="s">
        <v>1032</v>
      </c>
      <c r="F293" s="22">
        <v>51</v>
      </c>
      <c r="G293" s="22">
        <v>3</v>
      </c>
      <c r="H293" s="22" t="s">
        <v>11</v>
      </c>
      <c r="I293" s="23"/>
    </row>
    <row r="294" spans="1:9">
      <c r="A294" s="22" t="s">
        <v>10</v>
      </c>
      <c r="B294" s="39" t="s">
        <v>1020</v>
      </c>
      <c r="C294" s="41" t="str">
        <f t="shared" si="4"/>
        <v>國語文-鑄造二乙</v>
      </c>
      <c r="D294" s="22" t="s">
        <v>1033</v>
      </c>
      <c r="E294" s="22" t="s">
        <v>1034</v>
      </c>
      <c r="F294" s="22">
        <v>40</v>
      </c>
      <c r="G294" s="22">
        <v>3</v>
      </c>
      <c r="H294" s="22" t="s">
        <v>11</v>
      </c>
      <c r="I294" s="23"/>
    </row>
    <row r="295" spans="1:9">
      <c r="A295" s="22" t="s">
        <v>10</v>
      </c>
      <c r="B295" s="39" t="s">
        <v>1064</v>
      </c>
      <c r="C295" s="41" t="str">
        <f t="shared" si="4"/>
        <v>國語文-鑄造二甲</v>
      </c>
      <c r="D295" s="22" t="s">
        <v>1065</v>
      </c>
      <c r="E295" s="22" t="s">
        <v>1066</v>
      </c>
      <c r="F295" s="22">
        <v>40</v>
      </c>
      <c r="G295" s="22">
        <v>3</v>
      </c>
      <c r="H295" s="22" t="s">
        <v>11</v>
      </c>
      <c r="I295" s="23"/>
    </row>
    <row r="296" spans="1:9">
      <c r="A296" s="22" t="s">
        <v>10</v>
      </c>
      <c r="B296" s="39" t="s">
        <v>1064</v>
      </c>
      <c r="C296" s="41" t="str">
        <f t="shared" si="4"/>
        <v>國語文-鑄造二甲</v>
      </c>
      <c r="D296" s="22" t="s">
        <v>1067</v>
      </c>
      <c r="E296" s="22" t="s">
        <v>1068</v>
      </c>
      <c r="F296" s="22">
        <v>57</v>
      </c>
      <c r="G296" s="22">
        <v>3</v>
      </c>
      <c r="H296" s="22" t="s">
        <v>11</v>
      </c>
      <c r="I296" s="23"/>
    </row>
    <row r="297" spans="1:9">
      <c r="A297" s="22" t="s">
        <v>10</v>
      </c>
      <c r="B297" s="39" t="s">
        <v>1064</v>
      </c>
      <c r="C297" s="41" t="str">
        <f t="shared" si="4"/>
        <v>國語文-鑄造二甲</v>
      </c>
      <c r="D297" s="22" t="s">
        <v>1069</v>
      </c>
      <c r="E297" s="22" t="s">
        <v>1070</v>
      </c>
      <c r="F297" s="22">
        <v>40</v>
      </c>
      <c r="G297" s="22">
        <v>3</v>
      </c>
      <c r="H297" s="22" t="s">
        <v>11</v>
      </c>
      <c r="I297" s="23"/>
    </row>
    <row r="298" spans="1:9">
      <c r="A298" s="22" t="s">
        <v>10</v>
      </c>
      <c r="B298" s="39" t="s">
        <v>1064</v>
      </c>
      <c r="C298" s="41" t="str">
        <f t="shared" si="4"/>
        <v>國語文-鑄造二甲</v>
      </c>
      <c r="D298" s="22" t="s">
        <v>1071</v>
      </c>
      <c r="E298" s="22" t="s">
        <v>1072</v>
      </c>
      <c r="F298" s="22">
        <v>55</v>
      </c>
      <c r="G298" s="22">
        <v>3</v>
      </c>
      <c r="H298" s="22" t="s">
        <v>11</v>
      </c>
      <c r="I298" s="23"/>
    </row>
    <row r="299" spans="1:9">
      <c r="A299" s="22" t="s">
        <v>10</v>
      </c>
      <c r="B299" s="39" t="s">
        <v>1064</v>
      </c>
      <c r="C299" s="41" t="str">
        <f t="shared" si="4"/>
        <v>國語文-鑄造二甲</v>
      </c>
      <c r="D299" s="22" t="s">
        <v>1073</v>
      </c>
      <c r="E299" s="22" t="s">
        <v>1074</v>
      </c>
      <c r="F299" s="22">
        <v>40</v>
      </c>
      <c r="G299" s="22">
        <v>3</v>
      </c>
      <c r="H299" s="22" t="s">
        <v>11</v>
      </c>
      <c r="I299" s="23"/>
    </row>
    <row r="300" spans="1:9">
      <c r="A300" s="22" t="s">
        <v>10</v>
      </c>
      <c r="B300" s="39" t="s">
        <v>1064</v>
      </c>
      <c r="C300" s="41" t="str">
        <f t="shared" si="4"/>
        <v>國語文-鑄造二甲</v>
      </c>
      <c r="D300" s="22" t="s">
        <v>1075</v>
      </c>
      <c r="E300" s="22" t="s">
        <v>1076</v>
      </c>
      <c r="F300" s="22">
        <v>40</v>
      </c>
      <c r="G300" s="22">
        <v>3</v>
      </c>
      <c r="H300" s="22" t="s">
        <v>11</v>
      </c>
      <c r="I300" s="23"/>
    </row>
    <row r="301" spans="1:9">
      <c r="A301" s="22" t="s">
        <v>10</v>
      </c>
      <c r="B301" s="39" t="s">
        <v>1064</v>
      </c>
      <c r="C301" s="41" t="str">
        <f t="shared" si="4"/>
        <v>國語文-鑄造二甲</v>
      </c>
      <c r="D301" s="22" t="s">
        <v>1077</v>
      </c>
      <c r="E301" s="22" t="s">
        <v>1078</v>
      </c>
      <c r="F301" s="22">
        <v>52</v>
      </c>
      <c r="G301" s="22">
        <v>3</v>
      </c>
      <c r="H301" s="22" t="s">
        <v>11</v>
      </c>
      <c r="I301" s="23"/>
    </row>
    <row r="302" spans="1:9">
      <c r="A302" s="22" t="s">
        <v>10</v>
      </c>
      <c r="B302" s="39" t="s">
        <v>1064</v>
      </c>
      <c r="C302" s="41" t="str">
        <f t="shared" si="4"/>
        <v>國語文-鑄造二甲</v>
      </c>
      <c r="D302" s="22" t="s">
        <v>1079</v>
      </c>
      <c r="E302" s="22" t="s">
        <v>1080</v>
      </c>
      <c r="F302" s="22">
        <v>40</v>
      </c>
      <c r="G302" s="22">
        <v>3</v>
      </c>
      <c r="H302" s="22" t="s">
        <v>11</v>
      </c>
      <c r="I302" s="23"/>
    </row>
    <row r="303" spans="1:9">
      <c r="A303" s="22" t="s">
        <v>10</v>
      </c>
      <c r="B303" s="39" t="s">
        <v>1064</v>
      </c>
      <c r="C303" s="41" t="str">
        <f t="shared" si="4"/>
        <v>國語文-鑄造二甲</v>
      </c>
      <c r="D303" s="22" t="s">
        <v>1081</v>
      </c>
      <c r="E303" s="22" t="s">
        <v>1082</v>
      </c>
      <c r="F303" s="22">
        <v>57</v>
      </c>
      <c r="G303" s="22">
        <v>3</v>
      </c>
      <c r="H303" s="22" t="s">
        <v>11</v>
      </c>
      <c r="I303" s="23"/>
    </row>
    <row r="304" spans="1:9">
      <c r="A304" s="49" t="s">
        <v>1948</v>
      </c>
      <c r="B304" s="39" t="s">
        <v>968</v>
      </c>
      <c r="C304" s="41" t="str">
        <f t="shared" si="4"/>
        <v>國語文6-體育二甲</v>
      </c>
      <c r="D304" s="22" t="s">
        <v>969</v>
      </c>
      <c r="E304" s="22" t="s">
        <v>970</v>
      </c>
      <c r="F304" s="22">
        <v>48</v>
      </c>
      <c r="G304" s="22">
        <v>3</v>
      </c>
      <c r="H304" s="22" t="s">
        <v>11</v>
      </c>
      <c r="I304" s="23"/>
    </row>
    <row r="305" spans="1:9">
      <c r="A305" s="22" t="s">
        <v>1695</v>
      </c>
      <c r="B305" s="39" t="s">
        <v>1083</v>
      </c>
      <c r="C305" s="41" t="str">
        <f t="shared" si="4"/>
        <v>電子學-資訊二甲</v>
      </c>
      <c r="D305" s="22" t="s">
        <v>1693</v>
      </c>
      <c r="E305" s="22" t="s">
        <v>1694</v>
      </c>
      <c r="F305" s="22">
        <v>54</v>
      </c>
      <c r="G305" s="22">
        <v>3</v>
      </c>
      <c r="H305" s="22" t="s">
        <v>11</v>
      </c>
      <c r="I305" s="23"/>
    </row>
    <row r="306" spans="1:9">
      <c r="A306" s="22" t="s">
        <v>1695</v>
      </c>
      <c r="B306" s="39" t="s">
        <v>1083</v>
      </c>
      <c r="C306" s="41" t="str">
        <f t="shared" si="4"/>
        <v>電子學-資訊二甲</v>
      </c>
      <c r="D306" s="22" t="s">
        <v>1696</v>
      </c>
      <c r="E306" s="22" t="s">
        <v>1697</v>
      </c>
      <c r="F306" s="22">
        <v>57</v>
      </c>
      <c r="G306" s="22">
        <v>3</v>
      </c>
      <c r="H306" s="22" t="s">
        <v>11</v>
      </c>
      <c r="I306" s="23"/>
    </row>
    <row r="307" spans="1:9">
      <c r="A307" s="22" t="s">
        <v>1695</v>
      </c>
      <c r="B307" s="39" t="s">
        <v>1083</v>
      </c>
      <c r="C307" s="41" t="str">
        <f t="shared" si="4"/>
        <v>電子學-資訊二甲</v>
      </c>
      <c r="D307" s="22" t="s">
        <v>1698</v>
      </c>
      <c r="E307" s="22" t="s">
        <v>1699</v>
      </c>
      <c r="F307" s="22">
        <v>58</v>
      </c>
      <c r="G307" s="22">
        <v>3</v>
      </c>
      <c r="H307" s="22" t="s">
        <v>11</v>
      </c>
      <c r="I307" s="23"/>
    </row>
    <row r="308" spans="1:9">
      <c r="A308" s="22" t="s">
        <v>1695</v>
      </c>
      <c r="B308" s="39" t="s">
        <v>1083</v>
      </c>
      <c r="C308" s="41" t="str">
        <f t="shared" si="4"/>
        <v>電子學-資訊二甲</v>
      </c>
      <c r="D308" s="22" t="s">
        <v>1700</v>
      </c>
      <c r="E308" s="22" t="s">
        <v>1701</v>
      </c>
      <c r="F308" s="22">
        <v>56</v>
      </c>
      <c r="G308" s="22">
        <v>3</v>
      </c>
      <c r="H308" s="22" t="s">
        <v>11</v>
      </c>
      <c r="I308" s="23"/>
    </row>
    <row r="309" spans="1:9">
      <c r="A309" s="22" t="s">
        <v>1695</v>
      </c>
      <c r="B309" s="39" t="s">
        <v>1083</v>
      </c>
      <c r="C309" s="41" t="str">
        <f t="shared" si="4"/>
        <v>電子學-資訊二甲</v>
      </c>
      <c r="D309" s="22" t="s">
        <v>1399</v>
      </c>
      <c r="E309" s="22" t="s">
        <v>954</v>
      </c>
      <c r="F309" s="22">
        <v>57</v>
      </c>
      <c r="G309" s="22">
        <v>3</v>
      </c>
      <c r="H309" s="22" t="s">
        <v>11</v>
      </c>
      <c r="I309" s="23"/>
    </row>
    <row r="310" spans="1:9">
      <c r="A310" s="22" t="s">
        <v>1695</v>
      </c>
      <c r="B310" s="39" t="s">
        <v>1083</v>
      </c>
      <c r="C310" s="41" t="str">
        <f t="shared" si="4"/>
        <v>電子學-資訊二甲</v>
      </c>
      <c r="D310" s="22" t="s">
        <v>1702</v>
      </c>
      <c r="E310" s="22" t="s">
        <v>1703</v>
      </c>
      <c r="F310" s="22">
        <v>51</v>
      </c>
      <c r="G310" s="22">
        <v>3</v>
      </c>
      <c r="H310" s="22" t="s">
        <v>11</v>
      </c>
      <c r="I310" s="23"/>
    </row>
    <row r="311" spans="1:9">
      <c r="A311" s="22" t="s">
        <v>1695</v>
      </c>
      <c r="B311" s="39" t="s">
        <v>1200</v>
      </c>
      <c r="C311" s="41" t="str">
        <f t="shared" ref="C311:C374" si="5">A311&amp;"-"&amp;B311</f>
        <v>電子學-電機二乙</v>
      </c>
      <c r="D311" s="22" t="s">
        <v>1595</v>
      </c>
      <c r="E311" s="22" t="s">
        <v>1596</v>
      </c>
      <c r="F311" s="22">
        <v>52</v>
      </c>
      <c r="G311" s="22">
        <v>3</v>
      </c>
      <c r="H311" s="22" t="s">
        <v>11</v>
      </c>
      <c r="I311" s="23"/>
    </row>
    <row r="312" spans="1:9">
      <c r="A312" s="22" t="s">
        <v>1695</v>
      </c>
      <c r="B312" s="39" t="s">
        <v>1200</v>
      </c>
      <c r="C312" s="41" t="str">
        <f t="shared" si="5"/>
        <v>電子學-電機二乙</v>
      </c>
      <c r="D312" s="22" t="s">
        <v>1441</v>
      </c>
      <c r="E312" s="22" t="s">
        <v>1442</v>
      </c>
      <c r="F312" s="22">
        <v>56</v>
      </c>
      <c r="G312" s="22">
        <v>3</v>
      </c>
      <c r="H312" s="22" t="s">
        <v>11</v>
      </c>
      <c r="I312" s="23"/>
    </row>
    <row r="313" spans="1:9">
      <c r="A313" s="22" t="s">
        <v>1695</v>
      </c>
      <c r="B313" s="39" t="s">
        <v>1200</v>
      </c>
      <c r="C313" s="41" t="str">
        <f t="shared" si="5"/>
        <v>電子學-電機二乙</v>
      </c>
      <c r="D313" s="22" t="s">
        <v>1201</v>
      </c>
      <c r="E313" s="22" t="s">
        <v>1202</v>
      </c>
      <c r="F313" s="22">
        <v>46</v>
      </c>
      <c r="G313" s="22">
        <v>3</v>
      </c>
      <c r="H313" s="22" t="s">
        <v>11</v>
      </c>
      <c r="I313" s="23"/>
    </row>
    <row r="314" spans="1:9">
      <c r="A314" s="22" t="s">
        <v>1695</v>
      </c>
      <c r="B314" s="39" t="s">
        <v>1200</v>
      </c>
      <c r="C314" s="41" t="str">
        <f t="shared" si="5"/>
        <v>電子學-電機二乙</v>
      </c>
      <c r="D314" s="22" t="s">
        <v>1203</v>
      </c>
      <c r="E314" s="22" t="s">
        <v>1204</v>
      </c>
      <c r="F314" s="22">
        <v>49</v>
      </c>
      <c r="G314" s="22">
        <v>3</v>
      </c>
      <c r="H314" s="22" t="s">
        <v>11</v>
      </c>
      <c r="I314" s="23"/>
    </row>
    <row r="315" spans="1:9">
      <c r="A315" s="22" t="s">
        <v>1695</v>
      </c>
      <c r="B315" s="39" t="s">
        <v>1200</v>
      </c>
      <c r="C315" s="41" t="str">
        <f t="shared" si="5"/>
        <v>電子學-電機二乙</v>
      </c>
      <c r="D315" s="22" t="s">
        <v>1211</v>
      </c>
      <c r="E315" s="22" t="s">
        <v>1212</v>
      </c>
      <c r="F315" s="22">
        <v>50</v>
      </c>
      <c r="G315" s="22">
        <v>3</v>
      </c>
      <c r="H315" s="22" t="s">
        <v>11</v>
      </c>
      <c r="I315" s="23"/>
    </row>
    <row r="316" spans="1:9">
      <c r="A316" s="22" t="s">
        <v>1695</v>
      </c>
      <c r="B316" s="39" t="s">
        <v>1200</v>
      </c>
      <c r="C316" s="41" t="str">
        <f t="shared" si="5"/>
        <v>電子學-電機二乙</v>
      </c>
      <c r="D316" s="22" t="s">
        <v>1301</v>
      </c>
      <c r="E316" s="22" t="s">
        <v>1302</v>
      </c>
      <c r="F316" s="22">
        <v>55</v>
      </c>
      <c r="G316" s="22">
        <v>3</v>
      </c>
      <c r="H316" s="22" t="s">
        <v>11</v>
      </c>
      <c r="I316" s="23"/>
    </row>
    <row r="317" spans="1:9">
      <c r="A317" s="22" t="s">
        <v>1695</v>
      </c>
      <c r="B317" s="39" t="s">
        <v>1184</v>
      </c>
      <c r="C317" s="41" t="str">
        <f t="shared" si="5"/>
        <v>電子學-電機二丙</v>
      </c>
      <c r="D317" s="22" t="s">
        <v>1704</v>
      </c>
      <c r="E317" s="22" t="s">
        <v>1705</v>
      </c>
      <c r="F317" s="22">
        <v>50</v>
      </c>
      <c r="G317" s="22">
        <v>3</v>
      </c>
      <c r="H317" s="22" t="s">
        <v>11</v>
      </c>
      <c r="I317" s="23"/>
    </row>
    <row r="318" spans="1:9">
      <c r="A318" s="22" t="s">
        <v>1695</v>
      </c>
      <c r="B318" s="39" t="s">
        <v>1184</v>
      </c>
      <c r="C318" s="41" t="str">
        <f t="shared" si="5"/>
        <v>電子學-電機二丙</v>
      </c>
      <c r="D318" s="22" t="s">
        <v>1570</v>
      </c>
      <c r="E318" s="22" t="s">
        <v>1571</v>
      </c>
      <c r="F318" s="22">
        <v>45</v>
      </c>
      <c r="G318" s="22">
        <v>3</v>
      </c>
      <c r="H318" s="22" t="s">
        <v>11</v>
      </c>
      <c r="I318" s="23"/>
    </row>
    <row r="319" spans="1:9">
      <c r="A319" s="22" t="s">
        <v>1695</v>
      </c>
      <c r="B319" s="39" t="s">
        <v>1184</v>
      </c>
      <c r="C319" s="41" t="str">
        <f t="shared" si="5"/>
        <v>電子學-電機二丙</v>
      </c>
      <c r="D319" s="22" t="s">
        <v>1185</v>
      </c>
      <c r="E319" s="22" t="s">
        <v>1186</v>
      </c>
      <c r="F319" s="22">
        <v>44</v>
      </c>
      <c r="G319" s="22">
        <v>3</v>
      </c>
      <c r="H319" s="22" t="s">
        <v>11</v>
      </c>
      <c r="I319" s="23"/>
    </row>
    <row r="320" spans="1:9">
      <c r="A320" s="22" t="s">
        <v>1695</v>
      </c>
      <c r="B320" s="39" t="s">
        <v>1184</v>
      </c>
      <c r="C320" s="41" t="str">
        <f t="shared" si="5"/>
        <v>電子學-電機二丙</v>
      </c>
      <c r="D320" s="22" t="s">
        <v>1521</v>
      </c>
      <c r="E320" s="22" t="s">
        <v>1522</v>
      </c>
      <c r="F320" s="22">
        <v>55</v>
      </c>
      <c r="G320" s="22">
        <v>3</v>
      </c>
      <c r="H320" s="22" t="s">
        <v>11</v>
      </c>
      <c r="I320" s="23"/>
    </row>
    <row r="321" spans="1:9">
      <c r="A321" s="22" t="s">
        <v>1695</v>
      </c>
      <c r="B321" s="39" t="s">
        <v>1184</v>
      </c>
      <c r="C321" s="41" t="str">
        <f t="shared" si="5"/>
        <v>電子學-電機二丙</v>
      </c>
      <c r="D321" s="22" t="s">
        <v>1706</v>
      </c>
      <c r="E321" s="22" t="s">
        <v>1707</v>
      </c>
      <c r="F321" s="22">
        <v>41</v>
      </c>
      <c r="G321" s="22">
        <v>3</v>
      </c>
      <c r="H321" s="22" t="s">
        <v>11</v>
      </c>
      <c r="I321" s="23"/>
    </row>
    <row r="322" spans="1:9">
      <c r="A322" s="22" t="s">
        <v>1695</v>
      </c>
      <c r="B322" s="39" t="s">
        <v>1184</v>
      </c>
      <c r="C322" s="41" t="str">
        <f t="shared" si="5"/>
        <v>電子學-電機二丙</v>
      </c>
      <c r="D322" s="22" t="s">
        <v>1189</v>
      </c>
      <c r="E322" s="22" t="s">
        <v>1190</v>
      </c>
      <c r="F322" s="22">
        <v>44</v>
      </c>
      <c r="G322" s="22">
        <v>3</v>
      </c>
      <c r="H322" s="22" t="s">
        <v>11</v>
      </c>
      <c r="I322" s="23"/>
    </row>
    <row r="323" spans="1:9">
      <c r="A323" s="22" t="s">
        <v>1695</v>
      </c>
      <c r="B323" s="39" t="s">
        <v>1184</v>
      </c>
      <c r="C323" s="41" t="str">
        <f t="shared" si="5"/>
        <v>電子學-電機二丙</v>
      </c>
      <c r="D323" s="22" t="s">
        <v>1708</v>
      </c>
      <c r="E323" s="22" t="s">
        <v>1709</v>
      </c>
      <c r="F323" s="22">
        <v>55</v>
      </c>
      <c r="G323" s="22">
        <v>3</v>
      </c>
      <c r="H323" s="22" t="s">
        <v>11</v>
      </c>
      <c r="I323" s="23"/>
    </row>
    <row r="324" spans="1:9">
      <c r="A324" s="22" t="s">
        <v>1695</v>
      </c>
      <c r="B324" s="39" t="s">
        <v>1184</v>
      </c>
      <c r="C324" s="41" t="str">
        <f t="shared" si="5"/>
        <v>電子學-電機二丙</v>
      </c>
      <c r="D324" s="22" t="s">
        <v>1710</v>
      </c>
      <c r="E324" s="22" t="s">
        <v>1711</v>
      </c>
      <c r="F324" s="22">
        <v>58</v>
      </c>
      <c r="G324" s="22">
        <v>3</v>
      </c>
      <c r="H324" s="22" t="s">
        <v>11</v>
      </c>
      <c r="I324" s="23"/>
    </row>
    <row r="325" spans="1:9">
      <c r="A325" s="22" t="s">
        <v>1695</v>
      </c>
      <c r="B325" s="39" t="s">
        <v>1184</v>
      </c>
      <c r="C325" s="41" t="str">
        <f t="shared" si="5"/>
        <v>電子學-電機二丙</v>
      </c>
      <c r="D325" s="22" t="s">
        <v>1712</v>
      </c>
      <c r="E325" s="22" t="s">
        <v>1713</v>
      </c>
      <c r="F325" s="22">
        <v>50</v>
      </c>
      <c r="G325" s="22">
        <v>3</v>
      </c>
      <c r="H325" s="22" t="s">
        <v>11</v>
      </c>
      <c r="I325" s="23"/>
    </row>
    <row r="326" spans="1:9">
      <c r="A326" s="22" t="s">
        <v>1695</v>
      </c>
      <c r="B326" s="39" t="s">
        <v>1184</v>
      </c>
      <c r="C326" s="41" t="str">
        <f t="shared" si="5"/>
        <v>電子學-電機二丙</v>
      </c>
      <c r="D326" s="22" t="s">
        <v>1714</v>
      </c>
      <c r="E326" s="22" t="s">
        <v>1715</v>
      </c>
      <c r="F326" s="22">
        <v>49</v>
      </c>
      <c r="G326" s="22">
        <v>3</v>
      </c>
      <c r="H326" s="22" t="s">
        <v>11</v>
      </c>
      <c r="I326" s="23"/>
    </row>
    <row r="327" spans="1:9">
      <c r="A327" s="22" t="s">
        <v>1695</v>
      </c>
      <c r="B327" s="39" t="s">
        <v>1184</v>
      </c>
      <c r="C327" s="41" t="str">
        <f t="shared" si="5"/>
        <v>電子學-電機二丙</v>
      </c>
      <c r="D327" s="22" t="s">
        <v>1716</v>
      </c>
      <c r="E327" s="22" t="s">
        <v>1717</v>
      </c>
      <c r="F327" s="22">
        <v>50</v>
      </c>
      <c r="G327" s="22">
        <v>3</v>
      </c>
      <c r="H327" s="22" t="s">
        <v>11</v>
      </c>
      <c r="I327" s="23"/>
    </row>
    <row r="328" spans="1:9">
      <c r="A328" s="22" t="s">
        <v>1695</v>
      </c>
      <c r="B328" s="39" t="s">
        <v>1184</v>
      </c>
      <c r="C328" s="41" t="str">
        <f t="shared" si="5"/>
        <v>電子學-電機二丙</v>
      </c>
      <c r="D328" s="22" t="s">
        <v>1393</v>
      </c>
      <c r="E328" s="22" t="s">
        <v>1394</v>
      </c>
      <c r="F328" s="22">
        <v>48</v>
      </c>
      <c r="G328" s="22">
        <v>3</v>
      </c>
      <c r="H328" s="22" t="s">
        <v>11</v>
      </c>
      <c r="I328" s="23"/>
    </row>
    <row r="329" spans="1:9">
      <c r="A329" s="22" t="s">
        <v>1695</v>
      </c>
      <c r="B329" s="39" t="s">
        <v>1054</v>
      </c>
      <c r="C329" s="41" t="str">
        <f t="shared" si="5"/>
        <v>電子學-電機二甲</v>
      </c>
      <c r="D329" s="22" t="s">
        <v>1483</v>
      </c>
      <c r="E329" s="22" t="s">
        <v>1484</v>
      </c>
      <c r="F329" s="22">
        <v>40</v>
      </c>
      <c r="G329" s="22">
        <v>3</v>
      </c>
      <c r="H329" s="22" t="s">
        <v>11</v>
      </c>
      <c r="I329" s="23"/>
    </row>
    <row r="330" spans="1:9">
      <c r="A330" s="22" t="s">
        <v>1695</v>
      </c>
      <c r="B330" s="39" t="s">
        <v>1054</v>
      </c>
      <c r="C330" s="41" t="str">
        <f t="shared" si="5"/>
        <v>電子學-電機二甲</v>
      </c>
      <c r="D330" s="22" t="s">
        <v>1718</v>
      </c>
      <c r="E330" s="22" t="s">
        <v>1719</v>
      </c>
      <c r="F330" s="22">
        <v>40</v>
      </c>
      <c r="G330" s="22">
        <v>3</v>
      </c>
      <c r="H330" s="22" t="s">
        <v>11</v>
      </c>
      <c r="I330" s="23"/>
    </row>
    <row r="331" spans="1:9">
      <c r="A331" s="22" t="s">
        <v>1695</v>
      </c>
      <c r="B331" s="39" t="s">
        <v>1054</v>
      </c>
      <c r="C331" s="41" t="str">
        <f t="shared" si="5"/>
        <v>電子學-電機二甲</v>
      </c>
      <c r="D331" s="22" t="s">
        <v>1369</v>
      </c>
      <c r="E331" s="22" t="s">
        <v>1370</v>
      </c>
      <c r="F331" s="22">
        <v>58</v>
      </c>
      <c r="G331" s="22">
        <v>3</v>
      </c>
      <c r="H331" s="22" t="s">
        <v>11</v>
      </c>
      <c r="I331" s="23"/>
    </row>
    <row r="332" spans="1:9">
      <c r="A332" s="22" t="s">
        <v>1695</v>
      </c>
      <c r="B332" s="39" t="s">
        <v>1054</v>
      </c>
      <c r="C332" s="41" t="str">
        <f t="shared" si="5"/>
        <v>電子學-電機二甲</v>
      </c>
      <c r="D332" s="22" t="s">
        <v>1371</v>
      </c>
      <c r="E332" s="22" t="s">
        <v>1372</v>
      </c>
      <c r="F332" s="22">
        <v>41</v>
      </c>
      <c r="G332" s="22">
        <v>3</v>
      </c>
      <c r="H332" s="22" t="s">
        <v>11</v>
      </c>
      <c r="I332" s="23"/>
    </row>
    <row r="333" spans="1:9">
      <c r="A333" s="22" t="s">
        <v>1695</v>
      </c>
      <c r="B333" s="39" t="s">
        <v>1054</v>
      </c>
      <c r="C333" s="41" t="str">
        <f t="shared" si="5"/>
        <v>電子學-電機二甲</v>
      </c>
      <c r="D333" s="22" t="s">
        <v>1720</v>
      </c>
      <c r="E333" s="22" t="s">
        <v>1600</v>
      </c>
      <c r="F333" s="22">
        <v>56</v>
      </c>
      <c r="G333" s="22">
        <v>3</v>
      </c>
      <c r="H333" s="22" t="s">
        <v>11</v>
      </c>
      <c r="I333" s="23"/>
    </row>
    <row r="334" spans="1:9">
      <c r="A334" s="22" t="s">
        <v>1695</v>
      </c>
      <c r="B334" s="39" t="s">
        <v>1054</v>
      </c>
      <c r="C334" s="41" t="str">
        <f t="shared" si="5"/>
        <v>電子學-電機二甲</v>
      </c>
      <c r="D334" s="22" t="s">
        <v>1375</v>
      </c>
      <c r="E334" s="22" t="s">
        <v>1376</v>
      </c>
      <c r="F334" s="22">
        <v>53</v>
      </c>
      <c r="G334" s="22">
        <v>3</v>
      </c>
      <c r="H334" s="22" t="s">
        <v>11</v>
      </c>
      <c r="I334" s="23"/>
    </row>
    <row r="335" spans="1:9">
      <c r="A335" s="22" t="s">
        <v>1695</v>
      </c>
      <c r="B335" s="39" t="s">
        <v>1054</v>
      </c>
      <c r="C335" s="41" t="str">
        <f t="shared" si="5"/>
        <v>電子學-電機二甲</v>
      </c>
      <c r="D335" s="22" t="s">
        <v>1721</v>
      </c>
      <c r="E335" s="22" t="s">
        <v>1722</v>
      </c>
      <c r="F335" s="22">
        <v>47</v>
      </c>
      <c r="G335" s="22">
        <v>3</v>
      </c>
      <c r="H335" s="22" t="s">
        <v>11</v>
      </c>
      <c r="I335" s="23"/>
    </row>
    <row r="336" spans="1:9">
      <c r="A336" s="22" t="s">
        <v>1695</v>
      </c>
      <c r="B336" s="39" t="s">
        <v>1054</v>
      </c>
      <c r="C336" s="41" t="str">
        <f t="shared" si="5"/>
        <v>電子學-電機二甲</v>
      </c>
      <c r="D336" s="22" t="s">
        <v>1377</v>
      </c>
      <c r="E336" s="22" t="s">
        <v>1378</v>
      </c>
      <c r="F336" s="22">
        <v>56</v>
      </c>
      <c r="G336" s="22">
        <v>3</v>
      </c>
      <c r="H336" s="22" t="s">
        <v>11</v>
      </c>
      <c r="I336" s="23"/>
    </row>
    <row r="337" spans="1:9">
      <c r="A337" s="22" t="s">
        <v>1695</v>
      </c>
      <c r="B337" s="39" t="s">
        <v>1054</v>
      </c>
      <c r="C337" s="41" t="str">
        <f t="shared" si="5"/>
        <v>電子學-電機二甲</v>
      </c>
      <c r="D337" s="22" t="s">
        <v>1057</v>
      </c>
      <c r="E337" s="22" t="s">
        <v>1058</v>
      </c>
      <c r="F337" s="22">
        <v>51</v>
      </c>
      <c r="G337" s="22">
        <v>3</v>
      </c>
      <c r="H337" s="22" t="s">
        <v>11</v>
      </c>
      <c r="I337" s="23"/>
    </row>
    <row r="338" spans="1:9">
      <c r="A338" s="22" t="s">
        <v>1695</v>
      </c>
      <c r="B338" s="39" t="s">
        <v>1054</v>
      </c>
      <c r="C338" s="41" t="str">
        <f t="shared" si="5"/>
        <v>電子學-電機二甲</v>
      </c>
      <c r="D338" s="22" t="s">
        <v>1723</v>
      </c>
      <c r="E338" s="22" t="s">
        <v>1724</v>
      </c>
      <c r="F338" s="22">
        <v>41</v>
      </c>
      <c r="G338" s="22">
        <v>3</v>
      </c>
      <c r="H338" s="22" t="s">
        <v>11</v>
      </c>
      <c r="I338" s="23"/>
    </row>
    <row r="339" spans="1:9">
      <c r="A339" s="22" t="s">
        <v>1695</v>
      </c>
      <c r="B339" s="39" t="s">
        <v>1054</v>
      </c>
      <c r="C339" s="41" t="str">
        <f t="shared" si="5"/>
        <v>電子學-電機二甲</v>
      </c>
      <c r="D339" s="22" t="s">
        <v>1381</v>
      </c>
      <c r="E339" s="22" t="s">
        <v>1382</v>
      </c>
      <c r="F339" s="22">
        <v>46</v>
      </c>
      <c r="G339" s="22">
        <v>3</v>
      </c>
      <c r="H339" s="22" t="s">
        <v>11</v>
      </c>
      <c r="I339" s="23"/>
    </row>
    <row r="340" spans="1:9">
      <c r="A340" s="22" t="s">
        <v>1695</v>
      </c>
      <c r="B340" s="39" t="s">
        <v>1054</v>
      </c>
      <c r="C340" s="41" t="str">
        <f t="shared" si="5"/>
        <v>電子學-電機二甲</v>
      </c>
      <c r="D340" s="22" t="s">
        <v>1725</v>
      </c>
      <c r="E340" s="22" t="s">
        <v>1726</v>
      </c>
      <c r="F340" s="22">
        <v>45</v>
      </c>
      <c r="G340" s="22">
        <v>3</v>
      </c>
      <c r="H340" s="22" t="s">
        <v>11</v>
      </c>
      <c r="I340" s="23"/>
    </row>
    <row r="341" spans="1:9">
      <c r="A341" s="22" t="s">
        <v>1695</v>
      </c>
      <c r="B341" s="39" t="s">
        <v>1054</v>
      </c>
      <c r="C341" s="41" t="str">
        <f t="shared" si="5"/>
        <v>電子學-電機二甲</v>
      </c>
      <c r="D341" s="22" t="s">
        <v>1383</v>
      </c>
      <c r="E341" s="22" t="s">
        <v>1384</v>
      </c>
      <c r="F341" s="22">
        <v>51</v>
      </c>
      <c r="G341" s="22">
        <v>3</v>
      </c>
      <c r="H341" s="22" t="s">
        <v>11</v>
      </c>
      <c r="I341" s="23"/>
    </row>
    <row r="342" spans="1:9">
      <c r="A342" s="22" t="s">
        <v>1695</v>
      </c>
      <c r="B342" s="39" t="s">
        <v>1054</v>
      </c>
      <c r="C342" s="41" t="str">
        <f t="shared" si="5"/>
        <v>電子學-電機二甲</v>
      </c>
      <c r="D342" s="22" t="s">
        <v>1459</v>
      </c>
      <c r="E342" s="22" t="s">
        <v>1460</v>
      </c>
      <c r="F342" s="22">
        <v>49</v>
      </c>
      <c r="G342" s="22">
        <v>3</v>
      </c>
      <c r="H342" s="22" t="s">
        <v>11</v>
      </c>
      <c r="I342" s="23"/>
    </row>
    <row r="343" spans="1:9">
      <c r="A343" s="22" t="s">
        <v>1727</v>
      </c>
      <c r="B343" s="39" t="s">
        <v>1200</v>
      </c>
      <c r="C343" s="41" t="str">
        <f t="shared" si="5"/>
        <v>電工機械-電機二乙</v>
      </c>
      <c r="D343" s="22" t="s">
        <v>1595</v>
      </c>
      <c r="E343" s="22" t="s">
        <v>1596</v>
      </c>
      <c r="F343" s="22">
        <v>44</v>
      </c>
      <c r="G343" s="22">
        <v>3</v>
      </c>
      <c r="H343" s="22" t="s">
        <v>11</v>
      </c>
      <c r="I343" s="23"/>
    </row>
    <row r="344" spans="1:9">
      <c r="A344" s="22" t="s">
        <v>1727</v>
      </c>
      <c r="B344" s="39" t="s">
        <v>1200</v>
      </c>
      <c r="C344" s="41" t="str">
        <f t="shared" si="5"/>
        <v>電工機械-電機二乙</v>
      </c>
      <c r="D344" s="22" t="s">
        <v>1205</v>
      </c>
      <c r="E344" s="22" t="s">
        <v>1206</v>
      </c>
      <c r="F344" s="22">
        <v>54</v>
      </c>
      <c r="G344" s="22">
        <v>3</v>
      </c>
      <c r="H344" s="22" t="s">
        <v>11</v>
      </c>
      <c r="I344" s="23"/>
    </row>
    <row r="345" spans="1:9">
      <c r="A345" s="22" t="s">
        <v>1727</v>
      </c>
      <c r="B345" s="39" t="s">
        <v>1200</v>
      </c>
      <c r="C345" s="41" t="str">
        <f t="shared" si="5"/>
        <v>電工機械-電機二乙</v>
      </c>
      <c r="D345" s="22" t="s">
        <v>1207</v>
      </c>
      <c r="E345" s="22" t="s">
        <v>1208</v>
      </c>
      <c r="F345" s="22">
        <v>50</v>
      </c>
      <c r="G345" s="22">
        <v>3</v>
      </c>
      <c r="H345" s="22" t="s">
        <v>11</v>
      </c>
      <c r="I345" s="23"/>
    </row>
    <row r="346" spans="1:9">
      <c r="A346" s="22" t="s">
        <v>1727</v>
      </c>
      <c r="B346" s="39" t="s">
        <v>1200</v>
      </c>
      <c r="C346" s="41" t="str">
        <f t="shared" si="5"/>
        <v>電工機械-電機二乙</v>
      </c>
      <c r="D346" s="22" t="s">
        <v>1728</v>
      </c>
      <c r="E346" s="22" t="s">
        <v>1729</v>
      </c>
      <c r="F346" s="22">
        <v>53</v>
      </c>
      <c r="G346" s="22">
        <v>3</v>
      </c>
      <c r="H346" s="22" t="s">
        <v>11</v>
      </c>
      <c r="I346" s="23"/>
    </row>
    <row r="347" spans="1:9">
      <c r="A347" s="22" t="s">
        <v>1727</v>
      </c>
      <c r="B347" s="39" t="s">
        <v>1200</v>
      </c>
      <c r="C347" s="41" t="str">
        <f t="shared" si="5"/>
        <v>電工機械-電機二乙</v>
      </c>
      <c r="D347" s="22" t="s">
        <v>1301</v>
      </c>
      <c r="E347" s="22" t="s">
        <v>1302</v>
      </c>
      <c r="F347" s="22">
        <v>52</v>
      </c>
      <c r="G347" s="22">
        <v>3</v>
      </c>
      <c r="H347" s="22" t="s">
        <v>11</v>
      </c>
      <c r="I347" s="23"/>
    </row>
    <row r="348" spans="1:9">
      <c r="A348" s="22" t="s">
        <v>1727</v>
      </c>
      <c r="B348" s="39" t="s">
        <v>1200</v>
      </c>
      <c r="C348" s="41" t="str">
        <f t="shared" si="5"/>
        <v>電工機械-電機二乙</v>
      </c>
      <c r="D348" s="22" t="s">
        <v>1730</v>
      </c>
      <c r="E348" s="22" t="s">
        <v>1731</v>
      </c>
      <c r="F348" s="22">
        <v>50</v>
      </c>
      <c r="G348" s="22">
        <v>3</v>
      </c>
      <c r="H348" s="22" t="s">
        <v>11</v>
      </c>
      <c r="I348" s="23"/>
    </row>
    <row r="349" spans="1:9">
      <c r="A349" s="22" t="s">
        <v>1727</v>
      </c>
      <c r="B349" s="39" t="s">
        <v>1184</v>
      </c>
      <c r="C349" s="41" t="str">
        <f t="shared" si="5"/>
        <v>電工機械-電機二丙</v>
      </c>
      <c r="D349" s="22" t="s">
        <v>1570</v>
      </c>
      <c r="E349" s="22" t="s">
        <v>1571</v>
      </c>
      <c r="F349" s="22">
        <v>40</v>
      </c>
      <c r="G349" s="22">
        <v>3</v>
      </c>
      <c r="H349" s="22" t="s">
        <v>11</v>
      </c>
      <c r="I349" s="23"/>
    </row>
    <row r="350" spans="1:9">
      <c r="A350" s="22" t="s">
        <v>1727</v>
      </c>
      <c r="B350" s="39" t="s">
        <v>1184</v>
      </c>
      <c r="C350" s="41" t="str">
        <f t="shared" si="5"/>
        <v>電工機械-電機二丙</v>
      </c>
      <c r="D350" s="22" t="s">
        <v>1387</v>
      </c>
      <c r="E350" s="22" t="s">
        <v>1388</v>
      </c>
      <c r="F350" s="22">
        <v>48</v>
      </c>
      <c r="G350" s="22">
        <v>3</v>
      </c>
      <c r="H350" s="22" t="s">
        <v>11</v>
      </c>
      <c r="I350" s="23"/>
    </row>
    <row r="351" spans="1:9">
      <c r="A351" s="22" t="s">
        <v>1727</v>
      </c>
      <c r="B351" s="39" t="s">
        <v>1184</v>
      </c>
      <c r="C351" s="41" t="str">
        <f t="shared" si="5"/>
        <v>電工機械-電機二丙</v>
      </c>
      <c r="D351" s="22" t="s">
        <v>1389</v>
      </c>
      <c r="E351" s="22" t="s">
        <v>1390</v>
      </c>
      <c r="F351" s="22">
        <v>48</v>
      </c>
      <c r="G351" s="22">
        <v>3</v>
      </c>
      <c r="H351" s="22" t="s">
        <v>11</v>
      </c>
      <c r="I351" s="23"/>
    </row>
    <row r="352" spans="1:9">
      <c r="A352" s="22" t="s">
        <v>1727</v>
      </c>
      <c r="B352" s="39" t="s">
        <v>1184</v>
      </c>
      <c r="C352" s="41" t="str">
        <f t="shared" si="5"/>
        <v>電工機械-電機二丙</v>
      </c>
      <c r="D352" s="22" t="s">
        <v>1517</v>
      </c>
      <c r="E352" s="22" t="s">
        <v>1518</v>
      </c>
      <c r="F352" s="22">
        <v>40</v>
      </c>
      <c r="G352" s="22">
        <v>3</v>
      </c>
      <c r="H352" s="22" t="s">
        <v>11</v>
      </c>
      <c r="I352" s="23"/>
    </row>
    <row r="353" spans="1:9">
      <c r="A353" s="22" t="s">
        <v>1727</v>
      </c>
      <c r="B353" s="39" t="s">
        <v>1184</v>
      </c>
      <c r="C353" s="41" t="str">
        <f t="shared" si="5"/>
        <v>電工機械-電機二丙</v>
      </c>
      <c r="D353" s="22" t="s">
        <v>1519</v>
      </c>
      <c r="E353" s="22" t="s">
        <v>1520</v>
      </c>
      <c r="F353" s="22">
        <v>46</v>
      </c>
      <c r="G353" s="22">
        <v>3</v>
      </c>
      <c r="H353" s="22" t="s">
        <v>11</v>
      </c>
      <c r="I353" s="23"/>
    </row>
    <row r="354" spans="1:9">
      <c r="A354" s="22" t="s">
        <v>1727</v>
      </c>
      <c r="B354" s="39" t="s">
        <v>1184</v>
      </c>
      <c r="C354" s="41" t="str">
        <f t="shared" si="5"/>
        <v>電工機械-電機二丙</v>
      </c>
      <c r="D354" s="22" t="s">
        <v>1185</v>
      </c>
      <c r="E354" s="22" t="s">
        <v>1186</v>
      </c>
      <c r="F354" s="22">
        <v>52</v>
      </c>
      <c r="G354" s="22">
        <v>3</v>
      </c>
      <c r="H354" s="22" t="s">
        <v>11</v>
      </c>
      <c r="I354" s="23"/>
    </row>
    <row r="355" spans="1:9">
      <c r="A355" s="22" t="s">
        <v>1727</v>
      </c>
      <c r="B355" s="39" t="s">
        <v>1184</v>
      </c>
      <c r="C355" s="41" t="str">
        <f t="shared" si="5"/>
        <v>電工機械-電機二丙</v>
      </c>
      <c r="D355" s="22" t="s">
        <v>1521</v>
      </c>
      <c r="E355" s="22" t="s">
        <v>1522</v>
      </c>
      <c r="F355" s="22">
        <v>47</v>
      </c>
      <c r="G355" s="22">
        <v>3</v>
      </c>
      <c r="H355" s="22" t="s">
        <v>11</v>
      </c>
      <c r="I355" s="23"/>
    </row>
    <row r="356" spans="1:9">
      <c r="A356" s="22" t="s">
        <v>1727</v>
      </c>
      <c r="B356" s="39" t="s">
        <v>1184</v>
      </c>
      <c r="C356" s="41" t="str">
        <f t="shared" si="5"/>
        <v>電工機械-電機二丙</v>
      </c>
      <c r="D356" s="22" t="s">
        <v>1391</v>
      </c>
      <c r="E356" s="22" t="s">
        <v>1392</v>
      </c>
      <c r="F356" s="22">
        <v>40</v>
      </c>
      <c r="G356" s="22">
        <v>3</v>
      </c>
      <c r="H356" s="22" t="s">
        <v>11</v>
      </c>
      <c r="I356" s="23"/>
    </row>
    <row r="357" spans="1:9">
      <c r="A357" s="22" t="s">
        <v>1727</v>
      </c>
      <c r="B357" s="39" t="s">
        <v>1184</v>
      </c>
      <c r="C357" s="41" t="str">
        <f t="shared" si="5"/>
        <v>電工機械-電機二丙</v>
      </c>
      <c r="D357" s="22" t="s">
        <v>1732</v>
      </c>
      <c r="E357" s="22" t="s">
        <v>1733</v>
      </c>
      <c r="F357" s="22">
        <v>49</v>
      </c>
      <c r="G357" s="22">
        <v>3</v>
      </c>
      <c r="H357" s="22" t="s">
        <v>11</v>
      </c>
      <c r="I357" s="23"/>
    </row>
    <row r="358" spans="1:9">
      <c r="A358" s="22" t="s">
        <v>1727</v>
      </c>
      <c r="B358" s="39" t="s">
        <v>1184</v>
      </c>
      <c r="C358" s="41" t="str">
        <f t="shared" si="5"/>
        <v>電工機械-電機二丙</v>
      </c>
      <c r="D358" s="22" t="s">
        <v>1523</v>
      </c>
      <c r="E358" s="22" t="s">
        <v>1524</v>
      </c>
      <c r="F358" s="22">
        <v>40</v>
      </c>
      <c r="G358" s="22">
        <v>3</v>
      </c>
      <c r="H358" s="22" t="s">
        <v>11</v>
      </c>
      <c r="I358" s="23"/>
    </row>
    <row r="359" spans="1:9">
      <c r="A359" s="22" t="s">
        <v>1727</v>
      </c>
      <c r="B359" s="39" t="s">
        <v>1184</v>
      </c>
      <c r="C359" s="41" t="str">
        <f t="shared" si="5"/>
        <v>電工機械-電機二丙</v>
      </c>
      <c r="D359" s="22" t="s">
        <v>1461</v>
      </c>
      <c r="E359" s="22" t="s">
        <v>1462</v>
      </c>
      <c r="F359" s="22">
        <v>50</v>
      </c>
      <c r="G359" s="22">
        <v>3</v>
      </c>
      <c r="H359" s="22" t="s">
        <v>11</v>
      </c>
      <c r="I359" s="23"/>
    </row>
    <row r="360" spans="1:9">
      <c r="A360" s="22" t="s">
        <v>1727</v>
      </c>
      <c r="B360" s="39" t="s">
        <v>1054</v>
      </c>
      <c r="C360" s="41" t="str">
        <f t="shared" si="5"/>
        <v>電工機械-電機二甲</v>
      </c>
      <c r="D360" s="22" t="s">
        <v>1483</v>
      </c>
      <c r="E360" s="22" t="s">
        <v>1484</v>
      </c>
      <c r="F360" s="22">
        <v>40</v>
      </c>
      <c r="G360" s="22">
        <v>3</v>
      </c>
      <c r="H360" s="22" t="s">
        <v>11</v>
      </c>
      <c r="I360" s="23"/>
    </row>
    <row r="361" spans="1:9">
      <c r="A361" s="22" t="s">
        <v>1727</v>
      </c>
      <c r="B361" s="39" t="s">
        <v>1054</v>
      </c>
      <c r="C361" s="41" t="str">
        <f t="shared" si="5"/>
        <v>電工機械-電機二甲</v>
      </c>
      <c r="D361" s="22" t="s">
        <v>1375</v>
      </c>
      <c r="E361" s="22" t="s">
        <v>1376</v>
      </c>
      <c r="F361" s="22">
        <v>50</v>
      </c>
      <c r="G361" s="22">
        <v>3</v>
      </c>
      <c r="H361" s="22" t="s">
        <v>11</v>
      </c>
      <c r="I361" s="23"/>
    </row>
    <row r="362" spans="1:9">
      <c r="A362" s="22" t="s">
        <v>1727</v>
      </c>
      <c r="B362" s="39" t="s">
        <v>1054</v>
      </c>
      <c r="C362" s="41" t="str">
        <f t="shared" si="5"/>
        <v>電工機械-電機二甲</v>
      </c>
      <c r="D362" s="22" t="s">
        <v>1593</v>
      </c>
      <c r="E362" s="22" t="s">
        <v>1594</v>
      </c>
      <c r="F362" s="22">
        <v>46</v>
      </c>
      <c r="G362" s="22">
        <v>3</v>
      </c>
      <c r="H362" s="22" t="s">
        <v>11</v>
      </c>
      <c r="I362" s="23"/>
    </row>
    <row r="363" spans="1:9">
      <c r="A363" s="22" t="s">
        <v>1727</v>
      </c>
      <c r="B363" s="39" t="s">
        <v>1054</v>
      </c>
      <c r="C363" s="41" t="str">
        <f t="shared" si="5"/>
        <v>電工機械-電機二甲</v>
      </c>
      <c r="D363" s="22" t="s">
        <v>1379</v>
      </c>
      <c r="E363" s="22" t="s">
        <v>1380</v>
      </c>
      <c r="F363" s="22">
        <v>40</v>
      </c>
      <c r="G363" s="22">
        <v>3</v>
      </c>
      <c r="H363" s="22" t="s">
        <v>11</v>
      </c>
      <c r="I363" s="23"/>
    </row>
    <row r="364" spans="1:9">
      <c r="A364" s="22" t="s">
        <v>1727</v>
      </c>
      <c r="B364" s="39" t="s">
        <v>1054</v>
      </c>
      <c r="C364" s="41" t="str">
        <f t="shared" si="5"/>
        <v>電工機械-電機二甲</v>
      </c>
      <c r="D364" s="22" t="s">
        <v>1459</v>
      </c>
      <c r="E364" s="22" t="s">
        <v>1460</v>
      </c>
      <c r="F364" s="22">
        <v>55</v>
      </c>
      <c r="G364" s="22">
        <v>3</v>
      </c>
      <c r="H364" s="22" t="s">
        <v>11</v>
      </c>
      <c r="I364" s="23"/>
    </row>
    <row r="365" spans="1:9">
      <c r="A365" s="22" t="s">
        <v>1727</v>
      </c>
      <c r="B365" s="39" t="s">
        <v>1054</v>
      </c>
      <c r="C365" s="41" t="str">
        <f t="shared" si="5"/>
        <v>電工機械-電機二甲</v>
      </c>
      <c r="D365" s="22" t="s">
        <v>1385</v>
      </c>
      <c r="E365" s="22" t="s">
        <v>1386</v>
      </c>
      <c r="F365" s="22">
        <v>40</v>
      </c>
      <c r="G365" s="22">
        <v>3</v>
      </c>
      <c r="H365" s="22" t="s">
        <v>11</v>
      </c>
      <c r="I365" s="23"/>
    </row>
    <row r="366" spans="1:9">
      <c r="A366" s="49" t="s">
        <v>1888</v>
      </c>
      <c r="B366" s="39" t="s">
        <v>1144</v>
      </c>
      <c r="C366" s="41" t="str">
        <f t="shared" si="5"/>
        <v>數學4-汽車二乙</v>
      </c>
      <c r="D366" s="22" t="s">
        <v>1153</v>
      </c>
      <c r="E366" s="22" t="s">
        <v>1154</v>
      </c>
      <c r="F366" s="22">
        <v>59</v>
      </c>
      <c r="G366" s="22">
        <v>4</v>
      </c>
      <c r="H366" s="22" t="s">
        <v>11</v>
      </c>
      <c r="I366" s="23"/>
    </row>
    <row r="367" spans="1:9">
      <c r="A367" s="49" t="s">
        <v>1888</v>
      </c>
      <c r="B367" s="39" t="s">
        <v>1144</v>
      </c>
      <c r="C367" s="41" t="str">
        <f t="shared" si="5"/>
        <v>數學4-汽車二乙</v>
      </c>
      <c r="D367" s="22" t="s">
        <v>1357</v>
      </c>
      <c r="E367" s="22" t="s">
        <v>1358</v>
      </c>
      <c r="F367" s="22">
        <v>52</v>
      </c>
      <c r="G367" s="22">
        <v>4</v>
      </c>
      <c r="H367" s="22" t="s">
        <v>11</v>
      </c>
      <c r="I367" s="23"/>
    </row>
    <row r="368" spans="1:9">
      <c r="A368" s="49" t="s">
        <v>1888</v>
      </c>
      <c r="B368" s="39" t="s">
        <v>1144</v>
      </c>
      <c r="C368" s="41" t="str">
        <f t="shared" si="5"/>
        <v>數學4-汽車二乙</v>
      </c>
      <c r="D368" s="22" t="s">
        <v>1359</v>
      </c>
      <c r="E368" s="22" t="s">
        <v>1360</v>
      </c>
      <c r="F368" s="22">
        <v>45</v>
      </c>
      <c r="G368" s="22">
        <v>4</v>
      </c>
      <c r="H368" s="22" t="s">
        <v>11</v>
      </c>
      <c r="I368" s="23"/>
    </row>
    <row r="369" spans="1:9">
      <c r="A369" s="49" t="s">
        <v>1888</v>
      </c>
      <c r="B369" s="39" t="s">
        <v>1035</v>
      </c>
      <c r="C369" s="41" t="str">
        <f t="shared" si="5"/>
        <v>數學4-汽車二甲</v>
      </c>
      <c r="D369" s="22" t="s">
        <v>1036</v>
      </c>
      <c r="E369" s="22" t="s">
        <v>1037</v>
      </c>
      <c r="F369" s="22">
        <v>40</v>
      </c>
      <c r="G369" s="22">
        <v>4</v>
      </c>
      <c r="H369" s="22" t="s">
        <v>11</v>
      </c>
      <c r="I369" s="23"/>
    </row>
    <row r="370" spans="1:9">
      <c r="A370" s="49" t="s">
        <v>1888</v>
      </c>
      <c r="B370" s="39" t="s">
        <v>1035</v>
      </c>
      <c r="C370" s="41" t="str">
        <f t="shared" si="5"/>
        <v>數學4-汽車二甲</v>
      </c>
      <c r="D370" s="22" t="s">
        <v>1038</v>
      </c>
      <c r="E370" s="22" t="s">
        <v>1039</v>
      </c>
      <c r="F370" s="22">
        <v>45</v>
      </c>
      <c r="G370" s="22">
        <v>4</v>
      </c>
      <c r="H370" s="22" t="s">
        <v>11</v>
      </c>
      <c r="I370" s="23"/>
    </row>
    <row r="371" spans="1:9">
      <c r="A371" s="49" t="s">
        <v>1888</v>
      </c>
      <c r="B371" s="39" t="s">
        <v>1035</v>
      </c>
      <c r="C371" s="41" t="str">
        <f t="shared" si="5"/>
        <v>數學4-汽車二甲</v>
      </c>
      <c r="D371" s="22" t="s">
        <v>1291</v>
      </c>
      <c r="E371" s="22" t="s">
        <v>1292</v>
      </c>
      <c r="F371" s="22">
        <v>49</v>
      </c>
      <c r="G371" s="22">
        <v>4</v>
      </c>
      <c r="H371" s="22" t="s">
        <v>11</v>
      </c>
      <c r="I371" s="23"/>
    </row>
    <row r="372" spans="1:9">
      <c r="A372" s="49" t="s">
        <v>1888</v>
      </c>
      <c r="B372" s="39" t="s">
        <v>1035</v>
      </c>
      <c r="C372" s="41" t="str">
        <f t="shared" si="5"/>
        <v>數學4-汽車二甲</v>
      </c>
      <c r="D372" s="22" t="s">
        <v>1549</v>
      </c>
      <c r="E372" s="22" t="s">
        <v>1550</v>
      </c>
      <c r="F372" s="22">
        <v>44</v>
      </c>
      <c r="G372" s="22">
        <v>4</v>
      </c>
      <c r="H372" s="22" t="s">
        <v>11</v>
      </c>
      <c r="I372" s="23"/>
    </row>
    <row r="373" spans="1:9">
      <c r="A373" s="49" t="s">
        <v>1888</v>
      </c>
      <c r="B373" s="39" t="s">
        <v>1035</v>
      </c>
      <c r="C373" s="41" t="str">
        <f t="shared" si="5"/>
        <v>數學4-汽車二甲</v>
      </c>
      <c r="D373" s="22" t="s">
        <v>1551</v>
      </c>
      <c r="E373" s="22" t="s">
        <v>1552</v>
      </c>
      <c r="F373" s="22">
        <v>42</v>
      </c>
      <c r="G373" s="22">
        <v>4</v>
      </c>
      <c r="H373" s="22" t="s">
        <v>11</v>
      </c>
      <c r="I373" s="23"/>
    </row>
    <row r="374" spans="1:9">
      <c r="A374" s="49" t="s">
        <v>1888</v>
      </c>
      <c r="B374" s="39" t="s">
        <v>1035</v>
      </c>
      <c r="C374" s="41" t="str">
        <f t="shared" si="5"/>
        <v>數學4-汽車二甲</v>
      </c>
      <c r="D374" s="22" t="s">
        <v>1553</v>
      </c>
      <c r="E374" s="22" t="s">
        <v>1554</v>
      </c>
      <c r="F374" s="22">
        <v>46</v>
      </c>
      <c r="G374" s="22">
        <v>4</v>
      </c>
      <c r="H374" s="22" t="s">
        <v>11</v>
      </c>
      <c r="I374" s="23"/>
    </row>
    <row r="375" spans="1:9">
      <c r="A375" s="49" t="s">
        <v>1888</v>
      </c>
      <c r="B375" s="39" t="s">
        <v>1035</v>
      </c>
      <c r="C375" s="41" t="str">
        <f t="shared" ref="C375:C438" si="6">A375&amp;"-"&amp;B375</f>
        <v>數學4-汽車二甲</v>
      </c>
      <c r="D375" s="22" t="s">
        <v>1293</v>
      </c>
      <c r="E375" s="22" t="s">
        <v>1294</v>
      </c>
      <c r="F375" s="22">
        <v>52</v>
      </c>
      <c r="G375" s="22">
        <v>4</v>
      </c>
      <c r="H375" s="22" t="s">
        <v>11</v>
      </c>
      <c r="I375" s="23"/>
    </row>
    <row r="376" spans="1:9">
      <c r="A376" s="49" t="s">
        <v>1888</v>
      </c>
      <c r="B376" s="39" t="s">
        <v>1083</v>
      </c>
      <c r="C376" s="41" t="str">
        <f t="shared" si="6"/>
        <v>數學4-資訊二甲</v>
      </c>
      <c r="D376" s="22" t="s">
        <v>1086</v>
      </c>
      <c r="E376" s="22" t="s">
        <v>1087</v>
      </c>
      <c r="F376" s="22">
        <v>51</v>
      </c>
      <c r="G376" s="22">
        <v>4</v>
      </c>
      <c r="H376" s="22" t="s">
        <v>11</v>
      </c>
      <c r="I376" s="23"/>
    </row>
    <row r="377" spans="1:9">
      <c r="A377" s="49" t="s">
        <v>1888</v>
      </c>
      <c r="B377" s="39" t="s">
        <v>1083</v>
      </c>
      <c r="C377" s="41" t="str">
        <f t="shared" si="6"/>
        <v>數學4-資訊二甲</v>
      </c>
      <c r="D377" s="22" t="s">
        <v>1399</v>
      </c>
      <c r="E377" s="22" t="s">
        <v>954</v>
      </c>
      <c r="F377" s="22">
        <v>55</v>
      </c>
      <c r="G377" s="22">
        <v>4</v>
      </c>
      <c r="H377" s="22" t="s">
        <v>11</v>
      </c>
      <c r="I377" s="23"/>
    </row>
    <row r="378" spans="1:9">
      <c r="A378" s="49" t="s">
        <v>1888</v>
      </c>
      <c r="B378" s="39" t="s">
        <v>1083</v>
      </c>
      <c r="C378" s="41" t="str">
        <f t="shared" si="6"/>
        <v>數學4-資訊二甲</v>
      </c>
      <c r="D378" s="22" t="s">
        <v>1400</v>
      </c>
      <c r="E378" s="22" t="s">
        <v>1401</v>
      </c>
      <c r="F378" s="22">
        <v>41</v>
      </c>
      <c r="G378" s="22">
        <v>4</v>
      </c>
      <c r="H378" s="22" t="s">
        <v>11</v>
      </c>
      <c r="I378" s="23"/>
    </row>
    <row r="379" spans="1:9">
      <c r="A379" s="49" t="s">
        <v>1888</v>
      </c>
      <c r="B379" s="39" t="s">
        <v>1083</v>
      </c>
      <c r="C379" s="41" t="str">
        <f t="shared" si="6"/>
        <v>數學4-資訊二甲</v>
      </c>
      <c r="D379" s="22" t="s">
        <v>1402</v>
      </c>
      <c r="E379" s="22" t="s">
        <v>1403</v>
      </c>
      <c r="F379" s="22">
        <v>57</v>
      </c>
      <c r="G379" s="22">
        <v>4</v>
      </c>
      <c r="H379" s="22" t="s">
        <v>11</v>
      </c>
      <c r="I379" s="23"/>
    </row>
    <row r="380" spans="1:9">
      <c r="A380" s="49" t="s">
        <v>1888</v>
      </c>
      <c r="B380" s="39" t="s">
        <v>1083</v>
      </c>
      <c r="C380" s="41" t="str">
        <f t="shared" si="6"/>
        <v>數學4-資訊二甲</v>
      </c>
      <c r="D380" s="22" t="s">
        <v>1100</v>
      </c>
      <c r="E380" s="22" t="s">
        <v>1101</v>
      </c>
      <c r="F380" s="22">
        <v>41</v>
      </c>
      <c r="G380" s="22">
        <v>4</v>
      </c>
      <c r="H380" s="22" t="s">
        <v>11</v>
      </c>
      <c r="I380" s="23"/>
    </row>
    <row r="381" spans="1:9">
      <c r="A381" s="49" t="s">
        <v>1950</v>
      </c>
      <c r="B381" s="39" t="s">
        <v>1428</v>
      </c>
      <c r="C381" s="41" t="str">
        <f t="shared" si="6"/>
        <v>數學4B-資處二乙</v>
      </c>
      <c r="D381" s="22" t="s">
        <v>1471</v>
      </c>
      <c r="E381" s="22" t="s">
        <v>1472</v>
      </c>
      <c r="F381" s="22">
        <v>41</v>
      </c>
      <c r="G381" s="22">
        <v>3</v>
      </c>
      <c r="H381" s="22" t="s">
        <v>11</v>
      </c>
      <c r="I381" s="23"/>
    </row>
    <row r="382" spans="1:9">
      <c r="A382" s="49" t="s">
        <v>1951</v>
      </c>
      <c r="B382" s="39" t="s">
        <v>1428</v>
      </c>
      <c r="C382" s="41" t="str">
        <f t="shared" si="6"/>
        <v>數學5B-資處二乙</v>
      </c>
      <c r="D382" s="22" t="s">
        <v>1565</v>
      </c>
      <c r="E382" s="22" t="s">
        <v>1566</v>
      </c>
      <c r="F382" s="22">
        <v>58</v>
      </c>
      <c r="G382" s="22">
        <v>3</v>
      </c>
      <c r="H382" s="22" t="s">
        <v>11</v>
      </c>
      <c r="I382" s="23"/>
    </row>
    <row r="383" spans="1:9">
      <c r="A383" s="49" t="s">
        <v>1952</v>
      </c>
      <c r="B383" s="39" t="s">
        <v>1135</v>
      </c>
      <c r="C383" s="41" t="str">
        <f t="shared" si="6"/>
        <v>數學6B-資處二甲</v>
      </c>
      <c r="D383" s="22" t="s">
        <v>1563</v>
      </c>
      <c r="E383" s="22" t="s">
        <v>1564</v>
      </c>
      <c r="F383" s="22">
        <v>52</v>
      </c>
      <c r="G383" s="22">
        <v>3</v>
      </c>
      <c r="H383" s="22" t="s">
        <v>11</v>
      </c>
      <c r="I383" s="23"/>
    </row>
    <row r="384" spans="1:9">
      <c r="A384" s="49" t="s">
        <v>1953</v>
      </c>
      <c r="B384" s="39" t="s">
        <v>1135</v>
      </c>
      <c r="C384" s="41" t="str">
        <f t="shared" si="6"/>
        <v>數學7B-資處二甲</v>
      </c>
      <c r="D384" s="22" t="s">
        <v>1341</v>
      </c>
      <c r="E384" s="22" t="s">
        <v>1342</v>
      </c>
      <c r="F384" s="22">
        <v>46</v>
      </c>
      <c r="G384" s="22">
        <v>3</v>
      </c>
      <c r="H384" s="22" t="s">
        <v>11</v>
      </c>
      <c r="I384" s="23"/>
    </row>
    <row r="385" spans="1:9">
      <c r="A385" s="49" t="s">
        <v>1954</v>
      </c>
      <c r="B385" s="39" t="s">
        <v>1135</v>
      </c>
      <c r="C385" s="41" t="str">
        <f t="shared" si="6"/>
        <v>數學8B-資處二甲</v>
      </c>
      <c r="D385" s="22" t="s">
        <v>1142</v>
      </c>
      <c r="E385" s="22" t="s">
        <v>1143</v>
      </c>
      <c r="F385" s="22">
        <v>58</v>
      </c>
      <c r="G385" s="22">
        <v>3</v>
      </c>
      <c r="H385" s="22" t="s">
        <v>11</v>
      </c>
      <c r="I385" s="23"/>
    </row>
    <row r="386" spans="1:9">
      <c r="A386" s="49" t="s">
        <v>1955</v>
      </c>
      <c r="B386" s="39" t="s">
        <v>1135</v>
      </c>
      <c r="C386" s="41" t="str">
        <f t="shared" si="6"/>
        <v>數學9B-資處二甲</v>
      </c>
      <c r="D386" s="22" t="s">
        <v>1349</v>
      </c>
      <c r="E386" s="22" t="s">
        <v>1350</v>
      </c>
      <c r="F386" s="22">
        <v>56</v>
      </c>
      <c r="G386" s="22">
        <v>3</v>
      </c>
      <c r="H386" s="22" t="s">
        <v>11</v>
      </c>
      <c r="I386" s="23"/>
    </row>
    <row r="387" spans="1:9">
      <c r="A387" s="49" t="s">
        <v>1888</v>
      </c>
      <c r="B387" s="39" t="s">
        <v>1200</v>
      </c>
      <c r="C387" s="41" t="str">
        <f t="shared" si="6"/>
        <v>數學4-電機二乙</v>
      </c>
      <c r="D387" s="22" t="s">
        <v>1515</v>
      </c>
      <c r="E387" s="22" t="s">
        <v>1516</v>
      </c>
      <c r="F387" s="22">
        <v>46</v>
      </c>
      <c r="G387" s="22">
        <v>4</v>
      </c>
      <c r="H387" s="22" t="s">
        <v>11</v>
      </c>
      <c r="I387" s="23"/>
    </row>
    <row r="388" spans="1:9">
      <c r="A388" s="49" t="s">
        <v>1888</v>
      </c>
      <c r="B388" s="39" t="s">
        <v>1200</v>
      </c>
      <c r="C388" s="41" t="str">
        <f t="shared" si="6"/>
        <v>數學4-電機二乙</v>
      </c>
      <c r="D388" s="22" t="s">
        <v>1201</v>
      </c>
      <c r="E388" s="22" t="s">
        <v>1202</v>
      </c>
      <c r="F388" s="22">
        <v>42</v>
      </c>
      <c r="G388" s="22">
        <v>4</v>
      </c>
      <c r="H388" s="22" t="s">
        <v>11</v>
      </c>
      <c r="I388" s="23"/>
    </row>
    <row r="389" spans="1:9">
      <c r="A389" s="49" t="s">
        <v>1888</v>
      </c>
      <c r="B389" s="39" t="s">
        <v>1200</v>
      </c>
      <c r="C389" s="41" t="str">
        <f t="shared" si="6"/>
        <v>數學4-電機二乙</v>
      </c>
      <c r="D389" s="22" t="s">
        <v>1203</v>
      </c>
      <c r="E389" s="22" t="s">
        <v>1204</v>
      </c>
      <c r="F389" s="22">
        <v>40</v>
      </c>
      <c r="G389" s="22">
        <v>4</v>
      </c>
      <c r="H389" s="22" t="s">
        <v>11</v>
      </c>
      <c r="I389" s="23"/>
    </row>
    <row r="390" spans="1:9">
      <c r="A390" s="49" t="s">
        <v>1888</v>
      </c>
      <c r="B390" s="39" t="s">
        <v>1200</v>
      </c>
      <c r="C390" s="41" t="str">
        <f t="shared" si="6"/>
        <v>數學4-電機二乙</v>
      </c>
      <c r="D390" s="22" t="s">
        <v>1209</v>
      </c>
      <c r="E390" s="22" t="s">
        <v>1210</v>
      </c>
      <c r="F390" s="22">
        <v>40</v>
      </c>
      <c r="G390" s="22">
        <v>4</v>
      </c>
      <c r="H390" s="22" t="s">
        <v>11</v>
      </c>
      <c r="I390" s="23"/>
    </row>
    <row r="391" spans="1:9">
      <c r="A391" s="49" t="s">
        <v>1888</v>
      </c>
      <c r="B391" s="39" t="s">
        <v>1200</v>
      </c>
      <c r="C391" s="41" t="str">
        <f t="shared" si="6"/>
        <v>數學4-電機二乙</v>
      </c>
      <c r="D391" s="22" t="s">
        <v>1211</v>
      </c>
      <c r="E391" s="22" t="s">
        <v>1212</v>
      </c>
      <c r="F391" s="22">
        <v>48</v>
      </c>
      <c r="G391" s="22">
        <v>4</v>
      </c>
      <c r="H391" s="22" t="s">
        <v>11</v>
      </c>
      <c r="I391" s="23"/>
    </row>
    <row r="392" spans="1:9">
      <c r="A392" s="49" t="s">
        <v>1888</v>
      </c>
      <c r="B392" s="39" t="s">
        <v>1200</v>
      </c>
      <c r="C392" s="41" t="str">
        <f t="shared" si="6"/>
        <v>數學4-電機二乙</v>
      </c>
      <c r="D392" s="22" t="s">
        <v>1213</v>
      </c>
      <c r="E392" s="22" t="s">
        <v>1214</v>
      </c>
      <c r="F392" s="22">
        <v>40</v>
      </c>
      <c r="G392" s="22">
        <v>4</v>
      </c>
      <c r="H392" s="22" t="s">
        <v>11</v>
      </c>
      <c r="I392" s="23"/>
    </row>
    <row r="393" spans="1:9">
      <c r="A393" s="49" t="s">
        <v>1888</v>
      </c>
      <c r="B393" s="39" t="s">
        <v>1200</v>
      </c>
      <c r="C393" s="41" t="str">
        <f t="shared" si="6"/>
        <v>數學4-電機二乙</v>
      </c>
      <c r="D393" s="22" t="s">
        <v>1215</v>
      </c>
      <c r="E393" s="22" t="s">
        <v>1216</v>
      </c>
      <c r="F393" s="22">
        <v>40</v>
      </c>
      <c r="G393" s="22">
        <v>4</v>
      </c>
      <c r="H393" s="22" t="s">
        <v>11</v>
      </c>
      <c r="I393" s="23"/>
    </row>
    <row r="394" spans="1:9">
      <c r="A394" s="49" t="s">
        <v>1888</v>
      </c>
      <c r="B394" s="39" t="s">
        <v>1184</v>
      </c>
      <c r="C394" s="41" t="str">
        <f t="shared" si="6"/>
        <v>數學4-電機二丙</v>
      </c>
      <c r="D394" s="22" t="s">
        <v>1517</v>
      </c>
      <c r="E394" s="22" t="s">
        <v>1518</v>
      </c>
      <c r="F394" s="22">
        <v>46</v>
      </c>
      <c r="G394" s="22">
        <v>4</v>
      </c>
      <c r="H394" s="22" t="s">
        <v>11</v>
      </c>
      <c r="I394" s="23"/>
    </row>
    <row r="395" spans="1:9">
      <c r="A395" s="49" t="s">
        <v>1888</v>
      </c>
      <c r="B395" s="39" t="s">
        <v>1184</v>
      </c>
      <c r="C395" s="41" t="str">
        <f t="shared" si="6"/>
        <v>數學4-電機二丙</v>
      </c>
      <c r="D395" s="22" t="s">
        <v>1519</v>
      </c>
      <c r="E395" s="22" t="s">
        <v>1520</v>
      </c>
      <c r="F395" s="22">
        <v>50</v>
      </c>
      <c r="G395" s="22">
        <v>4</v>
      </c>
      <c r="H395" s="22" t="s">
        <v>11</v>
      </c>
      <c r="I395" s="23"/>
    </row>
    <row r="396" spans="1:9">
      <c r="A396" s="49" t="s">
        <v>1888</v>
      </c>
      <c r="B396" s="39" t="s">
        <v>1184</v>
      </c>
      <c r="C396" s="41" t="str">
        <f t="shared" si="6"/>
        <v>數學4-電機二丙</v>
      </c>
      <c r="D396" s="22" t="s">
        <v>1187</v>
      </c>
      <c r="E396" s="22" t="s">
        <v>1188</v>
      </c>
      <c r="F396" s="22">
        <v>50</v>
      </c>
      <c r="G396" s="22">
        <v>4</v>
      </c>
      <c r="H396" s="22" t="s">
        <v>11</v>
      </c>
      <c r="I396" s="23"/>
    </row>
    <row r="397" spans="1:9">
      <c r="A397" s="49" t="s">
        <v>1888</v>
      </c>
      <c r="B397" s="39" t="s">
        <v>1184</v>
      </c>
      <c r="C397" s="41" t="str">
        <f t="shared" si="6"/>
        <v>數學4-電機二丙</v>
      </c>
      <c r="D397" s="22" t="s">
        <v>1521</v>
      </c>
      <c r="E397" s="22" t="s">
        <v>1522</v>
      </c>
      <c r="F397" s="22">
        <v>46</v>
      </c>
      <c r="G397" s="22">
        <v>4</v>
      </c>
      <c r="H397" s="22" t="s">
        <v>11</v>
      </c>
      <c r="I397" s="23"/>
    </row>
    <row r="398" spans="1:9">
      <c r="A398" s="49" t="s">
        <v>1888</v>
      </c>
      <c r="B398" s="39" t="s">
        <v>1184</v>
      </c>
      <c r="C398" s="41" t="str">
        <f t="shared" si="6"/>
        <v>數學4-電機二丙</v>
      </c>
      <c r="D398" s="22" t="s">
        <v>1523</v>
      </c>
      <c r="E398" s="22" t="s">
        <v>1524</v>
      </c>
      <c r="F398" s="22">
        <v>51</v>
      </c>
      <c r="G398" s="22">
        <v>4</v>
      </c>
      <c r="H398" s="22" t="s">
        <v>11</v>
      </c>
      <c r="I398" s="23"/>
    </row>
    <row r="399" spans="1:9">
      <c r="A399" s="49" t="s">
        <v>1888</v>
      </c>
      <c r="B399" s="39" t="s">
        <v>1184</v>
      </c>
      <c r="C399" s="41" t="str">
        <f t="shared" si="6"/>
        <v>數學4-電機二丙</v>
      </c>
      <c r="D399" s="22" t="s">
        <v>1393</v>
      </c>
      <c r="E399" s="22" t="s">
        <v>1394</v>
      </c>
      <c r="F399" s="22">
        <v>43</v>
      </c>
      <c r="G399" s="22">
        <v>4</v>
      </c>
      <c r="H399" s="22" t="s">
        <v>11</v>
      </c>
      <c r="I399" s="23"/>
    </row>
    <row r="400" spans="1:9">
      <c r="A400" s="49" t="s">
        <v>1888</v>
      </c>
      <c r="B400" s="39" t="s">
        <v>1184</v>
      </c>
      <c r="C400" s="41" t="str">
        <f t="shared" si="6"/>
        <v>數學4-電機二丙</v>
      </c>
      <c r="D400" s="22" t="s">
        <v>1395</v>
      </c>
      <c r="E400" s="22" t="s">
        <v>1396</v>
      </c>
      <c r="F400" s="22">
        <v>40</v>
      </c>
      <c r="G400" s="22">
        <v>4</v>
      </c>
      <c r="H400" s="22" t="s">
        <v>11</v>
      </c>
      <c r="I400" s="23"/>
    </row>
    <row r="401" spans="1:9">
      <c r="A401" s="49" t="s">
        <v>1888</v>
      </c>
      <c r="B401" s="39" t="s">
        <v>1054</v>
      </c>
      <c r="C401" s="41" t="str">
        <f t="shared" si="6"/>
        <v>數學4-電機二甲</v>
      </c>
      <c r="D401" s="22" t="s">
        <v>1483</v>
      </c>
      <c r="E401" s="22" t="s">
        <v>1484</v>
      </c>
      <c r="F401" s="22">
        <v>40</v>
      </c>
      <c r="G401" s="22">
        <v>4</v>
      </c>
      <c r="H401" s="22" t="s">
        <v>11</v>
      </c>
      <c r="I401" s="23"/>
    </row>
    <row r="402" spans="1:9">
      <c r="A402" s="49" t="s">
        <v>1888</v>
      </c>
      <c r="B402" s="39" t="s">
        <v>1231</v>
      </c>
      <c r="C402" s="41" t="str">
        <f t="shared" si="6"/>
        <v>數學4-製圖二乙</v>
      </c>
      <c r="D402" s="22" t="s">
        <v>1232</v>
      </c>
      <c r="E402" s="22" t="s">
        <v>1233</v>
      </c>
      <c r="F402" s="22">
        <v>46</v>
      </c>
      <c r="G402" s="22">
        <v>4</v>
      </c>
      <c r="H402" s="22" t="s">
        <v>11</v>
      </c>
      <c r="I402" s="23"/>
    </row>
    <row r="403" spans="1:9">
      <c r="A403" s="49" t="s">
        <v>1888</v>
      </c>
      <c r="B403" s="39" t="s">
        <v>1231</v>
      </c>
      <c r="C403" s="41" t="str">
        <f t="shared" si="6"/>
        <v>數學4-製圖二乙</v>
      </c>
      <c r="D403" s="22" t="s">
        <v>1412</v>
      </c>
      <c r="E403" s="22" t="s">
        <v>1413</v>
      </c>
      <c r="F403" s="22">
        <v>41</v>
      </c>
      <c r="G403" s="22">
        <v>4</v>
      </c>
      <c r="H403" s="22" t="s">
        <v>11</v>
      </c>
      <c r="I403" s="23"/>
    </row>
    <row r="404" spans="1:9">
      <c r="A404" s="49" t="s">
        <v>1888</v>
      </c>
      <c r="B404" s="39" t="s">
        <v>1231</v>
      </c>
      <c r="C404" s="41" t="str">
        <f t="shared" si="6"/>
        <v>數學4-製圖二乙</v>
      </c>
      <c r="D404" s="22" t="s">
        <v>1414</v>
      </c>
      <c r="E404" s="22" t="s">
        <v>1415</v>
      </c>
      <c r="F404" s="22">
        <v>54</v>
      </c>
      <c r="G404" s="22">
        <v>4</v>
      </c>
      <c r="H404" s="22" t="s">
        <v>11</v>
      </c>
      <c r="I404" s="23"/>
    </row>
    <row r="405" spans="1:9">
      <c r="A405" s="49" t="s">
        <v>1888</v>
      </c>
      <c r="B405" s="39" t="s">
        <v>1231</v>
      </c>
      <c r="C405" s="41" t="str">
        <f t="shared" si="6"/>
        <v>數學4-製圖二乙</v>
      </c>
      <c r="D405" s="22" t="s">
        <v>1465</v>
      </c>
      <c r="E405" s="22" t="s">
        <v>1466</v>
      </c>
      <c r="F405" s="22">
        <v>46</v>
      </c>
      <c r="G405" s="22">
        <v>4</v>
      </c>
      <c r="H405" s="22" t="s">
        <v>11</v>
      </c>
      <c r="I405" s="23"/>
    </row>
    <row r="406" spans="1:9">
      <c r="A406" s="49" t="s">
        <v>1888</v>
      </c>
      <c r="B406" s="39" t="s">
        <v>1231</v>
      </c>
      <c r="C406" s="41" t="str">
        <f t="shared" si="6"/>
        <v>數學4-製圖二乙</v>
      </c>
      <c r="D406" s="22" t="s">
        <v>1467</v>
      </c>
      <c r="E406" s="22" t="s">
        <v>1468</v>
      </c>
      <c r="F406" s="22">
        <v>47</v>
      </c>
      <c r="G406" s="22">
        <v>4</v>
      </c>
      <c r="H406" s="22" t="s">
        <v>11</v>
      </c>
      <c r="I406" s="23"/>
    </row>
    <row r="407" spans="1:9">
      <c r="A407" s="49" t="s">
        <v>1888</v>
      </c>
      <c r="B407" s="39" t="s">
        <v>1231</v>
      </c>
      <c r="C407" s="41" t="str">
        <f t="shared" si="6"/>
        <v>數學4-製圖二乙</v>
      </c>
      <c r="D407" s="22" t="s">
        <v>1418</v>
      </c>
      <c r="E407" s="22" t="s">
        <v>1419</v>
      </c>
      <c r="F407" s="22">
        <v>48</v>
      </c>
      <c r="G407" s="22">
        <v>4</v>
      </c>
      <c r="H407" s="22" t="s">
        <v>11</v>
      </c>
      <c r="I407" s="23"/>
    </row>
    <row r="408" spans="1:9">
      <c r="A408" s="49" t="s">
        <v>1888</v>
      </c>
      <c r="B408" s="39" t="s">
        <v>1231</v>
      </c>
      <c r="C408" s="41" t="str">
        <f t="shared" si="6"/>
        <v>數學4-製圖二乙</v>
      </c>
      <c r="D408" s="22" t="s">
        <v>1525</v>
      </c>
      <c r="E408" s="22" t="s">
        <v>1526</v>
      </c>
      <c r="F408" s="22">
        <v>55</v>
      </c>
      <c r="G408" s="22">
        <v>4</v>
      </c>
      <c r="H408" s="22" t="s">
        <v>11</v>
      </c>
      <c r="I408" s="23"/>
    </row>
    <row r="409" spans="1:9">
      <c r="A409" s="49" t="s">
        <v>1888</v>
      </c>
      <c r="B409" s="39" t="s">
        <v>1231</v>
      </c>
      <c r="C409" s="41" t="str">
        <f t="shared" si="6"/>
        <v>數學4-製圖二乙</v>
      </c>
      <c r="D409" s="22" t="s">
        <v>1238</v>
      </c>
      <c r="E409" s="22" t="s">
        <v>1239</v>
      </c>
      <c r="F409" s="22">
        <v>40</v>
      </c>
      <c r="G409" s="22">
        <v>4</v>
      </c>
      <c r="H409" s="22" t="s">
        <v>11</v>
      </c>
      <c r="I409" s="23"/>
    </row>
    <row r="410" spans="1:9">
      <c r="A410" s="49" t="s">
        <v>1888</v>
      </c>
      <c r="B410" s="39" t="s">
        <v>1231</v>
      </c>
      <c r="C410" s="41" t="str">
        <f t="shared" si="6"/>
        <v>數學4-製圖二乙</v>
      </c>
      <c r="D410" s="22" t="s">
        <v>1240</v>
      </c>
      <c r="E410" s="22" t="s">
        <v>157</v>
      </c>
      <c r="F410" s="22">
        <v>44</v>
      </c>
      <c r="G410" s="22">
        <v>4</v>
      </c>
      <c r="H410" s="22" t="s">
        <v>11</v>
      </c>
      <c r="I410" s="23"/>
    </row>
    <row r="411" spans="1:9">
      <c r="A411" s="49" t="s">
        <v>1888</v>
      </c>
      <c r="B411" s="39" t="s">
        <v>1231</v>
      </c>
      <c r="C411" s="41" t="str">
        <f t="shared" si="6"/>
        <v>數學4-製圖二乙</v>
      </c>
      <c r="D411" s="22" t="s">
        <v>1527</v>
      </c>
      <c r="E411" s="22" t="s">
        <v>1528</v>
      </c>
      <c r="F411" s="22">
        <v>48</v>
      </c>
      <c r="G411" s="22">
        <v>4</v>
      </c>
      <c r="H411" s="22" t="s">
        <v>11</v>
      </c>
      <c r="I411" s="23"/>
    </row>
    <row r="412" spans="1:9">
      <c r="A412" s="49" t="s">
        <v>1888</v>
      </c>
      <c r="B412" s="39" t="s">
        <v>1231</v>
      </c>
      <c r="C412" s="41" t="str">
        <f t="shared" si="6"/>
        <v>數學4-製圖二乙</v>
      </c>
      <c r="D412" s="22" t="s">
        <v>1529</v>
      </c>
      <c r="E412" s="22" t="s">
        <v>1530</v>
      </c>
      <c r="F412" s="22">
        <v>49</v>
      </c>
      <c r="G412" s="22">
        <v>4</v>
      </c>
      <c r="H412" s="22" t="s">
        <v>11</v>
      </c>
      <c r="I412" s="23"/>
    </row>
    <row r="413" spans="1:9">
      <c r="A413" s="49" t="s">
        <v>1888</v>
      </c>
      <c r="B413" s="39" t="s">
        <v>1231</v>
      </c>
      <c r="C413" s="41" t="str">
        <f t="shared" si="6"/>
        <v>數學4-製圖二乙</v>
      </c>
      <c r="D413" s="22" t="s">
        <v>1241</v>
      </c>
      <c r="E413" s="22" t="s">
        <v>1242</v>
      </c>
      <c r="F413" s="22">
        <v>54</v>
      </c>
      <c r="G413" s="22">
        <v>4</v>
      </c>
      <c r="H413" s="22" t="s">
        <v>11</v>
      </c>
      <c r="I413" s="23"/>
    </row>
    <row r="414" spans="1:9">
      <c r="A414" s="49" t="s">
        <v>1888</v>
      </c>
      <c r="B414" s="39" t="s">
        <v>1231</v>
      </c>
      <c r="C414" s="41" t="str">
        <f t="shared" si="6"/>
        <v>數學4-製圖二乙</v>
      </c>
      <c r="D414" s="22" t="s">
        <v>1531</v>
      </c>
      <c r="E414" s="22" t="s">
        <v>1532</v>
      </c>
      <c r="F414" s="22">
        <v>54</v>
      </c>
      <c r="G414" s="22">
        <v>4</v>
      </c>
      <c r="H414" s="22" t="s">
        <v>11</v>
      </c>
      <c r="I414" s="23"/>
    </row>
    <row r="415" spans="1:9">
      <c r="A415" s="49" t="s">
        <v>1888</v>
      </c>
      <c r="B415" s="39" t="s">
        <v>1102</v>
      </c>
      <c r="C415" s="41" t="str">
        <f t="shared" si="6"/>
        <v>數學4-製圖二丙</v>
      </c>
      <c r="D415" s="22" t="s">
        <v>1107</v>
      </c>
      <c r="E415" s="22" t="s">
        <v>1108</v>
      </c>
      <c r="F415" s="22">
        <v>40</v>
      </c>
      <c r="G415" s="22">
        <v>4</v>
      </c>
      <c r="H415" s="22" t="s">
        <v>11</v>
      </c>
      <c r="I415" s="23"/>
    </row>
    <row r="416" spans="1:9">
      <c r="A416" s="49" t="s">
        <v>1888</v>
      </c>
      <c r="B416" s="39" t="s">
        <v>1102</v>
      </c>
      <c r="C416" s="41" t="str">
        <f t="shared" si="6"/>
        <v>數學4-製圖二丙</v>
      </c>
      <c r="D416" s="22" t="s">
        <v>1445</v>
      </c>
      <c r="E416" s="22" t="s">
        <v>1446</v>
      </c>
      <c r="F416" s="22">
        <v>49</v>
      </c>
      <c r="G416" s="22">
        <v>4</v>
      </c>
      <c r="H416" s="22" t="s">
        <v>11</v>
      </c>
      <c r="I416" s="23"/>
    </row>
    <row r="417" spans="1:9">
      <c r="A417" s="49" t="s">
        <v>1888</v>
      </c>
      <c r="B417" s="39" t="s">
        <v>1102</v>
      </c>
      <c r="C417" s="41" t="str">
        <f t="shared" si="6"/>
        <v>數學4-製圖二丙</v>
      </c>
      <c r="D417" s="22" t="s">
        <v>1117</v>
      </c>
      <c r="E417" s="22" t="s">
        <v>1118</v>
      </c>
      <c r="F417" s="22">
        <v>40</v>
      </c>
      <c r="G417" s="22">
        <v>4</v>
      </c>
      <c r="H417" s="22" t="s">
        <v>11</v>
      </c>
      <c r="I417" s="23"/>
    </row>
    <row r="418" spans="1:9">
      <c r="A418" s="49" t="s">
        <v>1888</v>
      </c>
      <c r="B418" s="39" t="s">
        <v>1102</v>
      </c>
      <c r="C418" s="41" t="str">
        <f t="shared" si="6"/>
        <v>數學4-製圖二丙</v>
      </c>
      <c r="D418" s="22" t="s">
        <v>1121</v>
      </c>
      <c r="E418" s="22" t="s">
        <v>1122</v>
      </c>
      <c r="F418" s="22">
        <v>52</v>
      </c>
      <c r="G418" s="22">
        <v>4</v>
      </c>
      <c r="H418" s="22" t="s">
        <v>11</v>
      </c>
      <c r="I418" s="23"/>
    </row>
    <row r="419" spans="1:9">
      <c r="A419" s="49" t="s">
        <v>1888</v>
      </c>
      <c r="B419" s="39" t="s">
        <v>1102</v>
      </c>
      <c r="C419" s="41" t="str">
        <f t="shared" si="6"/>
        <v>數學4-製圖二丙</v>
      </c>
      <c r="D419" s="22" t="s">
        <v>1125</v>
      </c>
      <c r="E419" s="22" t="s">
        <v>1126</v>
      </c>
      <c r="F419" s="22">
        <v>55</v>
      </c>
      <c r="G419" s="22">
        <v>4</v>
      </c>
      <c r="H419" s="22" t="s">
        <v>11</v>
      </c>
      <c r="I419" s="23"/>
    </row>
    <row r="420" spans="1:9">
      <c r="A420" s="49" t="s">
        <v>1888</v>
      </c>
      <c r="B420" s="39" t="s">
        <v>1102</v>
      </c>
      <c r="C420" s="41" t="str">
        <f t="shared" si="6"/>
        <v>數學4-製圖二丙</v>
      </c>
      <c r="D420" s="22" t="s">
        <v>1499</v>
      </c>
      <c r="E420" s="22" t="s">
        <v>1500</v>
      </c>
      <c r="F420" s="22">
        <v>49</v>
      </c>
      <c r="G420" s="22">
        <v>4</v>
      </c>
      <c r="H420" s="22" t="s">
        <v>11</v>
      </c>
      <c r="I420" s="23"/>
    </row>
    <row r="421" spans="1:9">
      <c r="A421" s="49" t="s">
        <v>1888</v>
      </c>
      <c r="B421" s="39" t="s">
        <v>1102</v>
      </c>
      <c r="C421" s="41" t="str">
        <f t="shared" si="6"/>
        <v>數學4-製圖二丙</v>
      </c>
      <c r="D421" s="22" t="s">
        <v>1129</v>
      </c>
      <c r="E421" s="22" t="s">
        <v>1130</v>
      </c>
      <c r="F421" s="22">
        <v>46</v>
      </c>
      <c r="G421" s="22">
        <v>4</v>
      </c>
      <c r="H421" s="22" t="s">
        <v>11</v>
      </c>
      <c r="I421" s="23"/>
    </row>
    <row r="422" spans="1:9">
      <c r="A422" s="49" t="s">
        <v>1888</v>
      </c>
      <c r="B422" s="39" t="s">
        <v>1102</v>
      </c>
      <c r="C422" s="41" t="str">
        <f t="shared" si="6"/>
        <v>數學4-製圖二丙</v>
      </c>
      <c r="D422" s="22" t="s">
        <v>1133</v>
      </c>
      <c r="E422" s="22" t="s">
        <v>1134</v>
      </c>
      <c r="F422" s="22">
        <v>55</v>
      </c>
      <c r="G422" s="22">
        <v>4</v>
      </c>
      <c r="H422" s="22" t="s">
        <v>11</v>
      </c>
      <c r="I422" s="23"/>
    </row>
    <row r="423" spans="1:9">
      <c r="A423" s="49" t="s">
        <v>1888</v>
      </c>
      <c r="B423" s="39" t="s">
        <v>1191</v>
      </c>
      <c r="C423" s="41" t="str">
        <f t="shared" si="6"/>
        <v>數學4-製圖二甲</v>
      </c>
      <c r="D423" s="22" t="s">
        <v>1501</v>
      </c>
      <c r="E423" s="22" t="s">
        <v>1502</v>
      </c>
      <c r="F423" s="22">
        <v>50</v>
      </c>
      <c r="G423" s="22">
        <v>4</v>
      </c>
      <c r="H423" s="22" t="s">
        <v>11</v>
      </c>
      <c r="I423" s="23"/>
    </row>
    <row r="424" spans="1:9">
      <c r="A424" s="49" t="s">
        <v>1888</v>
      </c>
      <c r="B424" s="39" t="s">
        <v>1191</v>
      </c>
      <c r="C424" s="41" t="str">
        <f t="shared" si="6"/>
        <v>數學4-製圖二甲</v>
      </c>
      <c r="D424" s="22" t="s">
        <v>1453</v>
      </c>
      <c r="E424" s="22" t="s">
        <v>1454</v>
      </c>
      <c r="F424" s="22">
        <v>55</v>
      </c>
      <c r="G424" s="22">
        <v>4</v>
      </c>
      <c r="H424" s="22" t="s">
        <v>11</v>
      </c>
      <c r="I424" s="23"/>
    </row>
    <row r="425" spans="1:9">
      <c r="A425" s="49" t="s">
        <v>1888</v>
      </c>
      <c r="B425" s="39" t="s">
        <v>1191</v>
      </c>
      <c r="C425" s="41" t="str">
        <f t="shared" si="6"/>
        <v>數學4-製圖二甲</v>
      </c>
      <c r="D425" s="22" t="s">
        <v>1192</v>
      </c>
      <c r="E425" s="22" t="s">
        <v>1193</v>
      </c>
      <c r="F425" s="22">
        <v>49</v>
      </c>
      <c r="G425" s="22">
        <v>4</v>
      </c>
      <c r="H425" s="22" t="s">
        <v>11</v>
      </c>
      <c r="I425" s="23"/>
    </row>
    <row r="426" spans="1:9">
      <c r="A426" s="49" t="s">
        <v>1888</v>
      </c>
      <c r="B426" s="39" t="s">
        <v>1191</v>
      </c>
      <c r="C426" s="41" t="str">
        <f t="shared" si="6"/>
        <v>數學4-製圖二甲</v>
      </c>
      <c r="D426" s="22" t="s">
        <v>1325</v>
      </c>
      <c r="E426" s="22" t="s">
        <v>1326</v>
      </c>
      <c r="F426" s="22">
        <v>48</v>
      </c>
      <c r="G426" s="22">
        <v>4</v>
      </c>
      <c r="H426" s="22" t="s">
        <v>11</v>
      </c>
      <c r="I426" s="23"/>
    </row>
    <row r="427" spans="1:9">
      <c r="A427" s="49" t="s">
        <v>1888</v>
      </c>
      <c r="B427" s="39" t="s">
        <v>1191</v>
      </c>
      <c r="C427" s="41" t="str">
        <f t="shared" si="6"/>
        <v>數學4-製圖二甲</v>
      </c>
      <c r="D427" s="22" t="s">
        <v>1194</v>
      </c>
      <c r="E427" s="22" t="s">
        <v>1195</v>
      </c>
      <c r="F427" s="22">
        <v>51</v>
      </c>
      <c r="G427" s="22">
        <v>4</v>
      </c>
      <c r="H427" s="22" t="s">
        <v>11</v>
      </c>
      <c r="I427" s="23"/>
    </row>
    <row r="428" spans="1:9">
      <c r="A428" s="49" t="s">
        <v>1888</v>
      </c>
      <c r="B428" s="39" t="s">
        <v>1191</v>
      </c>
      <c r="C428" s="41" t="str">
        <f t="shared" si="6"/>
        <v>數學4-製圖二甲</v>
      </c>
      <c r="D428" s="22" t="s">
        <v>1327</v>
      </c>
      <c r="E428" s="22" t="s">
        <v>1328</v>
      </c>
      <c r="F428" s="22">
        <v>51</v>
      </c>
      <c r="G428" s="22">
        <v>4</v>
      </c>
      <c r="H428" s="22" t="s">
        <v>11</v>
      </c>
      <c r="I428" s="23"/>
    </row>
    <row r="429" spans="1:9">
      <c r="A429" s="49" t="s">
        <v>1888</v>
      </c>
      <c r="B429" s="39" t="s">
        <v>1191</v>
      </c>
      <c r="C429" s="41" t="str">
        <f t="shared" si="6"/>
        <v>數學4-製圖二甲</v>
      </c>
      <c r="D429" s="22" t="s">
        <v>1331</v>
      </c>
      <c r="E429" s="22" t="s">
        <v>1332</v>
      </c>
      <c r="F429" s="22">
        <v>44</v>
      </c>
      <c r="G429" s="22">
        <v>4</v>
      </c>
      <c r="H429" s="22" t="s">
        <v>11</v>
      </c>
      <c r="I429" s="23"/>
    </row>
    <row r="430" spans="1:9">
      <c r="A430" s="49" t="s">
        <v>1888</v>
      </c>
      <c r="B430" s="39" t="s">
        <v>1191</v>
      </c>
      <c r="C430" s="41" t="str">
        <f t="shared" si="6"/>
        <v>數學4-製圖二甲</v>
      </c>
      <c r="D430" s="22" t="s">
        <v>1503</v>
      </c>
      <c r="E430" s="22" t="s">
        <v>1504</v>
      </c>
      <c r="F430" s="22">
        <v>51</v>
      </c>
      <c r="G430" s="22">
        <v>4</v>
      </c>
      <c r="H430" s="22" t="s">
        <v>11</v>
      </c>
      <c r="I430" s="23"/>
    </row>
    <row r="431" spans="1:9">
      <c r="A431" s="49" t="s">
        <v>1888</v>
      </c>
      <c r="B431" s="39" t="s">
        <v>1191</v>
      </c>
      <c r="C431" s="41" t="str">
        <f t="shared" si="6"/>
        <v>數學4-製圖二甲</v>
      </c>
      <c r="D431" s="22" t="s">
        <v>1196</v>
      </c>
      <c r="E431" s="22" t="s">
        <v>1197</v>
      </c>
      <c r="F431" s="22">
        <v>55</v>
      </c>
      <c r="G431" s="22">
        <v>4</v>
      </c>
      <c r="H431" s="22" t="s">
        <v>11</v>
      </c>
      <c r="I431" s="23"/>
    </row>
    <row r="432" spans="1:9">
      <c r="A432" s="49" t="s">
        <v>1888</v>
      </c>
      <c r="B432" s="39" t="s">
        <v>1191</v>
      </c>
      <c r="C432" s="41" t="str">
        <f t="shared" si="6"/>
        <v>數學4-製圖二甲</v>
      </c>
      <c r="D432" s="22" t="s">
        <v>1335</v>
      </c>
      <c r="E432" s="22" t="s">
        <v>1336</v>
      </c>
      <c r="F432" s="22">
        <v>47</v>
      </c>
      <c r="G432" s="22">
        <v>4</v>
      </c>
      <c r="H432" s="22" t="s">
        <v>11</v>
      </c>
      <c r="I432" s="23"/>
    </row>
    <row r="433" spans="1:9">
      <c r="A433" s="49" t="s">
        <v>1888</v>
      </c>
      <c r="B433" s="39" t="s">
        <v>1191</v>
      </c>
      <c r="C433" s="41" t="str">
        <f t="shared" si="6"/>
        <v>數學4-製圖二甲</v>
      </c>
      <c r="D433" s="22" t="s">
        <v>1505</v>
      </c>
      <c r="E433" s="22" t="s">
        <v>1506</v>
      </c>
      <c r="F433" s="22">
        <v>45</v>
      </c>
      <c r="G433" s="22">
        <v>4</v>
      </c>
      <c r="H433" s="22" t="s">
        <v>11</v>
      </c>
      <c r="I433" s="23"/>
    </row>
    <row r="434" spans="1:9">
      <c r="A434" s="49" t="s">
        <v>1888</v>
      </c>
      <c r="B434" s="39" t="s">
        <v>998</v>
      </c>
      <c r="C434" s="41" t="str">
        <f t="shared" si="6"/>
        <v>數學4-模具二乙</v>
      </c>
      <c r="D434" s="22" t="s">
        <v>999</v>
      </c>
      <c r="E434" s="22" t="s">
        <v>1000</v>
      </c>
      <c r="F434" s="22">
        <v>55</v>
      </c>
      <c r="G434" s="22">
        <v>4</v>
      </c>
      <c r="H434" s="22" t="s">
        <v>11</v>
      </c>
      <c r="I434" s="23"/>
    </row>
    <row r="435" spans="1:9">
      <c r="A435" s="49" t="s">
        <v>1888</v>
      </c>
      <c r="B435" s="39" t="s">
        <v>998</v>
      </c>
      <c r="C435" s="41" t="str">
        <f t="shared" si="6"/>
        <v>數學4-模具二乙</v>
      </c>
      <c r="D435" s="22" t="s">
        <v>1003</v>
      </c>
      <c r="E435" s="22" t="s">
        <v>1004</v>
      </c>
      <c r="F435" s="22">
        <v>50</v>
      </c>
      <c r="G435" s="22">
        <v>4</v>
      </c>
      <c r="H435" s="22" t="s">
        <v>11</v>
      </c>
      <c r="I435" s="23"/>
    </row>
    <row r="436" spans="1:9">
      <c r="A436" s="49" t="s">
        <v>1888</v>
      </c>
      <c r="B436" s="39" t="s">
        <v>998</v>
      </c>
      <c r="C436" s="41" t="str">
        <f t="shared" si="6"/>
        <v>數學4-模具二乙</v>
      </c>
      <c r="D436" s="22" t="s">
        <v>1497</v>
      </c>
      <c r="E436" s="22" t="s">
        <v>1498</v>
      </c>
      <c r="F436" s="22">
        <v>47</v>
      </c>
      <c r="G436" s="22">
        <v>4</v>
      </c>
      <c r="H436" s="22" t="s">
        <v>11</v>
      </c>
      <c r="I436" s="23"/>
    </row>
    <row r="437" spans="1:9">
      <c r="A437" s="49" t="s">
        <v>1888</v>
      </c>
      <c r="B437" s="39" t="s">
        <v>1217</v>
      </c>
      <c r="C437" s="41" t="str">
        <f t="shared" si="6"/>
        <v>數學4-模具二甲</v>
      </c>
      <c r="D437" s="22" t="s">
        <v>1404</v>
      </c>
      <c r="E437" s="22" t="s">
        <v>1405</v>
      </c>
      <c r="F437" s="22">
        <v>40</v>
      </c>
      <c r="G437" s="22">
        <v>4</v>
      </c>
      <c r="H437" s="22" t="s">
        <v>11</v>
      </c>
      <c r="I437" s="23"/>
    </row>
    <row r="438" spans="1:9">
      <c r="A438" s="49" t="s">
        <v>1888</v>
      </c>
      <c r="B438" s="39" t="s">
        <v>1217</v>
      </c>
      <c r="C438" s="41" t="str">
        <f t="shared" si="6"/>
        <v>數學4-模具二甲</v>
      </c>
      <c r="D438" s="22" t="s">
        <v>1559</v>
      </c>
      <c r="E438" s="22" t="s">
        <v>1560</v>
      </c>
      <c r="F438" s="22">
        <v>56</v>
      </c>
      <c r="G438" s="22">
        <v>4</v>
      </c>
      <c r="H438" s="22" t="s">
        <v>11</v>
      </c>
      <c r="I438" s="23"/>
    </row>
    <row r="439" spans="1:9">
      <c r="A439" s="49" t="s">
        <v>1888</v>
      </c>
      <c r="B439" s="39" t="s">
        <v>1217</v>
      </c>
      <c r="C439" s="41" t="str">
        <f t="shared" ref="C439:C502" si="7">A439&amp;"-"&amp;B439</f>
        <v>數學4-模具二甲</v>
      </c>
      <c r="D439" s="22" t="s">
        <v>1561</v>
      </c>
      <c r="E439" s="22" t="s">
        <v>1562</v>
      </c>
      <c r="F439" s="22">
        <v>58</v>
      </c>
      <c r="G439" s="22">
        <v>4</v>
      </c>
      <c r="H439" s="22" t="s">
        <v>11</v>
      </c>
      <c r="I439" s="23"/>
    </row>
    <row r="440" spans="1:9">
      <c r="A440" s="49" t="s">
        <v>1888</v>
      </c>
      <c r="B440" s="39" t="s">
        <v>1217</v>
      </c>
      <c r="C440" s="41" t="str">
        <f t="shared" si="7"/>
        <v>數學4-模具二甲</v>
      </c>
      <c r="D440" s="22" t="s">
        <v>1222</v>
      </c>
      <c r="E440" s="22" t="s">
        <v>1223</v>
      </c>
      <c r="F440" s="22">
        <v>40</v>
      </c>
      <c r="G440" s="22">
        <v>4</v>
      </c>
      <c r="H440" s="22" t="s">
        <v>11</v>
      </c>
      <c r="I440" s="23"/>
    </row>
    <row r="441" spans="1:9">
      <c r="A441" s="49" t="s">
        <v>1888</v>
      </c>
      <c r="B441" s="39" t="s">
        <v>1217</v>
      </c>
      <c r="C441" s="41" t="str">
        <f t="shared" si="7"/>
        <v>數學4-模具二甲</v>
      </c>
      <c r="D441" s="22" t="s">
        <v>1408</v>
      </c>
      <c r="E441" s="22" t="s">
        <v>1409</v>
      </c>
      <c r="F441" s="22">
        <v>58</v>
      </c>
      <c r="G441" s="22">
        <v>4</v>
      </c>
      <c r="H441" s="22" t="s">
        <v>11</v>
      </c>
      <c r="I441" s="23"/>
    </row>
    <row r="442" spans="1:9">
      <c r="A442" s="49" t="s">
        <v>1888</v>
      </c>
      <c r="B442" s="39" t="s">
        <v>1171</v>
      </c>
      <c r="C442" s="41" t="str">
        <f t="shared" si="7"/>
        <v>數學4-機械二乙</v>
      </c>
      <c r="D442" s="22" t="s">
        <v>1475</v>
      </c>
      <c r="E442" s="22" t="s">
        <v>1476</v>
      </c>
      <c r="F442" s="22">
        <v>40</v>
      </c>
      <c r="G442" s="22">
        <v>4</v>
      </c>
      <c r="H442" s="22" t="s">
        <v>11</v>
      </c>
      <c r="I442" s="23"/>
    </row>
    <row r="443" spans="1:9">
      <c r="A443" s="49" t="s">
        <v>1888</v>
      </c>
      <c r="B443" s="39" t="s">
        <v>1171</v>
      </c>
      <c r="C443" s="41" t="str">
        <f t="shared" si="7"/>
        <v>數學4-機械二乙</v>
      </c>
      <c r="D443" s="22" t="s">
        <v>1247</v>
      </c>
      <c r="E443" s="22" t="s">
        <v>1248</v>
      </c>
      <c r="F443" s="22">
        <v>40</v>
      </c>
      <c r="G443" s="22">
        <v>4</v>
      </c>
      <c r="H443" s="22" t="s">
        <v>11</v>
      </c>
      <c r="I443" s="23"/>
    </row>
    <row r="444" spans="1:9">
      <c r="A444" s="49" t="s">
        <v>1888</v>
      </c>
      <c r="B444" s="39" t="s">
        <v>1171</v>
      </c>
      <c r="C444" s="41" t="str">
        <f t="shared" si="7"/>
        <v>數學4-機械二乙</v>
      </c>
      <c r="D444" s="22" t="s">
        <v>1477</v>
      </c>
      <c r="E444" s="22" t="s">
        <v>1478</v>
      </c>
      <c r="F444" s="22">
        <v>44</v>
      </c>
      <c r="G444" s="22">
        <v>4</v>
      </c>
      <c r="H444" s="22" t="s">
        <v>11</v>
      </c>
      <c r="I444" s="23"/>
    </row>
    <row r="445" spans="1:9">
      <c r="A445" s="49" t="s">
        <v>1888</v>
      </c>
      <c r="B445" s="39" t="s">
        <v>1171</v>
      </c>
      <c r="C445" s="41" t="str">
        <f t="shared" si="7"/>
        <v>數學4-機械二乙</v>
      </c>
      <c r="D445" s="22" t="s">
        <v>1479</v>
      </c>
      <c r="E445" s="22" t="s">
        <v>1480</v>
      </c>
      <c r="F445" s="22">
        <v>40</v>
      </c>
      <c r="G445" s="22">
        <v>4</v>
      </c>
      <c r="H445" s="22" t="s">
        <v>11</v>
      </c>
      <c r="I445" s="23"/>
    </row>
    <row r="446" spans="1:9">
      <c r="A446" s="49" t="s">
        <v>1888</v>
      </c>
      <c r="B446" s="39" t="s">
        <v>1171</v>
      </c>
      <c r="C446" s="41" t="str">
        <f t="shared" si="7"/>
        <v>數學4-機械二乙</v>
      </c>
      <c r="D446" s="22" t="s">
        <v>1251</v>
      </c>
      <c r="E446" s="22" t="s">
        <v>1252</v>
      </c>
      <c r="F446" s="22">
        <v>40</v>
      </c>
      <c r="G446" s="22">
        <v>4</v>
      </c>
      <c r="H446" s="22" t="s">
        <v>11</v>
      </c>
      <c r="I446" s="23"/>
    </row>
    <row r="447" spans="1:9">
      <c r="A447" s="49" t="s">
        <v>1888</v>
      </c>
      <c r="B447" s="39" t="s">
        <v>1171</v>
      </c>
      <c r="C447" s="41" t="str">
        <f t="shared" si="7"/>
        <v>數學4-機械二乙</v>
      </c>
      <c r="D447" s="22" t="s">
        <v>1180</v>
      </c>
      <c r="E447" s="22" t="s">
        <v>1181</v>
      </c>
      <c r="F447" s="22">
        <v>40</v>
      </c>
      <c r="G447" s="22">
        <v>4</v>
      </c>
      <c r="H447" s="22" t="s">
        <v>11</v>
      </c>
      <c r="I447" s="23"/>
    </row>
    <row r="448" spans="1:9">
      <c r="A448" s="49" t="s">
        <v>1888</v>
      </c>
      <c r="B448" s="39" t="s">
        <v>1171</v>
      </c>
      <c r="C448" s="41" t="str">
        <f t="shared" si="7"/>
        <v>數學4-機械二乙</v>
      </c>
      <c r="D448" s="22" t="s">
        <v>1253</v>
      </c>
      <c r="E448" s="22" t="s">
        <v>1254</v>
      </c>
      <c r="F448" s="22">
        <v>40</v>
      </c>
      <c r="G448" s="22">
        <v>4</v>
      </c>
      <c r="H448" s="22" t="s">
        <v>11</v>
      </c>
      <c r="I448" s="23"/>
    </row>
    <row r="449" spans="1:9">
      <c r="A449" s="49" t="s">
        <v>1888</v>
      </c>
      <c r="B449" s="39" t="s">
        <v>1171</v>
      </c>
      <c r="C449" s="41" t="str">
        <f t="shared" si="7"/>
        <v>數學4-機械二乙</v>
      </c>
      <c r="D449" s="22" t="s">
        <v>1481</v>
      </c>
      <c r="E449" s="22" t="s">
        <v>1482</v>
      </c>
      <c r="F449" s="22">
        <v>52</v>
      </c>
      <c r="G449" s="22">
        <v>4</v>
      </c>
      <c r="H449" s="22" t="s">
        <v>11</v>
      </c>
      <c r="I449" s="23"/>
    </row>
    <row r="450" spans="1:9">
      <c r="A450" s="49" t="s">
        <v>1888</v>
      </c>
      <c r="B450" s="39" t="s">
        <v>1171</v>
      </c>
      <c r="C450" s="41" t="str">
        <f t="shared" si="7"/>
        <v>數學4-機械二乙</v>
      </c>
      <c r="D450" s="22" t="s">
        <v>1182</v>
      </c>
      <c r="E450" s="22" t="s">
        <v>1183</v>
      </c>
      <c r="F450" s="22">
        <v>52</v>
      </c>
      <c r="G450" s="22">
        <v>4</v>
      </c>
      <c r="H450" s="22" t="s">
        <v>11</v>
      </c>
      <c r="I450" s="23"/>
    </row>
    <row r="451" spans="1:9">
      <c r="A451" s="49" t="s">
        <v>1888</v>
      </c>
      <c r="B451" s="39" t="s">
        <v>971</v>
      </c>
      <c r="C451" s="41" t="str">
        <f t="shared" si="7"/>
        <v>數學4-機械二甲</v>
      </c>
      <c r="D451" s="22" t="s">
        <v>1281</v>
      </c>
      <c r="E451" s="22" t="s">
        <v>1282</v>
      </c>
      <c r="F451" s="22">
        <v>40</v>
      </c>
      <c r="G451" s="22">
        <v>4</v>
      </c>
      <c r="H451" s="22" t="s">
        <v>11</v>
      </c>
      <c r="I451" s="23"/>
    </row>
    <row r="452" spans="1:9">
      <c r="A452" s="49" t="s">
        <v>1888</v>
      </c>
      <c r="B452" s="39" t="s">
        <v>971</v>
      </c>
      <c r="C452" s="41" t="str">
        <f t="shared" si="7"/>
        <v>數學4-機械二甲</v>
      </c>
      <c r="D452" s="22" t="s">
        <v>1555</v>
      </c>
      <c r="E452" s="22" t="s">
        <v>1556</v>
      </c>
      <c r="F452" s="22">
        <v>40</v>
      </c>
      <c r="G452" s="22">
        <v>4</v>
      </c>
      <c r="H452" s="22" t="s">
        <v>11</v>
      </c>
      <c r="I452" s="23"/>
    </row>
    <row r="453" spans="1:9">
      <c r="A453" s="49" t="s">
        <v>1888</v>
      </c>
      <c r="B453" s="39" t="s">
        <v>971</v>
      </c>
      <c r="C453" s="41" t="str">
        <f t="shared" si="7"/>
        <v>數學4-機械二甲</v>
      </c>
      <c r="D453" s="22" t="s">
        <v>1285</v>
      </c>
      <c r="E453" s="22" t="s">
        <v>1286</v>
      </c>
      <c r="F453" s="22">
        <v>42</v>
      </c>
      <c r="G453" s="22">
        <v>4</v>
      </c>
      <c r="H453" s="22" t="s">
        <v>11</v>
      </c>
      <c r="I453" s="23"/>
    </row>
    <row r="454" spans="1:9">
      <c r="A454" s="49" t="s">
        <v>1888</v>
      </c>
      <c r="B454" s="39" t="s">
        <v>971</v>
      </c>
      <c r="C454" s="41" t="str">
        <f t="shared" si="7"/>
        <v>數學4-機械二甲</v>
      </c>
      <c r="D454" s="22" t="s">
        <v>984</v>
      </c>
      <c r="E454" s="22" t="s">
        <v>985</v>
      </c>
      <c r="F454" s="22">
        <v>52</v>
      </c>
      <c r="G454" s="22">
        <v>4</v>
      </c>
      <c r="H454" s="22" t="s">
        <v>11</v>
      </c>
      <c r="I454" s="23"/>
    </row>
    <row r="455" spans="1:9">
      <c r="A455" s="49" t="s">
        <v>1888</v>
      </c>
      <c r="B455" s="39" t="s">
        <v>971</v>
      </c>
      <c r="C455" s="41" t="str">
        <f t="shared" si="7"/>
        <v>數學4-機械二甲</v>
      </c>
      <c r="D455" s="22" t="s">
        <v>986</v>
      </c>
      <c r="E455" s="22" t="s">
        <v>987</v>
      </c>
      <c r="F455" s="22">
        <v>56</v>
      </c>
      <c r="G455" s="22">
        <v>4</v>
      </c>
      <c r="H455" s="22" t="s">
        <v>11</v>
      </c>
      <c r="I455" s="23"/>
    </row>
    <row r="456" spans="1:9">
      <c r="A456" s="49" t="s">
        <v>1888</v>
      </c>
      <c r="B456" s="39" t="s">
        <v>971</v>
      </c>
      <c r="C456" s="41" t="str">
        <f t="shared" si="7"/>
        <v>數學4-機械二甲</v>
      </c>
      <c r="D456" s="22" t="s">
        <v>1557</v>
      </c>
      <c r="E456" s="22" t="s">
        <v>1558</v>
      </c>
      <c r="F456" s="22">
        <v>52</v>
      </c>
      <c r="G456" s="22">
        <v>4</v>
      </c>
      <c r="H456" s="22" t="s">
        <v>11</v>
      </c>
      <c r="I456" s="23"/>
    </row>
    <row r="457" spans="1:9">
      <c r="A457" s="49" t="s">
        <v>1888</v>
      </c>
      <c r="B457" s="39" t="s">
        <v>971</v>
      </c>
      <c r="C457" s="41" t="str">
        <f t="shared" si="7"/>
        <v>數學4-機械二甲</v>
      </c>
      <c r="D457" s="22" t="s">
        <v>992</v>
      </c>
      <c r="E457" s="22" t="s">
        <v>993</v>
      </c>
      <c r="F457" s="22">
        <v>45</v>
      </c>
      <c r="G457" s="22">
        <v>4</v>
      </c>
      <c r="H457" s="22" t="s">
        <v>11</v>
      </c>
      <c r="I457" s="23"/>
    </row>
    <row r="458" spans="1:9">
      <c r="A458" s="49" t="s">
        <v>1888</v>
      </c>
      <c r="B458" s="39" t="s">
        <v>971</v>
      </c>
      <c r="C458" s="41" t="str">
        <f t="shared" si="7"/>
        <v>數學4-機械二甲</v>
      </c>
      <c r="D458" s="22" t="s">
        <v>996</v>
      </c>
      <c r="E458" s="22" t="s">
        <v>997</v>
      </c>
      <c r="F458" s="22">
        <v>45</v>
      </c>
      <c r="G458" s="22">
        <v>4</v>
      </c>
      <c r="H458" s="22" t="s">
        <v>11</v>
      </c>
      <c r="I458" s="23"/>
    </row>
    <row r="459" spans="1:9">
      <c r="A459" s="49" t="s">
        <v>1950</v>
      </c>
      <c r="B459" s="39" t="s">
        <v>1059</v>
      </c>
      <c r="C459" s="41" t="str">
        <f t="shared" si="7"/>
        <v>數學4B-應英二乙</v>
      </c>
      <c r="D459" s="22" t="s">
        <v>1487</v>
      </c>
      <c r="E459" s="22" t="s">
        <v>1488</v>
      </c>
      <c r="F459" s="22">
        <v>40</v>
      </c>
      <c r="G459" s="22">
        <v>3</v>
      </c>
      <c r="H459" s="22" t="s">
        <v>11</v>
      </c>
      <c r="I459" s="23"/>
    </row>
    <row r="460" spans="1:9">
      <c r="A460" s="49" t="s">
        <v>1950</v>
      </c>
      <c r="B460" s="39" t="s">
        <v>1059</v>
      </c>
      <c r="C460" s="41" t="str">
        <f t="shared" si="7"/>
        <v>數學4B-應英二乙</v>
      </c>
      <c r="D460" s="22" t="s">
        <v>1489</v>
      </c>
      <c r="E460" s="22" t="s">
        <v>1490</v>
      </c>
      <c r="F460" s="22">
        <v>40</v>
      </c>
      <c r="G460" s="22">
        <v>3</v>
      </c>
      <c r="H460" s="22" t="s">
        <v>11</v>
      </c>
      <c r="I460" s="23"/>
    </row>
    <row r="461" spans="1:9">
      <c r="A461" s="49" t="s">
        <v>1950</v>
      </c>
      <c r="B461" s="39" t="s">
        <v>1059</v>
      </c>
      <c r="C461" s="41" t="str">
        <f t="shared" si="7"/>
        <v>數學4B-應英二乙</v>
      </c>
      <c r="D461" s="22" t="s">
        <v>1491</v>
      </c>
      <c r="E461" s="22" t="s">
        <v>1492</v>
      </c>
      <c r="F461" s="22">
        <v>48</v>
      </c>
      <c r="G461" s="22">
        <v>3</v>
      </c>
      <c r="H461" s="22" t="s">
        <v>11</v>
      </c>
      <c r="I461" s="23"/>
    </row>
    <row r="462" spans="1:9">
      <c r="A462" s="49" t="s">
        <v>1950</v>
      </c>
      <c r="B462" s="39" t="s">
        <v>1059</v>
      </c>
      <c r="C462" s="41" t="str">
        <f t="shared" si="7"/>
        <v>數學4B-應英二乙</v>
      </c>
      <c r="D462" s="22" t="s">
        <v>1493</v>
      </c>
      <c r="E462" s="22" t="s">
        <v>1494</v>
      </c>
      <c r="F462" s="22">
        <v>55</v>
      </c>
      <c r="G462" s="22">
        <v>3</v>
      </c>
      <c r="H462" s="22" t="s">
        <v>11</v>
      </c>
      <c r="I462" s="23"/>
    </row>
    <row r="463" spans="1:9">
      <c r="A463" s="49" t="s">
        <v>1950</v>
      </c>
      <c r="B463" s="39" t="s">
        <v>1059</v>
      </c>
      <c r="C463" s="41" t="str">
        <f t="shared" si="7"/>
        <v>數學4B-應英二乙</v>
      </c>
      <c r="D463" s="22" t="s">
        <v>1495</v>
      </c>
      <c r="E463" s="22" t="s">
        <v>1496</v>
      </c>
      <c r="F463" s="22">
        <v>59</v>
      </c>
      <c r="G463" s="22">
        <v>3</v>
      </c>
      <c r="H463" s="22" t="s">
        <v>11</v>
      </c>
      <c r="I463" s="23"/>
    </row>
    <row r="464" spans="1:9">
      <c r="A464" s="49" t="s">
        <v>1950</v>
      </c>
      <c r="B464" s="39" t="s">
        <v>1009</v>
      </c>
      <c r="C464" s="41" t="str">
        <f t="shared" si="7"/>
        <v>數學4B-應英二甲</v>
      </c>
      <c r="D464" s="22" t="s">
        <v>1485</v>
      </c>
      <c r="E464" s="22" t="s">
        <v>1486</v>
      </c>
      <c r="F464" s="22">
        <v>42</v>
      </c>
      <c r="G464" s="22">
        <v>3</v>
      </c>
      <c r="H464" s="22" t="s">
        <v>11</v>
      </c>
      <c r="I464" s="23"/>
    </row>
    <row r="465" spans="1:9">
      <c r="A465" s="49" t="s">
        <v>1888</v>
      </c>
      <c r="B465" s="39" t="s">
        <v>1020</v>
      </c>
      <c r="C465" s="41" t="str">
        <f t="shared" si="7"/>
        <v>數學4-鑄造二乙</v>
      </c>
      <c r="D465" s="22" t="s">
        <v>1541</v>
      </c>
      <c r="E465" s="22" t="s">
        <v>1542</v>
      </c>
      <c r="F465" s="22">
        <v>45</v>
      </c>
      <c r="G465" s="22">
        <v>4</v>
      </c>
      <c r="H465" s="22" t="s">
        <v>11</v>
      </c>
      <c r="I465" s="23"/>
    </row>
    <row r="466" spans="1:9">
      <c r="A466" s="49" t="s">
        <v>1888</v>
      </c>
      <c r="B466" s="39" t="s">
        <v>1020</v>
      </c>
      <c r="C466" s="41" t="str">
        <f t="shared" si="7"/>
        <v>數學4-鑄造二乙</v>
      </c>
      <c r="D466" s="22" t="s">
        <v>1543</v>
      </c>
      <c r="E466" s="22" t="s">
        <v>1544</v>
      </c>
      <c r="F466" s="22">
        <v>40</v>
      </c>
      <c r="G466" s="22">
        <v>4</v>
      </c>
      <c r="H466" s="22" t="s">
        <v>11</v>
      </c>
      <c r="I466" s="23"/>
    </row>
    <row r="467" spans="1:9">
      <c r="A467" s="49" t="s">
        <v>1888</v>
      </c>
      <c r="B467" s="39" t="s">
        <v>1020</v>
      </c>
      <c r="C467" s="41" t="str">
        <f t="shared" si="7"/>
        <v>數學4-鑄造二乙</v>
      </c>
      <c r="D467" s="22" t="s">
        <v>1021</v>
      </c>
      <c r="E467" s="22" t="s">
        <v>1022</v>
      </c>
      <c r="F467" s="22">
        <v>40</v>
      </c>
      <c r="G467" s="22">
        <v>4</v>
      </c>
      <c r="H467" s="22" t="s">
        <v>11</v>
      </c>
      <c r="I467" s="23"/>
    </row>
    <row r="468" spans="1:9">
      <c r="A468" s="49" t="s">
        <v>1888</v>
      </c>
      <c r="B468" s="39" t="s">
        <v>1020</v>
      </c>
      <c r="C468" s="41" t="str">
        <f t="shared" si="7"/>
        <v>數學4-鑄造二乙</v>
      </c>
      <c r="D468" s="22" t="s">
        <v>1437</v>
      </c>
      <c r="E468" s="22" t="s">
        <v>1438</v>
      </c>
      <c r="F468" s="22">
        <v>52</v>
      </c>
      <c r="G468" s="22">
        <v>4</v>
      </c>
      <c r="H468" s="22" t="s">
        <v>11</v>
      </c>
      <c r="I468" s="23"/>
    </row>
    <row r="469" spans="1:9">
      <c r="A469" s="49" t="s">
        <v>1888</v>
      </c>
      <c r="B469" s="39" t="s">
        <v>1020</v>
      </c>
      <c r="C469" s="41" t="str">
        <f t="shared" si="7"/>
        <v>數學4-鑄造二乙</v>
      </c>
      <c r="D469" s="22" t="s">
        <v>1259</v>
      </c>
      <c r="E469" s="22" t="s">
        <v>1260</v>
      </c>
      <c r="F469" s="22">
        <v>41</v>
      </c>
      <c r="G469" s="22">
        <v>4</v>
      </c>
      <c r="H469" s="22" t="s">
        <v>11</v>
      </c>
      <c r="I469" s="23"/>
    </row>
    <row r="470" spans="1:9">
      <c r="A470" s="49" t="s">
        <v>1888</v>
      </c>
      <c r="B470" s="39" t="s">
        <v>1020</v>
      </c>
      <c r="C470" s="41" t="str">
        <f t="shared" si="7"/>
        <v>數學4-鑄造二乙</v>
      </c>
      <c r="D470" s="22" t="s">
        <v>1023</v>
      </c>
      <c r="E470" s="22" t="s">
        <v>1024</v>
      </c>
      <c r="F470" s="22">
        <v>50</v>
      </c>
      <c r="G470" s="22">
        <v>4</v>
      </c>
      <c r="H470" s="22" t="s">
        <v>11</v>
      </c>
      <c r="I470" s="23"/>
    </row>
    <row r="471" spans="1:9">
      <c r="A471" s="49" t="s">
        <v>1888</v>
      </c>
      <c r="B471" s="39" t="s">
        <v>1020</v>
      </c>
      <c r="C471" s="41" t="str">
        <f t="shared" si="7"/>
        <v>數學4-鑄造二乙</v>
      </c>
      <c r="D471" s="22" t="s">
        <v>1261</v>
      </c>
      <c r="E471" s="22" t="s">
        <v>1262</v>
      </c>
      <c r="F471" s="22">
        <v>40</v>
      </c>
      <c r="G471" s="22">
        <v>4</v>
      </c>
      <c r="H471" s="22" t="s">
        <v>11</v>
      </c>
      <c r="I471" s="23"/>
    </row>
    <row r="472" spans="1:9">
      <c r="A472" s="49" t="s">
        <v>1888</v>
      </c>
      <c r="B472" s="39" t="s">
        <v>1020</v>
      </c>
      <c r="C472" s="41" t="str">
        <f t="shared" si="7"/>
        <v>數學4-鑄造二乙</v>
      </c>
      <c r="D472" s="22" t="s">
        <v>1545</v>
      </c>
      <c r="E472" s="22" t="s">
        <v>1546</v>
      </c>
      <c r="F472" s="22">
        <v>40</v>
      </c>
      <c r="G472" s="22">
        <v>4</v>
      </c>
      <c r="H472" s="22" t="s">
        <v>11</v>
      </c>
      <c r="I472" s="23"/>
    </row>
    <row r="473" spans="1:9">
      <c r="A473" s="49" t="s">
        <v>1888</v>
      </c>
      <c r="B473" s="39" t="s">
        <v>1020</v>
      </c>
      <c r="C473" s="41" t="str">
        <f t="shared" si="7"/>
        <v>數學4-鑄造二乙</v>
      </c>
      <c r="D473" s="22" t="s">
        <v>1263</v>
      </c>
      <c r="E473" s="22" t="s">
        <v>1264</v>
      </c>
      <c r="F473" s="22">
        <v>44</v>
      </c>
      <c r="G473" s="22">
        <v>4</v>
      </c>
      <c r="H473" s="22" t="s">
        <v>11</v>
      </c>
      <c r="I473" s="23"/>
    </row>
    <row r="474" spans="1:9">
      <c r="A474" s="49" t="s">
        <v>1888</v>
      </c>
      <c r="B474" s="39" t="s">
        <v>1020</v>
      </c>
      <c r="C474" s="41" t="str">
        <f t="shared" si="7"/>
        <v>數學4-鑄造二乙</v>
      </c>
      <c r="D474" s="22" t="s">
        <v>1025</v>
      </c>
      <c r="E474" s="22" t="s">
        <v>1026</v>
      </c>
      <c r="F474" s="22">
        <v>45</v>
      </c>
      <c r="G474" s="22">
        <v>4</v>
      </c>
      <c r="H474" s="22" t="s">
        <v>11</v>
      </c>
      <c r="I474" s="23"/>
    </row>
    <row r="475" spans="1:9">
      <c r="A475" s="49" t="s">
        <v>1888</v>
      </c>
      <c r="B475" s="39" t="s">
        <v>1020</v>
      </c>
      <c r="C475" s="41" t="str">
        <f t="shared" si="7"/>
        <v>數學4-鑄造二乙</v>
      </c>
      <c r="D475" s="22" t="s">
        <v>1547</v>
      </c>
      <c r="E475" s="22" t="s">
        <v>1548</v>
      </c>
      <c r="F475" s="22">
        <v>52</v>
      </c>
      <c r="G475" s="22">
        <v>4</v>
      </c>
      <c r="H475" s="22" t="s">
        <v>11</v>
      </c>
      <c r="I475" s="23"/>
    </row>
    <row r="476" spans="1:9">
      <c r="A476" s="49" t="s">
        <v>1888</v>
      </c>
      <c r="B476" s="39" t="s">
        <v>1020</v>
      </c>
      <c r="C476" s="41" t="str">
        <f t="shared" si="7"/>
        <v>數學4-鑄造二乙</v>
      </c>
      <c r="D476" s="22" t="s">
        <v>1267</v>
      </c>
      <c r="E476" s="22" t="s">
        <v>1268</v>
      </c>
      <c r="F476" s="22">
        <v>45</v>
      </c>
      <c r="G476" s="22">
        <v>4</v>
      </c>
      <c r="H476" s="22" t="s">
        <v>11</v>
      </c>
      <c r="I476" s="23"/>
    </row>
    <row r="477" spans="1:9">
      <c r="A477" s="49" t="s">
        <v>1888</v>
      </c>
      <c r="B477" s="39" t="s">
        <v>1020</v>
      </c>
      <c r="C477" s="41" t="str">
        <f t="shared" si="7"/>
        <v>數學4-鑄造二乙</v>
      </c>
      <c r="D477" s="22" t="s">
        <v>1033</v>
      </c>
      <c r="E477" s="22" t="s">
        <v>1034</v>
      </c>
      <c r="F477" s="22">
        <v>53</v>
      </c>
      <c r="G477" s="22">
        <v>4</v>
      </c>
      <c r="H477" s="22" t="s">
        <v>11</v>
      </c>
      <c r="I477" s="23"/>
    </row>
    <row r="478" spans="1:9">
      <c r="A478" s="49" t="s">
        <v>1888</v>
      </c>
      <c r="B478" s="39" t="s">
        <v>1064</v>
      </c>
      <c r="C478" s="41" t="str">
        <f t="shared" si="7"/>
        <v>數學4-鑄造二甲</v>
      </c>
      <c r="D478" s="22" t="s">
        <v>1065</v>
      </c>
      <c r="E478" s="22" t="s">
        <v>1066</v>
      </c>
      <c r="F478" s="22">
        <v>48</v>
      </c>
      <c r="G478" s="22">
        <v>4</v>
      </c>
      <c r="H478" s="22" t="s">
        <v>11</v>
      </c>
      <c r="I478" s="23"/>
    </row>
    <row r="479" spans="1:9">
      <c r="A479" s="49" t="s">
        <v>1888</v>
      </c>
      <c r="B479" s="39" t="s">
        <v>1064</v>
      </c>
      <c r="C479" s="41" t="str">
        <f t="shared" si="7"/>
        <v>數學4-鑄造二甲</v>
      </c>
      <c r="D479" s="22" t="s">
        <v>1305</v>
      </c>
      <c r="E479" s="22" t="s">
        <v>1306</v>
      </c>
      <c r="F479" s="22">
        <v>51</v>
      </c>
      <c r="G479" s="22">
        <v>4</v>
      </c>
      <c r="H479" s="22" t="s">
        <v>11</v>
      </c>
      <c r="I479" s="23"/>
    </row>
    <row r="480" spans="1:9">
      <c r="A480" s="49" t="s">
        <v>1888</v>
      </c>
      <c r="B480" s="39" t="s">
        <v>1064</v>
      </c>
      <c r="C480" s="41" t="str">
        <f t="shared" si="7"/>
        <v>數學4-鑄造二甲</v>
      </c>
      <c r="D480" s="22" t="s">
        <v>1507</v>
      </c>
      <c r="E480" s="22" t="s">
        <v>1508</v>
      </c>
      <c r="F480" s="22">
        <v>50</v>
      </c>
      <c r="G480" s="22">
        <v>4</v>
      </c>
      <c r="H480" s="22" t="s">
        <v>11</v>
      </c>
      <c r="I480" s="23"/>
    </row>
    <row r="481" spans="1:9">
      <c r="A481" s="49" t="s">
        <v>1888</v>
      </c>
      <c r="B481" s="39" t="s">
        <v>1064</v>
      </c>
      <c r="C481" s="41" t="str">
        <f t="shared" si="7"/>
        <v>數學4-鑄造二甲</v>
      </c>
      <c r="D481" s="22" t="s">
        <v>1509</v>
      </c>
      <c r="E481" s="22" t="s">
        <v>1510</v>
      </c>
      <c r="F481" s="22">
        <v>45</v>
      </c>
      <c r="G481" s="22">
        <v>4</v>
      </c>
      <c r="H481" s="22" t="s">
        <v>11</v>
      </c>
      <c r="I481" s="23"/>
    </row>
    <row r="482" spans="1:9">
      <c r="A482" s="49" t="s">
        <v>1888</v>
      </c>
      <c r="B482" s="39" t="s">
        <v>1064</v>
      </c>
      <c r="C482" s="41" t="str">
        <f t="shared" si="7"/>
        <v>數學4-鑄造二甲</v>
      </c>
      <c r="D482" s="22" t="s">
        <v>1307</v>
      </c>
      <c r="E482" s="22" t="s">
        <v>1308</v>
      </c>
      <c r="F482" s="22">
        <v>52</v>
      </c>
      <c r="G482" s="22">
        <v>4</v>
      </c>
      <c r="H482" s="22" t="s">
        <v>11</v>
      </c>
      <c r="I482" s="23"/>
    </row>
    <row r="483" spans="1:9">
      <c r="A483" s="49" t="s">
        <v>1888</v>
      </c>
      <c r="B483" s="39" t="s">
        <v>1064</v>
      </c>
      <c r="C483" s="41" t="str">
        <f t="shared" si="7"/>
        <v>數學4-鑄造二甲</v>
      </c>
      <c r="D483" s="22" t="s">
        <v>1309</v>
      </c>
      <c r="E483" s="22" t="s">
        <v>1310</v>
      </c>
      <c r="F483" s="22">
        <v>49</v>
      </c>
      <c r="G483" s="22">
        <v>4</v>
      </c>
      <c r="H483" s="22" t="s">
        <v>11</v>
      </c>
      <c r="I483" s="23"/>
    </row>
    <row r="484" spans="1:9">
      <c r="A484" s="49" t="s">
        <v>1888</v>
      </c>
      <c r="B484" s="39" t="s">
        <v>1064</v>
      </c>
      <c r="C484" s="41" t="str">
        <f t="shared" si="7"/>
        <v>數學4-鑄造二甲</v>
      </c>
      <c r="D484" s="22" t="s">
        <v>1069</v>
      </c>
      <c r="E484" s="22" t="s">
        <v>1070</v>
      </c>
      <c r="F484" s="22">
        <v>55</v>
      </c>
      <c r="G484" s="22">
        <v>4</v>
      </c>
      <c r="H484" s="22" t="s">
        <v>11</v>
      </c>
      <c r="I484" s="23"/>
    </row>
    <row r="485" spans="1:9">
      <c r="A485" s="49" t="s">
        <v>1888</v>
      </c>
      <c r="B485" s="39" t="s">
        <v>1064</v>
      </c>
      <c r="C485" s="41" t="str">
        <f t="shared" si="7"/>
        <v>數學4-鑄造二甲</v>
      </c>
      <c r="D485" s="22" t="s">
        <v>1071</v>
      </c>
      <c r="E485" s="22" t="s">
        <v>1072</v>
      </c>
      <c r="F485" s="22">
        <v>51</v>
      </c>
      <c r="G485" s="22">
        <v>4</v>
      </c>
      <c r="H485" s="22" t="s">
        <v>11</v>
      </c>
      <c r="I485" s="23"/>
    </row>
    <row r="486" spans="1:9">
      <c r="A486" s="49" t="s">
        <v>1888</v>
      </c>
      <c r="B486" s="39" t="s">
        <v>1064</v>
      </c>
      <c r="C486" s="41" t="str">
        <f t="shared" si="7"/>
        <v>數學4-鑄造二甲</v>
      </c>
      <c r="D486" s="22" t="s">
        <v>1511</v>
      </c>
      <c r="E486" s="22" t="s">
        <v>1512</v>
      </c>
      <c r="F486" s="22">
        <v>46</v>
      </c>
      <c r="G486" s="22">
        <v>4</v>
      </c>
      <c r="H486" s="22" t="s">
        <v>11</v>
      </c>
      <c r="I486" s="23"/>
    </row>
    <row r="487" spans="1:9">
      <c r="A487" s="49" t="s">
        <v>1888</v>
      </c>
      <c r="B487" s="39" t="s">
        <v>1064</v>
      </c>
      <c r="C487" s="41" t="str">
        <f t="shared" si="7"/>
        <v>數學4-鑄造二甲</v>
      </c>
      <c r="D487" s="22" t="s">
        <v>1317</v>
      </c>
      <c r="E487" s="22" t="s">
        <v>1318</v>
      </c>
      <c r="F487" s="22">
        <v>54</v>
      </c>
      <c r="G487" s="22">
        <v>4</v>
      </c>
      <c r="H487" s="22" t="s">
        <v>11</v>
      </c>
      <c r="I487" s="23"/>
    </row>
    <row r="488" spans="1:9">
      <c r="A488" s="49" t="s">
        <v>1888</v>
      </c>
      <c r="B488" s="39" t="s">
        <v>1064</v>
      </c>
      <c r="C488" s="41" t="str">
        <f t="shared" si="7"/>
        <v>數學4-鑄造二甲</v>
      </c>
      <c r="D488" s="22" t="s">
        <v>1513</v>
      </c>
      <c r="E488" s="22" t="s">
        <v>1514</v>
      </c>
      <c r="F488" s="22">
        <v>46</v>
      </c>
      <c r="G488" s="22">
        <v>4</v>
      </c>
      <c r="H488" s="22" t="s">
        <v>11</v>
      </c>
      <c r="I488" s="23"/>
    </row>
    <row r="489" spans="1:9">
      <c r="A489" s="49" t="s">
        <v>1888</v>
      </c>
      <c r="B489" s="39" t="s">
        <v>1064</v>
      </c>
      <c r="C489" s="41" t="str">
        <f t="shared" si="7"/>
        <v>數學4-鑄造二甲</v>
      </c>
      <c r="D489" s="22" t="s">
        <v>1079</v>
      </c>
      <c r="E489" s="22" t="s">
        <v>1080</v>
      </c>
      <c r="F489" s="22">
        <v>46</v>
      </c>
      <c r="G489" s="22">
        <v>4</v>
      </c>
      <c r="H489" s="22" t="s">
        <v>11</v>
      </c>
      <c r="I489" s="23"/>
    </row>
    <row r="490" spans="1:9">
      <c r="A490" s="49" t="s">
        <v>1949</v>
      </c>
      <c r="B490" s="39" t="s">
        <v>968</v>
      </c>
      <c r="C490" s="41" t="str">
        <f t="shared" si="7"/>
        <v>數學6-體育二甲</v>
      </c>
      <c r="D490" s="22" t="s">
        <v>1271</v>
      </c>
      <c r="E490" s="22" t="s">
        <v>1272</v>
      </c>
      <c r="F490" s="22">
        <v>43</v>
      </c>
      <c r="G490" s="22">
        <v>2</v>
      </c>
      <c r="H490" s="22" t="s">
        <v>11</v>
      </c>
      <c r="I490" s="23"/>
    </row>
    <row r="491" spans="1:9">
      <c r="A491" s="49" t="s">
        <v>1949</v>
      </c>
      <c r="B491" s="39" t="s">
        <v>968</v>
      </c>
      <c r="C491" s="41" t="str">
        <f t="shared" si="7"/>
        <v>數學6-體育二甲</v>
      </c>
      <c r="D491" s="22" t="s">
        <v>1273</v>
      </c>
      <c r="E491" s="22" t="s">
        <v>1274</v>
      </c>
      <c r="F491" s="22">
        <v>40</v>
      </c>
      <c r="G491" s="22">
        <v>2</v>
      </c>
      <c r="H491" s="22" t="s">
        <v>11</v>
      </c>
      <c r="I491" s="23"/>
    </row>
    <row r="492" spans="1:9">
      <c r="A492" s="49" t="s">
        <v>1949</v>
      </c>
      <c r="B492" s="39" t="s">
        <v>968</v>
      </c>
      <c r="C492" s="41" t="str">
        <f t="shared" si="7"/>
        <v>數學6-體育二甲</v>
      </c>
      <c r="D492" s="22" t="s">
        <v>1533</v>
      </c>
      <c r="E492" s="22" t="s">
        <v>1534</v>
      </c>
      <c r="F492" s="22">
        <v>50</v>
      </c>
      <c r="G492" s="22">
        <v>2</v>
      </c>
      <c r="H492" s="22" t="s">
        <v>11</v>
      </c>
      <c r="I492" s="23"/>
    </row>
    <row r="493" spans="1:9">
      <c r="A493" s="49" t="s">
        <v>1949</v>
      </c>
      <c r="B493" s="39" t="s">
        <v>968</v>
      </c>
      <c r="C493" s="41" t="str">
        <f t="shared" si="7"/>
        <v>數學6-體育二甲</v>
      </c>
      <c r="D493" s="22" t="s">
        <v>1535</v>
      </c>
      <c r="E493" s="22" t="s">
        <v>1536</v>
      </c>
      <c r="F493" s="22">
        <v>46</v>
      </c>
      <c r="G493" s="22">
        <v>2</v>
      </c>
      <c r="H493" s="22" t="s">
        <v>11</v>
      </c>
      <c r="I493" s="23"/>
    </row>
    <row r="494" spans="1:9">
      <c r="A494" s="49" t="s">
        <v>1949</v>
      </c>
      <c r="B494" s="39" t="s">
        <v>968</v>
      </c>
      <c r="C494" s="41" t="str">
        <f t="shared" si="7"/>
        <v>數學6-體育二甲</v>
      </c>
      <c r="D494" s="22" t="s">
        <v>1275</v>
      </c>
      <c r="E494" s="22" t="s">
        <v>1276</v>
      </c>
      <c r="F494" s="22">
        <v>41</v>
      </c>
      <c r="G494" s="22">
        <v>2</v>
      </c>
      <c r="H494" s="22" t="s">
        <v>11</v>
      </c>
      <c r="I494" s="23"/>
    </row>
    <row r="495" spans="1:9">
      <c r="A495" s="49" t="s">
        <v>1949</v>
      </c>
      <c r="B495" s="39" t="s">
        <v>968</v>
      </c>
      <c r="C495" s="41" t="str">
        <f t="shared" si="7"/>
        <v>數學6-體育二甲</v>
      </c>
      <c r="D495" s="22" t="s">
        <v>1277</v>
      </c>
      <c r="E495" s="22" t="s">
        <v>1278</v>
      </c>
      <c r="F495" s="22">
        <v>40</v>
      </c>
      <c r="G495" s="22">
        <v>2</v>
      </c>
      <c r="H495" s="22" t="s">
        <v>11</v>
      </c>
      <c r="I495" s="23"/>
    </row>
    <row r="496" spans="1:9">
      <c r="A496" s="49" t="s">
        <v>1949</v>
      </c>
      <c r="B496" s="39" t="s">
        <v>968</v>
      </c>
      <c r="C496" s="41" t="str">
        <f t="shared" si="7"/>
        <v>數學6-體育二甲</v>
      </c>
      <c r="D496" s="22" t="s">
        <v>1537</v>
      </c>
      <c r="E496" s="22" t="s">
        <v>1538</v>
      </c>
      <c r="F496" s="22">
        <v>55</v>
      </c>
      <c r="G496" s="22">
        <v>2</v>
      </c>
      <c r="H496" s="22" t="s">
        <v>11</v>
      </c>
      <c r="I496" s="23"/>
    </row>
    <row r="497" spans="1:9">
      <c r="A497" s="49" t="s">
        <v>1949</v>
      </c>
      <c r="B497" s="39" t="s">
        <v>968</v>
      </c>
      <c r="C497" s="41" t="str">
        <f t="shared" si="7"/>
        <v>數學6-體育二甲</v>
      </c>
      <c r="D497" s="22" t="s">
        <v>1279</v>
      </c>
      <c r="E497" s="22" t="s">
        <v>1280</v>
      </c>
      <c r="F497" s="22">
        <v>42</v>
      </c>
      <c r="G497" s="22">
        <v>2</v>
      </c>
      <c r="H497" s="22" t="s">
        <v>11</v>
      </c>
      <c r="I497" s="23"/>
    </row>
    <row r="498" spans="1:9">
      <c r="A498" s="49" t="s">
        <v>1949</v>
      </c>
      <c r="B498" s="39" t="s">
        <v>968</v>
      </c>
      <c r="C498" s="41" t="str">
        <f t="shared" si="7"/>
        <v>數學6-體育二甲</v>
      </c>
      <c r="D498" s="22" t="s">
        <v>1539</v>
      </c>
      <c r="E498" s="22" t="s">
        <v>1540</v>
      </c>
      <c r="F498" s="22">
        <v>40</v>
      </c>
      <c r="G498" s="22">
        <v>2</v>
      </c>
      <c r="H498" s="22" t="s">
        <v>11</v>
      </c>
      <c r="I498" s="23"/>
    </row>
    <row r="499" spans="1:9">
      <c r="A499" s="22" t="s">
        <v>1627</v>
      </c>
      <c r="B499" s="39" t="s">
        <v>1231</v>
      </c>
      <c r="C499" s="41" t="str">
        <f t="shared" si="7"/>
        <v>機件原理-製圖二乙</v>
      </c>
      <c r="D499" s="22" t="s">
        <v>1426</v>
      </c>
      <c r="E499" s="22" t="s">
        <v>1427</v>
      </c>
      <c r="F499" s="22">
        <v>50</v>
      </c>
      <c r="G499" s="22">
        <v>2</v>
      </c>
      <c r="H499" s="22" t="s">
        <v>11</v>
      </c>
      <c r="I499" s="23"/>
    </row>
    <row r="500" spans="1:9">
      <c r="A500" s="22" t="s">
        <v>1627</v>
      </c>
      <c r="B500" s="39" t="s">
        <v>1102</v>
      </c>
      <c r="C500" s="41" t="str">
        <f t="shared" si="7"/>
        <v>機件原理-製圖二丙</v>
      </c>
      <c r="D500" s="22" t="s">
        <v>1105</v>
      </c>
      <c r="E500" s="22" t="s">
        <v>1106</v>
      </c>
      <c r="F500" s="22">
        <v>53</v>
      </c>
      <c r="G500" s="22">
        <v>2</v>
      </c>
      <c r="H500" s="22" t="s">
        <v>11</v>
      </c>
      <c r="I500" s="23"/>
    </row>
    <row r="501" spans="1:9">
      <c r="A501" s="22" t="s">
        <v>1627</v>
      </c>
      <c r="B501" s="39" t="s">
        <v>1102</v>
      </c>
      <c r="C501" s="41" t="str">
        <f t="shared" si="7"/>
        <v>機件原理-製圖二丙</v>
      </c>
      <c r="D501" s="22" t="s">
        <v>1111</v>
      </c>
      <c r="E501" s="22" t="s">
        <v>1112</v>
      </c>
      <c r="F501" s="22">
        <v>58</v>
      </c>
      <c r="G501" s="22">
        <v>2</v>
      </c>
      <c r="H501" s="22" t="s">
        <v>11</v>
      </c>
      <c r="I501" s="23"/>
    </row>
    <row r="502" spans="1:9">
      <c r="A502" s="22" t="s">
        <v>1627</v>
      </c>
      <c r="B502" s="39" t="s">
        <v>1102</v>
      </c>
      <c r="C502" s="41" t="str">
        <f t="shared" si="7"/>
        <v>機件原理-製圖二丙</v>
      </c>
      <c r="D502" s="22" t="s">
        <v>1445</v>
      </c>
      <c r="E502" s="22" t="s">
        <v>1446</v>
      </c>
      <c r="F502" s="22">
        <v>49</v>
      </c>
      <c r="G502" s="22">
        <v>2</v>
      </c>
      <c r="H502" s="22" t="s">
        <v>11</v>
      </c>
      <c r="I502" s="23"/>
    </row>
    <row r="503" spans="1:9">
      <c r="A503" s="22" t="s">
        <v>1627</v>
      </c>
      <c r="B503" s="39" t="s">
        <v>1102</v>
      </c>
      <c r="C503" s="41" t="str">
        <f t="shared" ref="C503:C566" si="8">A503&amp;"-"&amp;B503</f>
        <v>機件原理-製圖二丙</v>
      </c>
      <c r="D503" s="22" t="s">
        <v>1638</v>
      </c>
      <c r="E503" s="22" t="s">
        <v>1639</v>
      </c>
      <c r="F503" s="22">
        <v>54</v>
      </c>
      <c r="G503" s="22">
        <v>2</v>
      </c>
      <c r="H503" s="22" t="s">
        <v>11</v>
      </c>
      <c r="I503" s="23"/>
    </row>
    <row r="504" spans="1:9">
      <c r="A504" s="22" t="s">
        <v>1627</v>
      </c>
      <c r="B504" s="39" t="s">
        <v>1102</v>
      </c>
      <c r="C504" s="41" t="str">
        <f t="shared" si="8"/>
        <v>機件原理-製圖二丙</v>
      </c>
      <c r="D504" s="22" t="s">
        <v>1113</v>
      </c>
      <c r="E504" s="22" t="s">
        <v>1114</v>
      </c>
      <c r="F504" s="22">
        <v>56</v>
      </c>
      <c r="G504" s="22">
        <v>2</v>
      </c>
      <c r="H504" s="22" t="s">
        <v>11</v>
      </c>
      <c r="I504" s="23"/>
    </row>
    <row r="505" spans="1:9">
      <c r="A505" s="22" t="s">
        <v>1627</v>
      </c>
      <c r="B505" s="39" t="s">
        <v>1102</v>
      </c>
      <c r="C505" s="41" t="str">
        <f t="shared" si="8"/>
        <v>機件原理-製圖二丙</v>
      </c>
      <c r="D505" s="22" t="s">
        <v>1119</v>
      </c>
      <c r="E505" s="22" t="s">
        <v>1120</v>
      </c>
      <c r="F505" s="22">
        <v>59</v>
      </c>
      <c r="G505" s="22">
        <v>2</v>
      </c>
      <c r="H505" s="22" t="s">
        <v>11</v>
      </c>
      <c r="I505" s="23"/>
    </row>
    <row r="506" spans="1:9">
      <c r="A506" s="22" t="s">
        <v>1627</v>
      </c>
      <c r="B506" s="39" t="s">
        <v>1102</v>
      </c>
      <c r="C506" s="41" t="str">
        <f t="shared" si="8"/>
        <v>機件原理-製圖二丙</v>
      </c>
      <c r="D506" s="22" t="s">
        <v>1123</v>
      </c>
      <c r="E506" s="22" t="s">
        <v>1124</v>
      </c>
      <c r="F506" s="22">
        <v>57</v>
      </c>
      <c r="G506" s="22">
        <v>2</v>
      </c>
      <c r="H506" s="22" t="s">
        <v>11</v>
      </c>
      <c r="I506" s="23"/>
    </row>
    <row r="507" spans="1:9">
      <c r="A507" s="22" t="s">
        <v>1627</v>
      </c>
      <c r="B507" s="39" t="s">
        <v>1102</v>
      </c>
      <c r="C507" s="41" t="str">
        <f t="shared" si="8"/>
        <v>機件原理-製圖二丙</v>
      </c>
      <c r="D507" s="22" t="s">
        <v>1129</v>
      </c>
      <c r="E507" s="22" t="s">
        <v>1130</v>
      </c>
      <c r="F507" s="22">
        <v>53</v>
      </c>
      <c r="G507" s="22">
        <v>2</v>
      </c>
      <c r="H507" s="22" t="s">
        <v>11</v>
      </c>
      <c r="I507" s="23"/>
    </row>
    <row r="508" spans="1:9">
      <c r="A508" s="22" t="s">
        <v>1627</v>
      </c>
      <c r="B508" s="39" t="s">
        <v>1102</v>
      </c>
      <c r="C508" s="41" t="str">
        <f t="shared" si="8"/>
        <v>機件原理-製圖二丙</v>
      </c>
      <c r="D508" s="22" t="s">
        <v>1131</v>
      </c>
      <c r="E508" s="22" t="s">
        <v>1132</v>
      </c>
      <c r="F508" s="22">
        <v>59</v>
      </c>
      <c r="G508" s="22">
        <v>2</v>
      </c>
      <c r="H508" s="22" t="s">
        <v>11</v>
      </c>
      <c r="I508" s="23"/>
    </row>
    <row r="509" spans="1:9">
      <c r="A509" s="22" t="s">
        <v>1627</v>
      </c>
      <c r="B509" s="39" t="s">
        <v>1191</v>
      </c>
      <c r="C509" s="41" t="str">
        <f t="shared" si="8"/>
        <v>機件原理-製圖二甲</v>
      </c>
      <c r="D509" s="22" t="s">
        <v>1501</v>
      </c>
      <c r="E509" s="22" t="s">
        <v>1502</v>
      </c>
      <c r="F509" s="22">
        <v>54</v>
      </c>
      <c r="G509" s="22">
        <v>2</v>
      </c>
      <c r="H509" s="22" t="s">
        <v>11</v>
      </c>
      <c r="I509" s="23"/>
    </row>
    <row r="510" spans="1:9">
      <c r="A510" s="22" t="s">
        <v>1627</v>
      </c>
      <c r="B510" s="39" t="s">
        <v>1191</v>
      </c>
      <c r="C510" s="41" t="str">
        <f t="shared" si="8"/>
        <v>機件原理-製圖二甲</v>
      </c>
      <c r="D510" s="22" t="s">
        <v>1319</v>
      </c>
      <c r="E510" s="22" t="s">
        <v>1320</v>
      </c>
      <c r="F510" s="22">
        <v>55</v>
      </c>
      <c r="G510" s="22">
        <v>2</v>
      </c>
      <c r="H510" s="22" t="s">
        <v>11</v>
      </c>
      <c r="I510" s="23"/>
    </row>
    <row r="511" spans="1:9">
      <c r="A511" s="22" t="s">
        <v>1627</v>
      </c>
      <c r="B511" s="39" t="s">
        <v>1191</v>
      </c>
      <c r="C511" s="41" t="str">
        <f t="shared" si="8"/>
        <v>機件原理-製圖二甲</v>
      </c>
      <c r="D511" s="22" t="s">
        <v>1323</v>
      </c>
      <c r="E511" s="22" t="s">
        <v>1324</v>
      </c>
      <c r="F511" s="22">
        <v>57</v>
      </c>
      <c r="G511" s="22">
        <v>2</v>
      </c>
      <c r="H511" s="22" t="s">
        <v>11</v>
      </c>
      <c r="I511" s="23"/>
    </row>
    <row r="512" spans="1:9">
      <c r="A512" s="22" t="s">
        <v>1627</v>
      </c>
      <c r="B512" s="39" t="s">
        <v>1191</v>
      </c>
      <c r="C512" s="41" t="str">
        <f t="shared" si="8"/>
        <v>機件原理-製圖二甲</v>
      </c>
      <c r="D512" s="22" t="s">
        <v>1634</v>
      </c>
      <c r="E512" s="22" t="s">
        <v>1635</v>
      </c>
      <c r="F512" s="22">
        <v>53</v>
      </c>
      <c r="G512" s="22">
        <v>2</v>
      </c>
      <c r="H512" s="22" t="s">
        <v>11</v>
      </c>
      <c r="I512" s="23"/>
    </row>
    <row r="513" spans="1:9">
      <c r="A513" s="22" t="s">
        <v>1627</v>
      </c>
      <c r="B513" s="39" t="s">
        <v>1191</v>
      </c>
      <c r="C513" s="41" t="str">
        <f t="shared" si="8"/>
        <v>機件原理-製圖二甲</v>
      </c>
      <c r="D513" s="22" t="s">
        <v>1192</v>
      </c>
      <c r="E513" s="22" t="s">
        <v>1193</v>
      </c>
      <c r="F513" s="22">
        <v>51</v>
      </c>
      <c r="G513" s="22">
        <v>2</v>
      </c>
      <c r="H513" s="22" t="s">
        <v>11</v>
      </c>
      <c r="I513" s="23"/>
    </row>
    <row r="514" spans="1:9">
      <c r="A514" s="22" t="s">
        <v>1627</v>
      </c>
      <c r="B514" s="39" t="s">
        <v>1191</v>
      </c>
      <c r="C514" s="41" t="str">
        <f t="shared" si="8"/>
        <v>機件原理-製圖二甲</v>
      </c>
      <c r="D514" s="22" t="s">
        <v>1327</v>
      </c>
      <c r="E514" s="22" t="s">
        <v>1328</v>
      </c>
      <c r="F514" s="22">
        <v>58</v>
      </c>
      <c r="G514" s="22">
        <v>2</v>
      </c>
      <c r="H514" s="22" t="s">
        <v>11</v>
      </c>
      <c r="I514" s="23"/>
    </row>
    <row r="515" spans="1:9">
      <c r="A515" s="22" t="s">
        <v>1627</v>
      </c>
      <c r="B515" s="39" t="s">
        <v>1191</v>
      </c>
      <c r="C515" s="41" t="str">
        <f t="shared" si="8"/>
        <v>機件原理-製圖二甲</v>
      </c>
      <c r="D515" s="22" t="s">
        <v>1333</v>
      </c>
      <c r="E515" s="22" t="s">
        <v>1334</v>
      </c>
      <c r="F515" s="22">
        <v>57</v>
      </c>
      <c r="G515" s="22">
        <v>2</v>
      </c>
      <c r="H515" s="22" t="s">
        <v>11</v>
      </c>
      <c r="I515" s="23"/>
    </row>
    <row r="516" spans="1:9">
      <c r="A516" s="22" t="s">
        <v>1627</v>
      </c>
      <c r="B516" s="39" t="s">
        <v>1191</v>
      </c>
      <c r="C516" s="41" t="str">
        <f t="shared" si="8"/>
        <v>機件原理-製圖二甲</v>
      </c>
      <c r="D516" s="22" t="s">
        <v>1503</v>
      </c>
      <c r="E516" s="22" t="s">
        <v>1504</v>
      </c>
      <c r="F516" s="22">
        <v>56</v>
      </c>
      <c r="G516" s="22">
        <v>2</v>
      </c>
      <c r="H516" s="22" t="s">
        <v>11</v>
      </c>
      <c r="I516" s="23"/>
    </row>
    <row r="517" spans="1:9">
      <c r="A517" s="22" t="s">
        <v>1627</v>
      </c>
      <c r="B517" s="39" t="s">
        <v>1191</v>
      </c>
      <c r="C517" s="41" t="str">
        <f t="shared" si="8"/>
        <v>機件原理-製圖二甲</v>
      </c>
      <c r="D517" s="22" t="s">
        <v>1636</v>
      </c>
      <c r="E517" s="22" t="s">
        <v>1637</v>
      </c>
      <c r="F517" s="22">
        <v>51</v>
      </c>
      <c r="G517" s="22">
        <v>2</v>
      </c>
      <c r="H517" s="22" t="s">
        <v>11</v>
      </c>
      <c r="I517" s="23"/>
    </row>
    <row r="518" spans="1:9">
      <c r="A518" s="22" t="s">
        <v>1627</v>
      </c>
      <c r="B518" s="39" t="s">
        <v>1191</v>
      </c>
      <c r="C518" s="41" t="str">
        <f t="shared" si="8"/>
        <v>機件原理-製圖二甲</v>
      </c>
      <c r="D518" s="22" t="s">
        <v>1196</v>
      </c>
      <c r="E518" s="22" t="s">
        <v>1197</v>
      </c>
      <c r="F518" s="22">
        <v>50</v>
      </c>
      <c r="G518" s="22">
        <v>2</v>
      </c>
      <c r="H518" s="22" t="s">
        <v>11</v>
      </c>
      <c r="I518" s="23"/>
    </row>
    <row r="519" spans="1:9">
      <c r="A519" s="22" t="s">
        <v>1627</v>
      </c>
      <c r="B519" s="39" t="s">
        <v>1191</v>
      </c>
      <c r="C519" s="41" t="str">
        <f t="shared" si="8"/>
        <v>機件原理-製圖二甲</v>
      </c>
      <c r="D519" s="22" t="s">
        <v>1335</v>
      </c>
      <c r="E519" s="22" t="s">
        <v>1336</v>
      </c>
      <c r="F519" s="22">
        <v>53</v>
      </c>
      <c r="G519" s="22">
        <v>2</v>
      </c>
      <c r="H519" s="22" t="s">
        <v>11</v>
      </c>
      <c r="I519" s="23"/>
    </row>
    <row r="520" spans="1:9">
      <c r="A520" s="22" t="s">
        <v>1627</v>
      </c>
      <c r="B520" s="39" t="s">
        <v>1191</v>
      </c>
      <c r="C520" s="41" t="str">
        <f t="shared" si="8"/>
        <v>機件原理-製圖二甲</v>
      </c>
      <c r="D520" s="22" t="s">
        <v>1505</v>
      </c>
      <c r="E520" s="22" t="s">
        <v>1506</v>
      </c>
      <c r="F520" s="22">
        <v>55</v>
      </c>
      <c r="G520" s="22">
        <v>2</v>
      </c>
      <c r="H520" s="22" t="s">
        <v>11</v>
      </c>
      <c r="I520" s="23"/>
    </row>
    <row r="521" spans="1:9">
      <c r="A521" s="22" t="s">
        <v>1627</v>
      </c>
      <c r="B521" s="39" t="s">
        <v>1191</v>
      </c>
      <c r="C521" s="41" t="str">
        <f t="shared" si="8"/>
        <v>機件原理-製圖二甲</v>
      </c>
      <c r="D521" s="22" t="s">
        <v>1198</v>
      </c>
      <c r="E521" s="22" t="s">
        <v>1199</v>
      </c>
      <c r="F521" s="22">
        <v>56</v>
      </c>
      <c r="G521" s="22">
        <v>2</v>
      </c>
      <c r="H521" s="22" t="s">
        <v>11</v>
      </c>
      <c r="I521" s="23"/>
    </row>
    <row r="522" spans="1:9">
      <c r="A522" s="22" t="s">
        <v>1627</v>
      </c>
      <c r="B522" s="39" t="s">
        <v>1217</v>
      </c>
      <c r="C522" s="41" t="str">
        <f t="shared" si="8"/>
        <v>機件原理-模具二甲</v>
      </c>
      <c r="D522" s="22" t="s">
        <v>1632</v>
      </c>
      <c r="E522" s="22" t="s">
        <v>1633</v>
      </c>
      <c r="F522" s="22">
        <v>48</v>
      </c>
      <c r="G522" s="22">
        <v>2</v>
      </c>
      <c r="H522" s="22" t="s">
        <v>11</v>
      </c>
      <c r="I522" s="23"/>
    </row>
    <row r="523" spans="1:9">
      <c r="A523" s="22" t="s">
        <v>1627</v>
      </c>
      <c r="B523" s="39" t="s">
        <v>1171</v>
      </c>
      <c r="C523" s="41" t="str">
        <f t="shared" si="8"/>
        <v>機件原理-機械二乙</v>
      </c>
      <c r="D523" s="22" t="s">
        <v>1253</v>
      </c>
      <c r="E523" s="22" t="s">
        <v>1254</v>
      </c>
      <c r="F523" s="22">
        <v>41</v>
      </c>
      <c r="G523" s="22">
        <v>2</v>
      </c>
      <c r="H523" s="22" t="s">
        <v>11</v>
      </c>
      <c r="I523" s="23"/>
    </row>
    <row r="524" spans="1:9">
      <c r="A524" s="22" t="s">
        <v>1627</v>
      </c>
      <c r="B524" s="39" t="s">
        <v>1171</v>
      </c>
      <c r="C524" s="41" t="str">
        <f t="shared" si="8"/>
        <v>機件原理-機械二乙</v>
      </c>
      <c r="D524" s="22" t="s">
        <v>1628</v>
      </c>
      <c r="E524" s="22" t="s">
        <v>1629</v>
      </c>
      <c r="F524" s="22">
        <v>51</v>
      </c>
      <c r="G524" s="22">
        <v>2</v>
      </c>
      <c r="H524" s="22" t="s">
        <v>11</v>
      </c>
      <c r="I524" s="23"/>
    </row>
    <row r="525" spans="1:9">
      <c r="A525" s="22" t="s">
        <v>1627</v>
      </c>
      <c r="B525" s="39" t="s">
        <v>1171</v>
      </c>
      <c r="C525" s="41" t="str">
        <f t="shared" si="8"/>
        <v>機件原理-機械二乙</v>
      </c>
      <c r="D525" s="22" t="s">
        <v>1182</v>
      </c>
      <c r="E525" s="22" t="s">
        <v>1183</v>
      </c>
      <c r="F525" s="22">
        <v>49</v>
      </c>
      <c r="G525" s="22">
        <v>2</v>
      </c>
      <c r="H525" s="22" t="s">
        <v>11</v>
      </c>
      <c r="I525" s="23"/>
    </row>
    <row r="526" spans="1:9">
      <c r="A526" s="22" t="s">
        <v>1627</v>
      </c>
      <c r="B526" s="39" t="s">
        <v>971</v>
      </c>
      <c r="C526" s="41" t="str">
        <f t="shared" si="8"/>
        <v>機件原理-機械二甲</v>
      </c>
      <c r="D526" s="22" t="s">
        <v>996</v>
      </c>
      <c r="E526" s="22" t="s">
        <v>997</v>
      </c>
      <c r="F526" s="22">
        <v>40</v>
      </c>
      <c r="G526" s="22">
        <v>2</v>
      </c>
      <c r="H526" s="22" t="s">
        <v>11</v>
      </c>
      <c r="I526" s="23"/>
    </row>
    <row r="527" spans="1:9">
      <c r="A527" s="22" t="s">
        <v>1627</v>
      </c>
      <c r="B527" s="39" t="s">
        <v>1020</v>
      </c>
      <c r="C527" s="41" t="str">
        <f t="shared" si="8"/>
        <v>機件原理-鑄造二乙</v>
      </c>
      <c r="D527" s="22" t="s">
        <v>1630</v>
      </c>
      <c r="E527" s="22" t="s">
        <v>1631</v>
      </c>
      <c r="F527" s="22">
        <v>54</v>
      </c>
      <c r="G527" s="22">
        <v>2</v>
      </c>
      <c r="H527" s="22" t="s">
        <v>11</v>
      </c>
      <c r="I527" s="23"/>
    </row>
    <row r="528" spans="1:9">
      <c r="A528" s="22" t="s">
        <v>1627</v>
      </c>
      <c r="B528" s="39" t="s">
        <v>1020</v>
      </c>
      <c r="C528" s="41" t="str">
        <f t="shared" si="8"/>
        <v>機件原理-鑄造二乙</v>
      </c>
      <c r="D528" s="22" t="s">
        <v>1263</v>
      </c>
      <c r="E528" s="22" t="s">
        <v>1264</v>
      </c>
      <c r="F528" s="22">
        <v>41</v>
      </c>
      <c r="G528" s="22">
        <v>2</v>
      </c>
      <c r="H528" s="22" t="s">
        <v>11</v>
      </c>
      <c r="I528" s="23"/>
    </row>
    <row r="529" spans="1:9">
      <c r="A529" s="22" t="s">
        <v>1627</v>
      </c>
      <c r="B529" s="39" t="s">
        <v>1064</v>
      </c>
      <c r="C529" s="41" t="str">
        <f t="shared" si="8"/>
        <v>機件原理-鑄造二甲</v>
      </c>
      <c r="D529" s="22" t="s">
        <v>1065</v>
      </c>
      <c r="E529" s="22" t="s">
        <v>1066</v>
      </c>
      <c r="F529" s="22">
        <v>40</v>
      </c>
      <c r="G529" s="22">
        <v>2</v>
      </c>
      <c r="H529" s="22" t="s">
        <v>11</v>
      </c>
      <c r="I529" s="23"/>
    </row>
    <row r="530" spans="1:9">
      <c r="A530" s="22" t="s">
        <v>1627</v>
      </c>
      <c r="B530" s="39" t="s">
        <v>1064</v>
      </c>
      <c r="C530" s="41" t="str">
        <f t="shared" si="8"/>
        <v>機件原理-鑄造二甲</v>
      </c>
      <c r="D530" s="22" t="s">
        <v>1305</v>
      </c>
      <c r="E530" s="22" t="s">
        <v>1306</v>
      </c>
      <c r="F530" s="22">
        <v>50</v>
      </c>
      <c r="G530" s="22">
        <v>2</v>
      </c>
      <c r="H530" s="22" t="s">
        <v>11</v>
      </c>
      <c r="I530" s="23"/>
    </row>
    <row r="531" spans="1:9">
      <c r="A531" s="22" t="s">
        <v>1627</v>
      </c>
      <c r="B531" s="39" t="s">
        <v>1064</v>
      </c>
      <c r="C531" s="41" t="str">
        <f t="shared" si="8"/>
        <v>機件原理-鑄造二甲</v>
      </c>
      <c r="D531" s="22" t="s">
        <v>1079</v>
      </c>
      <c r="E531" s="22" t="s">
        <v>1080</v>
      </c>
      <c r="F531" s="22">
        <v>49</v>
      </c>
      <c r="G531" s="22">
        <v>2</v>
      </c>
      <c r="H531" s="22" t="s">
        <v>11</v>
      </c>
      <c r="I531" s="23"/>
    </row>
    <row r="532" spans="1:9">
      <c r="A532" s="22" t="s">
        <v>1640</v>
      </c>
      <c r="B532" s="39" t="s">
        <v>1231</v>
      </c>
      <c r="C532" s="41" t="str">
        <f t="shared" si="8"/>
        <v>機械力學-製圖二乙</v>
      </c>
      <c r="D532" s="22" t="s">
        <v>1240</v>
      </c>
      <c r="E532" s="22" t="s">
        <v>157</v>
      </c>
      <c r="F532" s="22">
        <v>49</v>
      </c>
      <c r="G532" s="22">
        <v>2</v>
      </c>
      <c r="H532" s="22" t="s">
        <v>11</v>
      </c>
      <c r="I532" s="23"/>
    </row>
    <row r="533" spans="1:9">
      <c r="A533" s="22" t="s">
        <v>1640</v>
      </c>
      <c r="B533" s="39" t="s">
        <v>1231</v>
      </c>
      <c r="C533" s="41" t="str">
        <f t="shared" si="8"/>
        <v>機械力學-製圖二乙</v>
      </c>
      <c r="D533" s="22" t="s">
        <v>1426</v>
      </c>
      <c r="E533" s="22" t="s">
        <v>1427</v>
      </c>
      <c r="F533" s="22">
        <v>45</v>
      </c>
      <c r="G533" s="22">
        <v>2</v>
      </c>
      <c r="H533" s="22" t="s">
        <v>11</v>
      </c>
      <c r="I533" s="23"/>
    </row>
    <row r="534" spans="1:9">
      <c r="A534" s="22" t="s">
        <v>1640</v>
      </c>
      <c r="B534" s="39" t="s">
        <v>1102</v>
      </c>
      <c r="C534" s="41" t="str">
        <f t="shared" si="8"/>
        <v>機械力學-製圖二丙</v>
      </c>
      <c r="D534" s="22" t="s">
        <v>1107</v>
      </c>
      <c r="E534" s="22" t="s">
        <v>1108</v>
      </c>
      <c r="F534" s="22">
        <v>46</v>
      </c>
      <c r="G534" s="22">
        <v>2</v>
      </c>
      <c r="H534" s="22" t="s">
        <v>11</v>
      </c>
      <c r="I534" s="23"/>
    </row>
    <row r="535" spans="1:9">
      <c r="A535" s="22" t="s">
        <v>1640</v>
      </c>
      <c r="B535" s="39" t="s">
        <v>1102</v>
      </c>
      <c r="C535" s="41" t="str">
        <f t="shared" si="8"/>
        <v>機械力學-製圖二丙</v>
      </c>
      <c r="D535" s="22" t="s">
        <v>1663</v>
      </c>
      <c r="E535" s="22" t="s">
        <v>1664</v>
      </c>
      <c r="F535" s="22">
        <v>41</v>
      </c>
      <c r="G535" s="22">
        <v>2</v>
      </c>
      <c r="H535" s="22" t="s">
        <v>11</v>
      </c>
      <c r="I535" s="23"/>
    </row>
    <row r="536" spans="1:9">
      <c r="A536" s="22" t="s">
        <v>1640</v>
      </c>
      <c r="B536" s="39" t="s">
        <v>1102</v>
      </c>
      <c r="C536" s="41" t="str">
        <f t="shared" si="8"/>
        <v>機械力學-製圖二丙</v>
      </c>
      <c r="D536" s="22" t="s">
        <v>1638</v>
      </c>
      <c r="E536" s="22" t="s">
        <v>1639</v>
      </c>
      <c r="F536" s="22">
        <v>51</v>
      </c>
      <c r="G536" s="22">
        <v>2</v>
      </c>
      <c r="H536" s="22" t="s">
        <v>11</v>
      </c>
      <c r="I536" s="23"/>
    </row>
    <row r="537" spans="1:9">
      <c r="A537" s="22" t="s">
        <v>1640</v>
      </c>
      <c r="B537" s="39" t="s">
        <v>1102</v>
      </c>
      <c r="C537" s="41" t="str">
        <f t="shared" si="8"/>
        <v>機械力學-製圖二丙</v>
      </c>
      <c r="D537" s="22" t="s">
        <v>1113</v>
      </c>
      <c r="E537" s="22" t="s">
        <v>1114</v>
      </c>
      <c r="F537" s="22">
        <v>58</v>
      </c>
      <c r="G537" s="22">
        <v>2</v>
      </c>
      <c r="H537" s="22" t="s">
        <v>11</v>
      </c>
      <c r="I537" s="23"/>
    </row>
    <row r="538" spans="1:9">
      <c r="A538" s="22" t="s">
        <v>1640</v>
      </c>
      <c r="B538" s="39" t="s">
        <v>1102</v>
      </c>
      <c r="C538" s="41" t="str">
        <f t="shared" si="8"/>
        <v>機械力學-製圖二丙</v>
      </c>
      <c r="D538" s="22" t="s">
        <v>1115</v>
      </c>
      <c r="E538" s="22" t="s">
        <v>1116</v>
      </c>
      <c r="F538" s="22">
        <v>50</v>
      </c>
      <c r="G538" s="22">
        <v>2</v>
      </c>
      <c r="H538" s="22" t="s">
        <v>11</v>
      </c>
      <c r="I538" s="23"/>
    </row>
    <row r="539" spans="1:9">
      <c r="A539" s="22" t="s">
        <v>1640</v>
      </c>
      <c r="B539" s="39" t="s">
        <v>1102</v>
      </c>
      <c r="C539" s="41" t="str">
        <f t="shared" si="8"/>
        <v>機械力學-製圖二丙</v>
      </c>
      <c r="D539" s="22" t="s">
        <v>1119</v>
      </c>
      <c r="E539" s="22" t="s">
        <v>1120</v>
      </c>
      <c r="F539" s="22">
        <v>53</v>
      </c>
      <c r="G539" s="22">
        <v>2</v>
      </c>
      <c r="H539" s="22" t="s">
        <v>11</v>
      </c>
      <c r="I539" s="23"/>
    </row>
    <row r="540" spans="1:9">
      <c r="A540" s="22" t="s">
        <v>1640</v>
      </c>
      <c r="B540" s="39" t="s">
        <v>1102</v>
      </c>
      <c r="C540" s="41" t="str">
        <f t="shared" si="8"/>
        <v>機械力學-製圖二丙</v>
      </c>
      <c r="D540" s="22" t="s">
        <v>1447</v>
      </c>
      <c r="E540" s="22" t="s">
        <v>1448</v>
      </c>
      <c r="F540" s="22">
        <v>52</v>
      </c>
      <c r="G540" s="22">
        <v>2</v>
      </c>
      <c r="H540" s="22" t="s">
        <v>11</v>
      </c>
      <c r="I540" s="23"/>
    </row>
    <row r="541" spans="1:9">
      <c r="A541" s="22" t="s">
        <v>1640</v>
      </c>
      <c r="B541" s="39" t="s">
        <v>1102</v>
      </c>
      <c r="C541" s="41" t="str">
        <f t="shared" si="8"/>
        <v>機械力學-製圖二丙</v>
      </c>
      <c r="D541" s="22" t="s">
        <v>1133</v>
      </c>
      <c r="E541" s="22" t="s">
        <v>1134</v>
      </c>
      <c r="F541" s="22">
        <v>56</v>
      </c>
      <c r="G541" s="22">
        <v>2</v>
      </c>
      <c r="H541" s="22" t="s">
        <v>11</v>
      </c>
      <c r="I541" s="23"/>
    </row>
    <row r="542" spans="1:9">
      <c r="A542" s="22" t="s">
        <v>1640</v>
      </c>
      <c r="B542" s="39" t="s">
        <v>1191</v>
      </c>
      <c r="C542" s="41" t="str">
        <f t="shared" si="8"/>
        <v>機械力學-製圖二甲</v>
      </c>
      <c r="D542" s="22" t="s">
        <v>1501</v>
      </c>
      <c r="E542" s="22" t="s">
        <v>1502</v>
      </c>
      <c r="F542" s="22">
        <v>56</v>
      </c>
      <c r="G542" s="22">
        <v>2</v>
      </c>
      <c r="H542" s="22" t="s">
        <v>11</v>
      </c>
      <c r="I542" s="23"/>
    </row>
    <row r="543" spans="1:9">
      <c r="A543" s="22" t="s">
        <v>1640</v>
      </c>
      <c r="B543" s="39" t="s">
        <v>1191</v>
      </c>
      <c r="C543" s="41" t="str">
        <f t="shared" si="8"/>
        <v>機械力學-製圖二甲</v>
      </c>
      <c r="D543" s="22" t="s">
        <v>1634</v>
      </c>
      <c r="E543" s="22" t="s">
        <v>1635</v>
      </c>
      <c r="F543" s="22">
        <v>50</v>
      </c>
      <c r="G543" s="22">
        <v>2</v>
      </c>
      <c r="H543" s="22" t="s">
        <v>11</v>
      </c>
      <c r="I543" s="23"/>
    </row>
    <row r="544" spans="1:9">
      <c r="A544" s="22" t="s">
        <v>1640</v>
      </c>
      <c r="B544" s="39" t="s">
        <v>1191</v>
      </c>
      <c r="C544" s="41" t="str">
        <f t="shared" si="8"/>
        <v>機械力學-製圖二甲</v>
      </c>
      <c r="D544" s="22" t="s">
        <v>1192</v>
      </c>
      <c r="E544" s="22" t="s">
        <v>1193</v>
      </c>
      <c r="F544" s="22">
        <v>45</v>
      </c>
      <c r="G544" s="22">
        <v>2</v>
      </c>
      <c r="H544" s="22" t="s">
        <v>11</v>
      </c>
      <c r="I544" s="23"/>
    </row>
    <row r="545" spans="1:9">
      <c r="A545" s="22" t="s">
        <v>1640</v>
      </c>
      <c r="B545" s="39" t="s">
        <v>1191</v>
      </c>
      <c r="C545" s="41" t="str">
        <f t="shared" si="8"/>
        <v>機械力學-製圖二甲</v>
      </c>
      <c r="D545" s="22" t="s">
        <v>1587</v>
      </c>
      <c r="E545" s="22" t="s">
        <v>1588</v>
      </c>
      <c r="F545" s="22">
        <v>57</v>
      </c>
      <c r="G545" s="22">
        <v>2</v>
      </c>
      <c r="H545" s="22" t="s">
        <v>11</v>
      </c>
      <c r="I545" s="23"/>
    </row>
    <row r="546" spans="1:9">
      <c r="A546" s="22" t="s">
        <v>1640</v>
      </c>
      <c r="B546" s="39" t="s">
        <v>1191</v>
      </c>
      <c r="C546" s="41" t="str">
        <f t="shared" si="8"/>
        <v>機械力學-製圖二甲</v>
      </c>
      <c r="D546" s="22" t="s">
        <v>1194</v>
      </c>
      <c r="E546" s="22" t="s">
        <v>1195</v>
      </c>
      <c r="F546" s="22">
        <v>46</v>
      </c>
      <c r="G546" s="22">
        <v>2</v>
      </c>
      <c r="H546" s="22" t="s">
        <v>11</v>
      </c>
      <c r="I546" s="23"/>
    </row>
    <row r="547" spans="1:9">
      <c r="A547" s="22" t="s">
        <v>1640</v>
      </c>
      <c r="B547" s="39" t="s">
        <v>1191</v>
      </c>
      <c r="C547" s="41" t="str">
        <f t="shared" si="8"/>
        <v>機械力學-製圖二甲</v>
      </c>
      <c r="D547" s="22" t="s">
        <v>1503</v>
      </c>
      <c r="E547" s="22" t="s">
        <v>1504</v>
      </c>
      <c r="F547" s="22">
        <v>57</v>
      </c>
      <c r="G547" s="22">
        <v>2</v>
      </c>
      <c r="H547" s="22" t="s">
        <v>11</v>
      </c>
      <c r="I547" s="23"/>
    </row>
    <row r="548" spans="1:9">
      <c r="A548" s="22" t="s">
        <v>1640</v>
      </c>
      <c r="B548" s="39" t="s">
        <v>1191</v>
      </c>
      <c r="C548" s="41" t="str">
        <f t="shared" si="8"/>
        <v>機械力學-製圖二甲</v>
      </c>
      <c r="D548" s="22" t="s">
        <v>1505</v>
      </c>
      <c r="E548" s="22" t="s">
        <v>1506</v>
      </c>
      <c r="F548" s="22">
        <v>55</v>
      </c>
      <c r="G548" s="22">
        <v>2</v>
      </c>
      <c r="H548" s="22" t="s">
        <v>11</v>
      </c>
      <c r="I548" s="23"/>
    </row>
    <row r="549" spans="1:9">
      <c r="A549" s="22" t="s">
        <v>1640</v>
      </c>
      <c r="B549" s="39" t="s">
        <v>998</v>
      </c>
      <c r="C549" s="41" t="str">
        <f t="shared" si="8"/>
        <v>機械力學-模具二乙</v>
      </c>
      <c r="D549" s="22" t="s">
        <v>1657</v>
      </c>
      <c r="E549" s="22" t="s">
        <v>1658</v>
      </c>
      <c r="F549" s="22">
        <v>49</v>
      </c>
      <c r="G549" s="22">
        <v>2</v>
      </c>
      <c r="H549" s="22" t="s">
        <v>11</v>
      </c>
      <c r="I549" s="23"/>
    </row>
    <row r="550" spans="1:9">
      <c r="A550" s="22" t="s">
        <v>1640</v>
      </c>
      <c r="B550" s="39" t="s">
        <v>998</v>
      </c>
      <c r="C550" s="41" t="str">
        <f t="shared" si="8"/>
        <v>機械力學-模具二乙</v>
      </c>
      <c r="D550" s="22" t="s">
        <v>1659</v>
      </c>
      <c r="E550" s="22" t="s">
        <v>1660</v>
      </c>
      <c r="F550" s="22">
        <v>40</v>
      </c>
      <c r="G550" s="22">
        <v>2</v>
      </c>
      <c r="H550" s="22" t="s">
        <v>11</v>
      </c>
      <c r="I550" s="23"/>
    </row>
    <row r="551" spans="1:9">
      <c r="A551" s="22" t="s">
        <v>1640</v>
      </c>
      <c r="B551" s="39" t="s">
        <v>998</v>
      </c>
      <c r="C551" s="41" t="str">
        <f t="shared" si="8"/>
        <v>機械力學-模具二乙</v>
      </c>
      <c r="D551" s="22" t="s">
        <v>1003</v>
      </c>
      <c r="E551" s="22" t="s">
        <v>1004</v>
      </c>
      <c r="F551" s="22">
        <v>40</v>
      </c>
      <c r="G551" s="22">
        <v>2</v>
      </c>
      <c r="H551" s="22" t="s">
        <v>11</v>
      </c>
      <c r="I551" s="23"/>
    </row>
    <row r="552" spans="1:9">
      <c r="A552" s="22" t="s">
        <v>1640</v>
      </c>
      <c r="B552" s="39" t="s">
        <v>998</v>
      </c>
      <c r="C552" s="41" t="str">
        <f t="shared" si="8"/>
        <v>機械力學-模具二乙</v>
      </c>
      <c r="D552" s="22" t="s">
        <v>1661</v>
      </c>
      <c r="E552" s="22" t="s">
        <v>1662</v>
      </c>
      <c r="F552" s="22">
        <v>43</v>
      </c>
      <c r="G552" s="22">
        <v>2</v>
      </c>
      <c r="H552" s="22" t="s">
        <v>11</v>
      </c>
      <c r="I552" s="23"/>
    </row>
    <row r="553" spans="1:9">
      <c r="A553" s="22" t="s">
        <v>1640</v>
      </c>
      <c r="B553" s="39" t="s">
        <v>998</v>
      </c>
      <c r="C553" s="41" t="str">
        <f t="shared" si="8"/>
        <v>機械力學-模具二乙</v>
      </c>
      <c r="D553" s="22" t="s">
        <v>1576</v>
      </c>
      <c r="E553" s="22" t="s">
        <v>1577</v>
      </c>
      <c r="F553" s="22">
        <v>50</v>
      </c>
      <c r="G553" s="22">
        <v>2</v>
      </c>
      <c r="H553" s="22" t="s">
        <v>11</v>
      </c>
      <c r="I553" s="23"/>
    </row>
    <row r="554" spans="1:9">
      <c r="A554" s="22" t="s">
        <v>1640</v>
      </c>
      <c r="B554" s="39" t="s">
        <v>1217</v>
      </c>
      <c r="C554" s="41" t="str">
        <f t="shared" si="8"/>
        <v>機械力學-模具二甲</v>
      </c>
      <c r="D554" s="22" t="s">
        <v>1643</v>
      </c>
      <c r="E554" s="22" t="s">
        <v>1644</v>
      </c>
      <c r="F554" s="22">
        <v>53</v>
      </c>
      <c r="G554" s="22">
        <v>2</v>
      </c>
      <c r="H554" s="22" t="s">
        <v>11</v>
      </c>
      <c r="I554" s="23"/>
    </row>
    <row r="555" spans="1:9">
      <c r="A555" s="22" t="s">
        <v>1640</v>
      </c>
      <c r="B555" s="39" t="s">
        <v>1217</v>
      </c>
      <c r="C555" s="41" t="str">
        <f t="shared" si="8"/>
        <v>機械力學-模具二甲</v>
      </c>
      <c r="D555" s="22" t="s">
        <v>1645</v>
      </c>
      <c r="E555" s="22" t="s">
        <v>1646</v>
      </c>
      <c r="F555" s="22">
        <v>48</v>
      </c>
      <c r="G555" s="22">
        <v>2</v>
      </c>
      <c r="H555" s="22" t="s">
        <v>11</v>
      </c>
      <c r="I555" s="23"/>
    </row>
    <row r="556" spans="1:9">
      <c r="A556" s="22" t="s">
        <v>1640</v>
      </c>
      <c r="B556" s="39" t="s">
        <v>1217</v>
      </c>
      <c r="C556" s="41" t="str">
        <f t="shared" si="8"/>
        <v>機械力學-模具二甲</v>
      </c>
      <c r="D556" s="22" t="s">
        <v>1647</v>
      </c>
      <c r="E556" s="22" t="s">
        <v>1648</v>
      </c>
      <c r="F556" s="22">
        <v>55</v>
      </c>
      <c r="G556" s="22">
        <v>2</v>
      </c>
      <c r="H556" s="22" t="s">
        <v>11</v>
      </c>
      <c r="I556" s="23"/>
    </row>
    <row r="557" spans="1:9">
      <c r="A557" s="22" t="s">
        <v>1640</v>
      </c>
      <c r="B557" s="39" t="s">
        <v>1217</v>
      </c>
      <c r="C557" s="41" t="str">
        <f t="shared" si="8"/>
        <v>機械力學-模具二甲</v>
      </c>
      <c r="D557" s="22" t="s">
        <v>1220</v>
      </c>
      <c r="E557" s="22" t="s">
        <v>1221</v>
      </c>
      <c r="F557" s="22">
        <v>47</v>
      </c>
      <c r="G557" s="22">
        <v>2</v>
      </c>
      <c r="H557" s="22" t="s">
        <v>11</v>
      </c>
      <c r="I557" s="23"/>
    </row>
    <row r="558" spans="1:9">
      <c r="A558" s="22" t="s">
        <v>1640</v>
      </c>
      <c r="B558" s="39" t="s">
        <v>1217</v>
      </c>
      <c r="C558" s="41" t="str">
        <f t="shared" si="8"/>
        <v>機械力學-模具二甲</v>
      </c>
      <c r="D558" s="22" t="s">
        <v>1561</v>
      </c>
      <c r="E558" s="22" t="s">
        <v>1562</v>
      </c>
      <c r="F558" s="22">
        <v>45</v>
      </c>
      <c r="G558" s="22">
        <v>2</v>
      </c>
      <c r="H558" s="22" t="s">
        <v>11</v>
      </c>
      <c r="I558" s="23"/>
    </row>
    <row r="559" spans="1:9">
      <c r="A559" s="22" t="s">
        <v>1640</v>
      </c>
      <c r="B559" s="39" t="s">
        <v>1217</v>
      </c>
      <c r="C559" s="41" t="str">
        <f t="shared" si="8"/>
        <v>機械力學-模具二甲</v>
      </c>
      <c r="D559" s="22" t="s">
        <v>1649</v>
      </c>
      <c r="E559" s="22" t="s">
        <v>1650</v>
      </c>
      <c r="F559" s="22">
        <v>46</v>
      </c>
      <c r="G559" s="22">
        <v>2</v>
      </c>
      <c r="H559" s="22" t="s">
        <v>11</v>
      </c>
      <c r="I559" s="23"/>
    </row>
    <row r="560" spans="1:9">
      <c r="A560" s="22" t="s">
        <v>1640</v>
      </c>
      <c r="B560" s="39" t="s">
        <v>1217</v>
      </c>
      <c r="C560" s="41" t="str">
        <f t="shared" si="8"/>
        <v>機械力學-模具二甲</v>
      </c>
      <c r="D560" s="22" t="s">
        <v>1651</v>
      </c>
      <c r="E560" s="22" t="s">
        <v>1652</v>
      </c>
      <c r="F560" s="22">
        <v>52</v>
      </c>
      <c r="G560" s="22">
        <v>2</v>
      </c>
      <c r="H560" s="22" t="s">
        <v>11</v>
      </c>
      <c r="I560" s="23"/>
    </row>
    <row r="561" spans="1:9">
      <c r="A561" s="22" t="s">
        <v>1640</v>
      </c>
      <c r="B561" s="39" t="s">
        <v>1217</v>
      </c>
      <c r="C561" s="41" t="str">
        <f t="shared" si="8"/>
        <v>機械力學-模具二甲</v>
      </c>
      <c r="D561" s="22" t="s">
        <v>1653</v>
      </c>
      <c r="E561" s="22" t="s">
        <v>1654</v>
      </c>
      <c r="F561" s="22">
        <v>53</v>
      </c>
      <c r="G561" s="22">
        <v>2</v>
      </c>
      <c r="H561" s="22" t="s">
        <v>11</v>
      </c>
      <c r="I561" s="23"/>
    </row>
    <row r="562" spans="1:9">
      <c r="A562" s="22" t="s">
        <v>1640</v>
      </c>
      <c r="B562" s="39" t="s">
        <v>1217</v>
      </c>
      <c r="C562" s="41" t="str">
        <f t="shared" si="8"/>
        <v>機械力學-模具二甲</v>
      </c>
      <c r="D562" s="22" t="s">
        <v>1655</v>
      </c>
      <c r="E562" s="22" t="s">
        <v>1656</v>
      </c>
      <c r="F562" s="22">
        <v>48</v>
      </c>
      <c r="G562" s="22">
        <v>2</v>
      </c>
      <c r="H562" s="22" t="s">
        <v>11</v>
      </c>
      <c r="I562" s="23"/>
    </row>
    <row r="563" spans="1:9">
      <c r="A563" s="22" t="s">
        <v>1640</v>
      </c>
      <c r="B563" s="39" t="s">
        <v>1217</v>
      </c>
      <c r="C563" s="41" t="str">
        <f t="shared" si="8"/>
        <v>機械力學-模具二甲</v>
      </c>
      <c r="D563" s="22" t="s">
        <v>1224</v>
      </c>
      <c r="E563" s="22" t="s">
        <v>1225</v>
      </c>
      <c r="F563" s="22">
        <v>43</v>
      </c>
      <c r="G563" s="22">
        <v>2</v>
      </c>
      <c r="H563" s="22" t="s">
        <v>11</v>
      </c>
      <c r="I563" s="23"/>
    </row>
    <row r="564" spans="1:9">
      <c r="A564" s="22" t="s">
        <v>1640</v>
      </c>
      <c r="B564" s="39" t="s">
        <v>1217</v>
      </c>
      <c r="C564" s="41" t="str">
        <f t="shared" si="8"/>
        <v>機械力學-模具二甲</v>
      </c>
      <c r="D564" s="22" t="s">
        <v>1632</v>
      </c>
      <c r="E564" s="22" t="s">
        <v>1633</v>
      </c>
      <c r="F564" s="22">
        <v>55</v>
      </c>
      <c r="G564" s="22">
        <v>2</v>
      </c>
      <c r="H564" s="22" t="s">
        <v>11</v>
      </c>
      <c r="I564" s="23"/>
    </row>
    <row r="565" spans="1:9">
      <c r="A565" s="22" t="s">
        <v>1640</v>
      </c>
      <c r="B565" s="39" t="s">
        <v>1171</v>
      </c>
      <c r="C565" s="41" t="str">
        <f t="shared" si="8"/>
        <v>機械力學-機械二乙</v>
      </c>
      <c r="D565" s="22" t="s">
        <v>1475</v>
      </c>
      <c r="E565" s="22" t="s">
        <v>1476</v>
      </c>
      <c r="F565" s="22">
        <v>53</v>
      </c>
      <c r="G565" s="22">
        <v>2</v>
      </c>
      <c r="H565" s="22" t="s">
        <v>11</v>
      </c>
      <c r="I565" s="23"/>
    </row>
    <row r="566" spans="1:9">
      <c r="A566" s="22" t="s">
        <v>1640</v>
      </c>
      <c r="B566" s="39" t="s">
        <v>1171</v>
      </c>
      <c r="C566" s="41" t="str">
        <f t="shared" si="8"/>
        <v>機械力學-機械二乙</v>
      </c>
      <c r="D566" s="22" t="s">
        <v>1477</v>
      </c>
      <c r="E566" s="22" t="s">
        <v>1478</v>
      </c>
      <c r="F566" s="22">
        <v>51</v>
      </c>
      <c r="G566" s="22">
        <v>2</v>
      </c>
      <c r="H566" s="22" t="s">
        <v>11</v>
      </c>
      <c r="I566" s="23"/>
    </row>
    <row r="567" spans="1:9">
      <c r="A567" s="22" t="s">
        <v>1640</v>
      </c>
      <c r="B567" s="39" t="s">
        <v>1171</v>
      </c>
      <c r="C567" s="41" t="str">
        <f t="shared" ref="C567:C609" si="9">A567&amp;"-"&amp;B567</f>
        <v>機械力學-機械二乙</v>
      </c>
      <c r="D567" s="22" t="s">
        <v>1178</v>
      </c>
      <c r="E567" s="22" t="s">
        <v>1179</v>
      </c>
      <c r="F567" s="22">
        <v>42</v>
      </c>
      <c r="G567" s="22">
        <v>2</v>
      </c>
      <c r="H567" s="22" t="s">
        <v>11</v>
      </c>
      <c r="I567" s="23"/>
    </row>
    <row r="568" spans="1:9">
      <c r="A568" s="22" t="s">
        <v>1640</v>
      </c>
      <c r="B568" s="39" t="s">
        <v>1171</v>
      </c>
      <c r="C568" s="41" t="str">
        <f t="shared" si="9"/>
        <v>機械力學-機械二乙</v>
      </c>
      <c r="D568" s="22" t="s">
        <v>1628</v>
      </c>
      <c r="E568" s="22" t="s">
        <v>1629</v>
      </c>
      <c r="F568" s="22">
        <v>54</v>
      </c>
      <c r="G568" s="22">
        <v>2</v>
      </c>
      <c r="H568" s="22" t="s">
        <v>11</v>
      </c>
      <c r="I568" s="23"/>
    </row>
    <row r="569" spans="1:9">
      <c r="A569" s="22" t="s">
        <v>1640</v>
      </c>
      <c r="B569" s="39" t="s">
        <v>1171</v>
      </c>
      <c r="C569" s="41" t="str">
        <f t="shared" si="9"/>
        <v>機械力學-機械二乙</v>
      </c>
      <c r="D569" s="22" t="s">
        <v>1182</v>
      </c>
      <c r="E569" s="22" t="s">
        <v>1183</v>
      </c>
      <c r="F569" s="22">
        <v>53</v>
      </c>
      <c r="G569" s="22">
        <v>2</v>
      </c>
      <c r="H569" s="22" t="s">
        <v>11</v>
      </c>
      <c r="I569" s="23"/>
    </row>
    <row r="570" spans="1:9">
      <c r="A570" s="22" t="s">
        <v>1640</v>
      </c>
      <c r="B570" s="39" t="s">
        <v>1171</v>
      </c>
      <c r="C570" s="41" t="str">
        <f t="shared" si="9"/>
        <v>機械力學-機械二乙</v>
      </c>
      <c r="D570" s="22" t="s">
        <v>1641</v>
      </c>
      <c r="E570" s="22" t="s">
        <v>1642</v>
      </c>
      <c r="F570" s="22">
        <v>52</v>
      </c>
      <c r="G570" s="22">
        <v>2</v>
      </c>
      <c r="H570" s="22" t="s">
        <v>11</v>
      </c>
      <c r="I570" s="23"/>
    </row>
    <row r="571" spans="1:9">
      <c r="A571" s="22" t="s">
        <v>1640</v>
      </c>
      <c r="B571" s="39" t="s">
        <v>1020</v>
      </c>
      <c r="C571" s="41" t="str">
        <f t="shared" si="9"/>
        <v>機械力學-鑄造二乙</v>
      </c>
      <c r="D571" s="22" t="s">
        <v>1021</v>
      </c>
      <c r="E571" s="22" t="s">
        <v>1022</v>
      </c>
      <c r="F571" s="22">
        <v>48</v>
      </c>
      <c r="G571" s="22">
        <v>2</v>
      </c>
      <c r="H571" s="22" t="s">
        <v>11</v>
      </c>
      <c r="I571" s="23"/>
    </row>
    <row r="572" spans="1:9">
      <c r="A572" s="22" t="s">
        <v>1640</v>
      </c>
      <c r="B572" s="39" t="s">
        <v>1020</v>
      </c>
      <c r="C572" s="41" t="str">
        <f t="shared" si="9"/>
        <v>機械力學-鑄造二乙</v>
      </c>
      <c r="D572" s="22" t="s">
        <v>1630</v>
      </c>
      <c r="E572" s="22" t="s">
        <v>1631</v>
      </c>
      <c r="F572" s="22">
        <v>47</v>
      </c>
      <c r="G572" s="22">
        <v>2</v>
      </c>
      <c r="H572" s="22" t="s">
        <v>11</v>
      </c>
      <c r="I572" s="23"/>
    </row>
    <row r="573" spans="1:9">
      <c r="A573" s="22" t="s">
        <v>1640</v>
      </c>
      <c r="B573" s="39" t="s">
        <v>1020</v>
      </c>
      <c r="C573" s="41" t="str">
        <f t="shared" si="9"/>
        <v>機械力學-鑄造二乙</v>
      </c>
      <c r="D573" s="22" t="s">
        <v>1259</v>
      </c>
      <c r="E573" s="22" t="s">
        <v>1260</v>
      </c>
      <c r="F573" s="22">
        <v>56</v>
      </c>
      <c r="G573" s="22">
        <v>2</v>
      </c>
      <c r="H573" s="22" t="s">
        <v>11</v>
      </c>
      <c r="I573" s="23"/>
    </row>
    <row r="574" spans="1:9">
      <c r="A574" s="22" t="s">
        <v>1640</v>
      </c>
      <c r="B574" s="39" t="s">
        <v>1020</v>
      </c>
      <c r="C574" s="41" t="str">
        <f t="shared" si="9"/>
        <v>機械力學-鑄造二乙</v>
      </c>
      <c r="D574" s="22" t="s">
        <v>1261</v>
      </c>
      <c r="E574" s="22" t="s">
        <v>1262</v>
      </c>
      <c r="F574" s="22">
        <v>55</v>
      </c>
      <c r="G574" s="22">
        <v>2</v>
      </c>
      <c r="H574" s="22" t="s">
        <v>11</v>
      </c>
      <c r="I574" s="23"/>
    </row>
    <row r="575" spans="1:9">
      <c r="A575" s="22" t="s">
        <v>1640</v>
      </c>
      <c r="B575" s="39" t="s">
        <v>1020</v>
      </c>
      <c r="C575" s="41" t="str">
        <f t="shared" si="9"/>
        <v>機械力學-鑄造二乙</v>
      </c>
      <c r="D575" s="22" t="s">
        <v>1545</v>
      </c>
      <c r="E575" s="22" t="s">
        <v>1546</v>
      </c>
      <c r="F575" s="22">
        <v>40</v>
      </c>
      <c r="G575" s="22">
        <v>2</v>
      </c>
      <c r="H575" s="22" t="s">
        <v>11</v>
      </c>
      <c r="I575" s="23"/>
    </row>
    <row r="576" spans="1:9">
      <c r="A576" s="22" t="s">
        <v>1640</v>
      </c>
      <c r="B576" s="39" t="s">
        <v>1020</v>
      </c>
      <c r="C576" s="41" t="str">
        <f t="shared" si="9"/>
        <v>機械力學-鑄造二乙</v>
      </c>
      <c r="D576" s="22" t="s">
        <v>1263</v>
      </c>
      <c r="E576" s="22" t="s">
        <v>1264</v>
      </c>
      <c r="F576" s="22">
        <v>45</v>
      </c>
      <c r="G576" s="22">
        <v>2</v>
      </c>
      <c r="H576" s="22" t="s">
        <v>11</v>
      </c>
      <c r="I576" s="23"/>
    </row>
    <row r="577" spans="1:9">
      <c r="A577" s="22" t="s">
        <v>1640</v>
      </c>
      <c r="B577" s="39" t="s">
        <v>1064</v>
      </c>
      <c r="C577" s="41" t="str">
        <f t="shared" si="9"/>
        <v>機械力學-鑄造二甲</v>
      </c>
      <c r="D577" s="22" t="s">
        <v>1065</v>
      </c>
      <c r="E577" s="22" t="s">
        <v>1066</v>
      </c>
      <c r="F577" s="22">
        <v>44</v>
      </c>
      <c r="G577" s="22">
        <v>2</v>
      </c>
      <c r="H577" s="22" t="s">
        <v>11</v>
      </c>
      <c r="I577" s="23"/>
    </row>
    <row r="578" spans="1:9">
      <c r="A578" s="22" t="s">
        <v>1665</v>
      </c>
      <c r="B578" s="39" t="s">
        <v>1171</v>
      </c>
      <c r="C578" s="41" t="str">
        <f t="shared" si="9"/>
        <v>機械工作法-機械二乙</v>
      </c>
      <c r="D578" s="22" t="s">
        <v>1243</v>
      </c>
      <c r="E578" s="22" t="s">
        <v>1244</v>
      </c>
      <c r="F578" s="22">
        <v>56</v>
      </c>
      <c r="G578" s="22">
        <v>1</v>
      </c>
      <c r="H578" s="22" t="s">
        <v>11</v>
      </c>
      <c r="I578" s="23"/>
    </row>
    <row r="579" spans="1:9">
      <c r="A579" s="22" t="s">
        <v>1665</v>
      </c>
      <c r="B579" s="39" t="s">
        <v>1171</v>
      </c>
      <c r="C579" s="41" t="str">
        <f t="shared" si="9"/>
        <v>機械工作法-機械二乙</v>
      </c>
      <c r="D579" s="22" t="s">
        <v>1247</v>
      </c>
      <c r="E579" s="22" t="s">
        <v>1248</v>
      </c>
      <c r="F579" s="22">
        <v>57</v>
      </c>
      <c r="G579" s="22">
        <v>1</v>
      </c>
      <c r="H579" s="22" t="s">
        <v>11</v>
      </c>
      <c r="I579" s="23"/>
    </row>
    <row r="580" spans="1:9">
      <c r="A580" s="22" t="s">
        <v>1665</v>
      </c>
      <c r="B580" s="39" t="s">
        <v>1171</v>
      </c>
      <c r="C580" s="41" t="str">
        <f t="shared" si="9"/>
        <v>機械工作法-機械二乙</v>
      </c>
      <c r="D580" s="22" t="s">
        <v>1182</v>
      </c>
      <c r="E580" s="22" t="s">
        <v>1183</v>
      </c>
      <c r="F580" s="22">
        <v>54</v>
      </c>
      <c r="G580" s="22">
        <v>1</v>
      </c>
      <c r="H580" s="22" t="s">
        <v>11</v>
      </c>
      <c r="I580" s="23"/>
    </row>
    <row r="581" spans="1:9">
      <c r="A581" s="22" t="s">
        <v>1665</v>
      </c>
      <c r="B581" s="39" t="s">
        <v>971</v>
      </c>
      <c r="C581" s="41" t="str">
        <f t="shared" si="9"/>
        <v>機械工作法-機械二甲</v>
      </c>
      <c r="D581" s="22" t="s">
        <v>1281</v>
      </c>
      <c r="E581" s="22" t="s">
        <v>1282</v>
      </c>
      <c r="F581" s="22">
        <v>52</v>
      </c>
      <c r="G581" s="22">
        <v>1</v>
      </c>
      <c r="H581" s="22" t="s">
        <v>11</v>
      </c>
      <c r="I581" s="23"/>
    </row>
    <row r="582" spans="1:9">
      <c r="A582" s="22" t="s">
        <v>1665</v>
      </c>
      <c r="B582" s="39" t="s">
        <v>971</v>
      </c>
      <c r="C582" s="41" t="str">
        <f t="shared" si="9"/>
        <v>機械工作法-機械二甲</v>
      </c>
      <c r="D582" s="22" t="s">
        <v>996</v>
      </c>
      <c r="E582" s="22" t="s">
        <v>997</v>
      </c>
      <c r="F582" s="22">
        <v>42</v>
      </c>
      <c r="G582" s="22">
        <v>1</v>
      </c>
      <c r="H582" s="22" t="s">
        <v>11</v>
      </c>
      <c r="I582" s="23"/>
    </row>
    <row r="583" spans="1:9">
      <c r="A583" s="22" t="s">
        <v>1567</v>
      </c>
      <c r="B583" s="39" t="s">
        <v>1144</v>
      </c>
      <c r="C583" s="41" t="str">
        <f t="shared" si="9"/>
        <v>歷史-汽車二乙</v>
      </c>
      <c r="D583" s="22" t="s">
        <v>1149</v>
      </c>
      <c r="E583" s="22" t="s">
        <v>1150</v>
      </c>
      <c r="F583" s="22">
        <v>55</v>
      </c>
      <c r="G583" s="22">
        <v>2</v>
      </c>
      <c r="H583" s="22" t="s">
        <v>11</v>
      </c>
      <c r="I583" s="23"/>
    </row>
    <row r="584" spans="1:9">
      <c r="A584" s="22" t="s">
        <v>1567</v>
      </c>
      <c r="B584" s="39" t="s">
        <v>1144</v>
      </c>
      <c r="C584" s="41" t="str">
        <f t="shared" si="9"/>
        <v>歷史-汽車二乙</v>
      </c>
      <c r="D584" s="22" t="s">
        <v>1151</v>
      </c>
      <c r="E584" s="22" t="s">
        <v>1152</v>
      </c>
      <c r="F584" s="22">
        <v>40</v>
      </c>
      <c r="G584" s="22">
        <v>2</v>
      </c>
      <c r="H584" s="22" t="s">
        <v>11</v>
      </c>
      <c r="I584" s="23"/>
    </row>
    <row r="585" spans="1:9">
      <c r="A585" s="22" t="s">
        <v>1567</v>
      </c>
      <c r="B585" s="39" t="s">
        <v>1144</v>
      </c>
      <c r="C585" s="41" t="str">
        <f t="shared" si="9"/>
        <v>歷史-汽車二乙</v>
      </c>
      <c r="D585" s="22" t="s">
        <v>1157</v>
      </c>
      <c r="E585" s="22" t="s">
        <v>1158</v>
      </c>
      <c r="F585" s="22">
        <v>50</v>
      </c>
      <c r="G585" s="22">
        <v>2</v>
      </c>
      <c r="H585" s="22" t="s">
        <v>11</v>
      </c>
      <c r="I585" s="23"/>
    </row>
    <row r="586" spans="1:9">
      <c r="A586" s="22" t="s">
        <v>1567</v>
      </c>
      <c r="B586" s="39" t="s">
        <v>1144</v>
      </c>
      <c r="C586" s="41" t="str">
        <f t="shared" si="9"/>
        <v>歷史-汽車二乙</v>
      </c>
      <c r="D586" s="22" t="s">
        <v>1165</v>
      </c>
      <c r="E586" s="22" t="s">
        <v>1166</v>
      </c>
      <c r="F586" s="22">
        <v>48</v>
      </c>
      <c r="G586" s="22">
        <v>2</v>
      </c>
      <c r="H586" s="22" t="s">
        <v>11</v>
      </c>
      <c r="I586" s="23"/>
    </row>
    <row r="587" spans="1:9">
      <c r="A587" s="22" t="s">
        <v>1567</v>
      </c>
      <c r="B587" s="39" t="s">
        <v>1035</v>
      </c>
      <c r="C587" s="41" t="str">
        <f t="shared" si="9"/>
        <v>歷史-汽車二甲</v>
      </c>
      <c r="D587" s="22" t="s">
        <v>1291</v>
      </c>
      <c r="E587" s="22" t="s">
        <v>1292</v>
      </c>
      <c r="F587" s="22">
        <v>43</v>
      </c>
      <c r="G587" s="22">
        <v>2</v>
      </c>
      <c r="H587" s="22" t="s">
        <v>11</v>
      </c>
      <c r="I587" s="23"/>
    </row>
    <row r="588" spans="1:9">
      <c r="A588" s="22" t="s">
        <v>1567</v>
      </c>
      <c r="B588" s="39" t="s">
        <v>1184</v>
      </c>
      <c r="C588" s="41" t="str">
        <f t="shared" si="9"/>
        <v>歷史-電機二丙</v>
      </c>
      <c r="D588" s="22" t="s">
        <v>1570</v>
      </c>
      <c r="E588" s="22" t="s">
        <v>1571</v>
      </c>
      <c r="F588" s="22">
        <v>47</v>
      </c>
      <c r="G588" s="22">
        <v>2</v>
      </c>
      <c r="H588" s="22" t="s">
        <v>11</v>
      </c>
      <c r="I588" s="23"/>
    </row>
    <row r="589" spans="1:9">
      <c r="A589" s="22" t="s">
        <v>1567</v>
      </c>
      <c r="B589" s="39" t="s">
        <v>1184</v>
      </c>
      <c r="C589" s="41" t="str">
        <f t="shared" si="9"/>
        <v>歷史-電機二丙</v>
      </c>
      <c r="D589" s="22" t="s">
        <v>1187</v>
      </c>
      <c r="E589" s="22" t="s">
        <v>1188</v>
      </c>
      <c r="F589" s="22">
        <v>49</v>
      </c>
      <c r="G589" s="22">
        <v>2</v>
      </c>
      <c r="H589" s="22" t="s">
        <v>11</v>
      </c>
      <c r="I589" s="23"/>
    </row>
    <row r="590" spans="1:9">
      <c r="A590" s="22" t="s">
        <v>1567</v>
      </c>
      <c r="B590" s="39" t="s">
        <v>1184</v>
      </c>
      <c r="C590" s="41" t="str">
        <f t="shared" si="9"/>
        <v>歷史-電機二丙</v>
      </c>
      <c r="D590" s="22" t="s">
        <v>1189</v>
      </c>
      <c r="E590" s="22" t="s">
        <v>1190</v>
      </c>
      <c r="F590" s="22">
        <v>51</v>
      </c>
      <c r="G590" s="22">
        <v>2</v>
      </c>
      <c r="H590" s="22" t="s">
        <v>11</v>
      </c>
      <c r="I590" s="23"/>
    </row>
    <row r="591" spans="1:9">
      <c r="A591" s="22" t="s">
        <v>1567</v>
      </c>
      <c r="B591" s="39" t="s">
        <v>1054</v>
      </c>
      <c r="C591" s="41" t="str">
        <f t="shared" si="9"/>
        <v>歷史-電機二甲</v>
      </c>
      <c r="D591" s="22" t="s">
        <v>1055</v>
      </c>
      <c r="E591" s="22" t="s">
        <v>1056</v>
      </c>
      <c r="F591" s="22">
        <v>42</v>
      </c>
      <c r="G591" s="22">
        <v>2</v>
      </c>
      <c r="H591" s="22" t="s">
        <v>11</v>
      </c>
      <c r="I591" s="23"/>
    </row>
    <row r="592" spans="1:9">
      <c r="A592" s="22" t="s">
        <v>1567</v>
      </c>
      <c r="B592" s="39" t="s">
        <v>1054</v>
      </c>
      <c r="C592" s="41" t="str">
        <f t="shared" si="9"/>
        <v>歷史-電機二甲</v>
      </c>
      <c r="D592" s="22" t="s">
        <v>1385</v>
      </c>
      <c r="E592" s="22" t="s">
        <v>1386</v>
      </c>
      <c r="F592" s="22">
        <v>40</v>
      </c>
      <c r="G592" s="22">
        <v>2</v>
      </c>
      <c r="H592" s="22" t="s">
        <v>11</v>
      </c>
      <c r="I592" s="23"/>
    </row>
    <row r="593" spans="1:9">
      <c r="A593" s="22" t="s">
        <v>1567</v>
      </c>
      <c r="B593" s="39" t="s">
        <v>998</v>
      </c>
      <c r="C593" s="41" t="str">
        <f t="shared" si="9"/>
        <v>歷史-模具二乙</v>
      </c>
      <c r="D593" s="22" t="s">
        <v>1574</v>
      </c>
      <c r="E593" s="22" t="s">
        <v>1575</v>
      </c>
      <c r="F593" s="22">
        <v>44</v>
      </c>
      <c r="G593" s="22">
        <v>2</v>
      </c>
      <c r="H593" s="22" t="s">
        <v>11</v>
      </c>
      <c r="I593" s="23"/>
    </row>
    <row r="594" spans="1:9">
      <c r="A594" s="22" t="s">
        <v>1567</v>
      </c>
      <c r="B594" s="39" t="s">
        <v>998</v>
      </c>
      <c r="C594" s="41" t="str">
        <f t="shared" si="9"/>
        <v>歷史-模具二乙</v>
      </c>
      <c r="D594" s="22" t="s">
        <v>1576</v>
      </c>
      <c r="E594" s="22" t="s">
        <v>1577</v>
      </c>
      <c r="F594" s="22">
        <v>41</v>
      </c>
      <c r="G594" s="22">
        <v>2</v>
      </c>
      <c r="H594" s="22" t="s">
        <v>11</v>
      </c>
      <c r="I594" s="23"/>
    </row>
    <row r="595" spans="1:9">
      <c r="A595" s="22" t="s">
        <v>1567</v>
      </c>
      <c r="B595" s="39" t="s">
        <v>998</v>
      </c>
      <c r="C595" s="41" t="str">
        <f t="shared" si="9"/>
        <v>歷史-模具二乙</v>
      </c>
      <c r="D595" s="22" t="s">
        <v>1578</v>
      </c>
      <c r="E595" s="22" t="s">
        <v>1579</v>
      </c>
      <c r="F595" s="22">
        <v>46</v>
      </c>
      <c r="G595" s="22">
        <v>2</v>
      </c>
      <c r="H595" s="22" t="s">
        <v>11</v>
      </c>
      <c r="I595" s="23"/>
    </row>
    <row r="596" spans="1:9">
      <c r="A596" s="22" t="s">
        <v>1567</v>
      </c>
      <c r="B596" s="39" t="s">
        <v>1217</v>
      </c>
      <c r="C596" s="41" t="str">
        <f t="shared" si="9"/>
        <v>歷史-模具二甲</v>
      </c>
      <c r="D596" s="22" t="s">
        <v>1572</v>
      </c>
      <c r="E596" s="22" t="s">
        <v>1573</v>
      </c>
      <c r="F596" s="22">
        <v>40</v>
      </c>
      <c r="G596" s="22">
        <v>2</v>
      </c>
      <c r="H596" s="22" t="s">
        <v>11</v>
      </c>
      <c r="I596" s="23"/>
    </row>
    <row r="597" spans="1:9">
      <c r="A597" s="22" t="s">
        <v>1567</v>
      </c>
      <c r="B597" s="39" t="s">
        <v>1217</v>
      </c>
      <c r="C597" s="41" t="str">
        <f t="shared" si="9"/>
        <v>歷史-模具二甲</v>
      </c>
      <c r="D597" s="22" t="s">
        <v>1228</v>
      </c>
      <c r="E597" s="22" t="s">
        <v>954</v>
      </c>
      <c r="F597" s="22">
        <v>52</v>
      </c>
      <c r="G597" s="22">
        <v>2</v>
      </c>
      <c r="H597" s="22" t="s">
        <v>11</v>
      </c>
      <c r="I597" s="23"/>
    </row>
    <row r="598" spans="1:9">
      <c r="A598" s="22" t="s">
        <v>1567</v>
      </c>
      <c r="B598" s="39" t="s">
        <v>1020</v>
      </c>
      <c r="C598" s="41" t="str">
        <f t="shared" si="9"/>
        <v>歷史-鑄造二乙</v>
      </c>
      <c r="D598" s="22" t="s">
        <v>1543</v>
      </c>
      <c r="E598" s="22" t="s">
        <v>1544</v>
      </c>
      <c r="F598" s="22">
        <v>54</v>
      </c>
      <c r="G598" s="22">
        <v>2</v>
      </c>
      <c r="H598" s="22" t="s">
        <v>11</v>
      </c>
      <c r="I598" s="23"/>
    </row>
    <row r="599" spans="1:9">
      <c r="A599" s="22" t="s">
        <v>1567</v>
      </c>
      <c r="B599" s="39" t="s">
        <v>1020</v>
      </c>
      <c r="C599" s="41" t="str">
        <f t="shared" si="9"/>
        <v>歷史-鑄造二乙</v>
      </c>
      <c r="D599" s="22" t="s">
        <v>1021</v>
      </c>
      <c r="E599" s="22" t="s">
        <v>1022</v>
      </c>
      <c r="F599" s="22">
        <v>53</v>
      </c>
      <c r="G599" s="22">
        <v>2</v>
      </c>
      <c r="H599" s="22" t="s">
        <v>11</v>
      </c>
      <c r="I599" s="23"/>
    </row>
    <row r="600" spans="1:9">
      <c r="A600" s="22" t="s">
        <v>1567</v>
      </c>
      <c r="B600" s="39" t="s">
        <v>1020</v>
      </c>
      <c r="C600" s="41" t="str">
        <f t="shared" si="9"/>
        <v>歷史-鑄造二乙</v>
      </c>
      <c r="D600" s="22" t="s">
        <v>1023</v>
      </c>
      <c r="E600" s="22" t="s">
        <v>1024</v>
      </c>
      <c r="F600" s="22">
        <v>50</v>
      </c>
      <c r="G600" s="22">
        <v>2</v>
      </c>
      <c r="H600" s="22" t="s">
        <v>11</v>
      </c>
      <c r="I600" s="23"/>
    </row>
    <row r="601" spans="1:9">
      <c r="A601" s="22" t="s">
        <v>1567</v>
      </c>
      <c r="B601" s="39" t="s">
        <v>1020</v>
      </c>
      <c r="C601" s="41" t="str">
        <f t="shared" si="9"/>
        <v>歷史-鑄造二乙</v>
      </c>
      <c r="D601" s="22" t="s">
        <v>1545</v>
      </c>
      <c r="E601" s="22" t="s">
        <v>1546</v>
      </c>
      <c r="F601" s="22">
        <v>54</v>
      </c>
      <c r="G601" s="22">
        <v>2</v>
      </c>
      <c r="H601" s="22" t="s">
        <v>11</v>
      </c>
      <c r="I601" s="23"/>
    </row>
    <row r="602" spans="1:9">
      <c r="A602" s="22" t="s">
        <v>1567</v>
      </c>
      <c r="B602" s="39" t="s">
        <v>1020</v>
      </c>
      <c r="C602" s="41" t="str">
        <f t="shared" si="9"/>
        <v>歷史-鑄造二乙</v>
      </c>
      <c r="D602" s="22" t="s">
        <v>1029</v>
      </c>
      <c r="E602" s="22" t="s">
        <v>1030</v>
      </c>
      <c r="F602" s="22">
        <v>53</v>
      </c>
      <c r="G602" s="22">
        <v>2</v>
      </c>
      <c r="H602" s="22" t="s">
        <v>11</v>
      </c>
      <c r="I602" s="23"/>
    </row>
    <row r="603" spans="1:9">
      <c r="A603" s="22" t="s">
        <v>1567</v>
      </c>
      <c r="B603" s="39" t="s">
        <v>1064</v>
      </c>
      <c r="C603" s="41" t="str">
        <f t="shared" si="9"/>
        <v>歷史-鑄造二甲</v>
      </c>
      <c r="D603" s="22" t="s">
        <v>1065</v>
      </c>
      <c r="E603" s="22" t="s">
        <v>1066</v>
      </c>
      <c r="F603" s="22">
        <v>45</v>
      </c>
      <c r="G603" s="22">
        <v>2</v>
      </c>
      <c r="H603" s="22" t="s">
        <v>11</v>
      </c>
      <c r="I603" s="23"/>
    </row>
    <row r="604" spans="1:9">
      <c r="A604" s="22" t="s">
        <v>1567</v>
      </c>
      <c r="B604" s="39" t="s">
        <v>1064</v>
      </c>
      <c r="C604" s="41" t="str">
        <f t="shared" si="9"/>
        <v>歷史-鑄造二甲</v>
      </c>
      <c r="D604" s="22" t="s">
        <v>1305</v>
      </c>
      <c r="E604" s="22" t="s">
        <v>1306</v>
      </c>
      <c r="F604" s="22">
        <v>40</v>
      </c>
      <c r="G604" s="22">
        <v>2</v>
      </c>
      <c r="H604" s="22" t="s">
        <v>11</v>
      </c>
      <c r="I604" s="23"/>
    </row>
    <row r="605" spans="1:9">
      <c r="A605" s="22" t="s">
        <v>1567</v>
      </c>
      <c r="B605" s="39" t="s">
        <v>1064</v>
      </c>
      <c r="C605" s="41" t="str">
        <f t="shared" si="9"/>
        <v>歷史-鑄造二甲</v>
      </c>
      <c r="D605" s="22" t="s">
        <v>1568</v>
      </c>
      <c r="E605" s="22" t="s">
        <v>1569</v>
      </c>
      <c r="F605" s="22">
        <v>42</v>
      </c>
      <c r="G605" s="22">
        <v>2</v>
      </c>
      <c r="H605" s="22" t="s">
        <v>11</v>
      </c>
      <c r="I605" s="23"/>
    </row>
    <row r="606" spans="1:9">
      <c r="A606" s="22" t="s">
        <v>1567</v>
      </c>
      <c r="B606" s="39" t="s">
        <v>1064</v>
      </c>
      <c r="C606" s="41" t="str">
        <f t="shared" si="9"/>
        <v>歷史-鑄造二甲</v>
      </c>
      <c r="D606" s="22" t="s">
        <v>1073</v>
      </c>
      <c r="E606" s="22" t="s">
        <v>1074</v>
      </c>
      <c r="F606" s="22">
        <v>40</v>
      </c>
      <c r="G606" s="22">
        <v>2</v>
      </c>
      <c r="H606" s="22" t="s">
        <v>11</v>
      </c>
      <c r="I606" s="23"/>
    </row>
    <row r="607" spans="1:9">
      <c r="A607" s="22" t="s">
        <v>1567</v>
      </c>
      <c r="B607" s="39" t="s">
        <v>1064</v>
      </c>
      <c r="C607" s="41" t="str">
        <f t="shared" si="9"/>
        <v>歷史-鑄造二甲</v>
      </c>
      <c r="D607" s="22" t="s">
        <v>1317</v>
      </c>
      <c r="E607" s="22" t="s">
        <v>1318</v>
      </c>
      <c r="F607" s="22">
        <v>50</v>
      </c>
      <c r="G607" s="22">
        <v>2</v>
      </c>
      <c r="H607" s="22" t="s">
        <v>11</v>
      </c>
      <c r="I607" s="23"/>
    </row>
    <row r="608" spans="1:9">
      <c r="A608" s="22" t="s">
        <v>1567</v>
      </c>
      <c r="B608" s="39" t="s">
        <v>1064</v>
      </c>
      <c r="C608" s="41" t="str">
        <f t="shared" si="9"/>
        <v>歷史-鑄造二甲</v>
      </c>
      <c r="D608" s="22" t="s">
        <v>1513</v>
      </c>
      <c r="E608" s="22" t="s">
        <v>1514</v>
      </c>
      <c r="F608" s="22">
        <v>49</v>
      </c>
      <c r="G608" s="22">
        <v>2</v>
      </c>
      <c r="H608" s="22" t="s">
        <v>11</v>
      </c>
      <c r="I608" s="23"/>
    </row>
    <row r="609" spans="1:9" ht="16" thickBot="1">
      <c r="A609" s="25" t="s">
        <v>1567</v>
      </c>
      <c r="B609" s="40" t="s">
        <v>1064</v>
      </c>
      <c r="C609" s="41" t="str">
        <f t="shared" si="9"/>
        <v>歷史-鑄造二甲</v>
      </c>
      <c r="D609" s="25" t="s">
        <v>1079</v>
      </c>
      <c r="E609" s="25" t="s">
        <v>1080</v>
      </c>
      <c r="F609" s="25">
        <v>41</v>
      </c>
      <c r="G609" s="25">
        <v>2</v>
      </c>
      <c r="H609" s="25" t="s">
        <v>11</v>
      </c>
      <c r="I609" s="26"/>
    </row>
    <row r="610" spans="1:9" ht="16" thickTop="1"/>
  </sheetData>
  <autoFilter ref="A1:I609" xr:uid="{CA4619A2-9D68-42D7-B735-425F4EF91BC4}"/>
  <sortState xmlns:xlrd2="http://schemas.microsoft.com/office/spreadsheetml/2017/richdata2" ref="A2:I609">
    <sortCondition ref="C2:C609"/>
    <sortCondition ref="D2:D609"/>
  </sortState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300" r:id="rId1"/>
  <headerFooter>
    <oddFooter>&amp;R&amp;"新細明體,粗體"&amp;12第&amp;P頁-共&amp;N頁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B162-C959-4B2E-A730-E67BAA0FA615}">
  <sheetPr>
    <pageSetUpPr fitToPage="1"/>
  </sheetPr>
  <dimension ref="A1:I776"/>
  <sheetViews>
    <sheetView view="pageBreakPreview" topLeftCell="A30" zoomScale="145" zoomScaleNormal="100" zoomScaleSheetLayoutView="145" workbookViewId="0">
      <selection activeCell="A2" sqref="A2:I775"/>
    </sheetView>
  </sheetViews>
  <sheetFormatPr defaultRowHeight="15.5"/>
  <cols>
    <col min="1" max="1" width="15.36328125" style="7" bestFit="1" customWidth="1"/>
    <col min="2" max="2" width="14.90625" style="7" bestFit="1" customWidth="1"/>
    <col min="3" max="3" width="26" style="7" bestFit="1" customWidth="1"/>
    <col min="4" max="4" width="9.08984375" style="7" bestFit="1" customWidth="1"/>
    <col min="5" max="5" width="10.453125" style="7" bestFit="1" customWidth="1"/>
    <col min="6" max="6" width="8.1796875" style="8" bestFit="1" customWidth="1"/>
    <col min="7" max="7" width="12.90625" style="8" bestFit="1" customWidth="1"/>
    <col min="8" max="8" width="11.453125" style="8" bestFit="1" customWidth="1"/>
    <col min="9" max="9" width="14.54296875" style="7" bestFit="1" customWidth="1"/>
    <col min="10" max="223" width="8.90625" style="7"/>
    <col min="224" max="224" width="7.6328125" style="7" bestFit="1" customWidth="1"/>
    <col min="225" max="225" width="0" style="7" hidden="1" customWidth="1"/>
    <col min="226" max="226" width="8.90625" style="7"/>
    <col min="227" max="227" width="0" style="7" hidden="1" customWidth="1"/>
    <col min="228" max="228" width="24.90625" style="7" bestFit="1" customWidth="1"/>
    <col min="229" max="229" width="10" style="7" bestFit="1" customWidth="1"/>
    <col min="230" max="230" width="9.54296875" style="7" customWidth="1"/>
    <col min="231" max="231" width="9.54296875" style="7" bestFit="1" customWidth="1"/>
    <col min="232" max="233" width="0" style="7" hidden="1" customWidth="1"/>
    <col min="234" max="234" width="11.453125" style="7" bestFit="1" customWidth="1"/>
    <col min="235" max="253" width="0" style="7" hidden="1" customWidth="1"/>
    <col min="254" max="479" width="8.90625" style="7"/>
    <col min="480" max="480" width="7.6328125" style="7" bestFit="1" customWidth="1"/>
    <col min="481" max="481" width="0" style="7" hidden="1" customWidth="1"/>
    <col min="482" max="482" width="8.90625" style="7"/>
    <col min="483" max="483" width="0" style="7" hidden="1" customWidth="1"/>
    <col min="484" max="484" width="24.90625" style="7" bestFit="1" customWidth="1"/>
    <col min="485" max="485" width="10" style="7" bestFit="1" customWidth="1"/>
    <col min="486" max="486" width="9.54296875" style="7" customWidth="1"/>
    <col min="487" max="487" width="9.54296875" style="7" bestFit="1" customWidth="1"/>
    <col min="488" max="489" width="0" style="7" hidden="1" customWidth="1"/>
    <col min="490" max="490" width="11.453125" style="7" bestFit="1" customWidth="1"/>
    <col min="491" max="509" width="0" style="7" hidden="1" customWidth="1"/>
    <col min="510" max="735" width="8.90625" style="7"/>
    <col min="736" max="736" width="7.6328125" style="7" bestFit="1" customWidth="1"/>
    <col min="737" max="737" width="0" style="7" hidden="1" customWidth="1"/>
    <col min="738" max="738" width="8.90625" style="7"/>
    <col min="739" max="739" width="0" style="7" hidden="1" customWidth="1"/>
    <col min="740" max="740" width="24.90625" style="7" bestFit="1" customWidth="1"/>
    <col min="741" max="741" width="10" style="7" bestFit="1" customWidth="1"/>
    <col min="742" max="742" width="9.54296875" style="7" customWidth="1"/>
    <col min="743" max="743" width="9.54296875" style="7" bestFit="1" customWidth="1"/>
    <col min="744" max="745" width="0" style="7" hidden="1" customWidth="1"/>
    <col min="746" max="746" width="11.453125" style="7" bestFit="1" customWidth="1"/>
    <col min="747" max="765" width="0" style="7" hidden="1" customWidth="1"/>
    <col min="766" max="991" width="8.90625" style="7"/>
    <col min="992" max="992" width="7.6328125" style="7" bestFit="1" customWidth="1"/>
    <col min="993" max="993" width="0" style="7" hidden="1" customWidth="1"/>
    <col min="994" max="994" width="8.90625" style="7"/>
    <col min="995" max="995" width="0" style="7" hidden="1" customWidth="1"/>
    <col min="996" max="996" width="24.90625" style="7" bestFit="1" customWidth="1"/>
    <col min="997" max="997" width="10" style="7" bestFit="1" customWidth="1"/>
    <col min="998" max="998" width="9.54296875" style="7" customWidth="1"/>
    <col min="999" max="999" width="9.54296875" style="7" bestFit="1" customWidth="1"/>
    <col min="1000" max="1001" width="0" style="7" hidden="1" customWidth="1"/>
    <col min="1002" max="1002" width="11.453125" style="7" bestFit="1" customWidth="1"/>
    <col min="1003" max="1021" width="0" style="7" hidden="1" customWidth="1"/>
    <col min="1022" max="1247" width="8.90625" style="7"/>
    <col min="1248" max="1248" width="7.6328125" style="7" bestFit="1" customWidth="1"/>
    <col min="1249" max="1249" width="0" style="7" hidden="1" customWidth="1"/>
    <col min="1250" max="1250" width="8.90625" style="7"/>
    <col min="1251" max="1251" width="0" style="7" hidden="1" customWidth="1"/>
    <col min="1252" max="1252" width="24.90625" style="7" bestFit="1" customWidth="1"/>
    <col min="1253" max="1253" width="10" style="7" bestFit="1" customWidth="1"/>
    <col min="1254" max="1254" width="9.54296875" style="7" customWidth="1"/>
    <col min="1255" max="1255" width="9.54296875" style="7" bestFit="1" customWidth="1"/>
    <col min="1256" max="1257" width="0" style="7" hidden="1" customWidth="1"/>
    <col min="1258" max="1258" width="11.453125" style="7" bestFit="1" customWidth="1"/>
    <col min="1259" max="1277" width="0" style="7" hidden="1" customWidth="1"/>
    <col min="1278" max="1503" width="8.90625" style="7"/>
    <col min="1504" max="1504" width="7.6328125" style="7" bestFit="1" customWidth="1"/>
    <col min="1505" max="1505" width="0" style="7" hidden="1" customWidth="1"/>
    <col min="1506" max="1506" width="8.90625" style="7"/>
    <col min="1507" max="1507" width="0" style="7" hidden="1" customWidth="1"/>
    <col min="1508" max="1508" width="24.90625" style="7" bestFit="1" customWidth="1"/>
    <col min="1509" max="1509" width="10" style="7" bestFit="1" customWidth="1"/>
    <col min="1510" max="1510" width="9.54296875" style="7" customWidth="1"/>
    <col min="1511" max="1511" width="9.54296875" style="7" bestFit="1" customWidth="1"/>
    <col min="1512" max="1513" width="0" style="7" hidden="1" customWidth="1"/>
    <col min="1514" max="1514" width="11.453125" style="7" bestFit="1" customWidth="1"/>
    <col min="1515" max="1533" width="0" style="7" hidden="1" customWidth="1"/>
    <col min="1534" max="1759" width="8.90625" style="7"/>
    <col min="1760" max="1760" width="7.6328125" style="7" bestFit="1" customWidth="1"/>
    <col min="1761" max="1761" width="0" style="7" hidden="1" customWidth="1"/>
    <col min="1762" max="1762" width="8.90625" style="7"/>
    <col min="1763" max="1763" width="0" style="7" hidden="1" customWidth="1"/>
    <col min="1764" max="1764" width="24.90625" style="7" bestFit="1" customWidth="1"/>
    <col min="1765" max="1765" width="10" style="7" bestFit="1" customWidth="1"/>
    <col min="1766" max="1766" width="9.54296875" style="7" customWidth="1"/>
    <col min="1767" max="1767" width="9.54296875" style="7" bestFit="1" customWidth="1"/>
    <col min="1768" max="1769" width="0" style="7" hidden="1" customWidth="1"/>
    <col min="1770" max="1770" width="11.453125" style="7" bestFit="1" customWidth="1"/>
    <col min="1771" max="1789" width="0" style="7" hidden="1" customWidth="1"/>
    <col min="1790" max="2015" width="8.90625" style="7"/>
    <col min="2016" max="2016" width="7.6328125" style="7" bestFit="1" customWidth="1"/>
    <col min="2017" max="2017" width="0" style="7" hidden="1" customWidth="1"/>
    <col min="2018" max="2018" width="8.90625" style="7"/>
    <col min="2019" max="2019" width="0" style="7" hidden="1" customWidth="1"/>
    <col min="2020" max="2020" width="24.90625" style="7" bestFit="1" customWidth="1"/>
    <col min="2021" max="2021" width="10" style="7" bestFit="1" customWidth="1"/>
    <col min="2022" max="2022" width="9.54296875" style="7" customWidth="1"/>
    <col min="2023" max="2023" width="9.54296875" style="7" bestFit="1" customWidth="1"/>
    <col min="2024" max="2025" width="0" style="7" hidden="1" customWidth="1"/>
    <col min="2026" max="2026" width="11.453125" style="7" bestFit="1" customWidth="1"/>
    <col min="2027" max="2045" width="0" style="7" hidden="1" customWidth="1"/>
    <col min="2046" max="2271" width="8.90625" style="7"/>
    <col min="2272" max="2272" width="7.6328125" style="7" bestFit="1" customWidth="1"/>
    <col min="2273" max="2273" width="0" style="7" hidden="1" customWidth="1"/>
    <col min="2274" max="2274" width="8.90625" style="7"/>
    <col min="2275" max="2275" width="0" style="7" hidden="1" customWidth="1"/>
    <col min="2276" max="2276" width="24.90625" style="7" bestFit="1" customWidth="1"/>
    <col min="2277" max="2277" width="10" style="7" bestFit="1" customWidth="1"/>
    <col min="2278" max="2278" width="9.54296875" style="7" customWidth="1"/>
    <col min="2279" max="2279" width="9.54296875" style="7" bestFit="1" customWidth="1"/>
    <col min="2280" max="2281" width="0" style="7" hidden="1" customWidth="1"/>
    <col min="2282" max="2282" width="11.453125" style="7" bestFit="1" customWidth="1"/>
    <col min="2283" max="2301" width="0" style="7" hidden="1" customWidth="1"/>
    <col min="2302" max="2527" width="8.90625" style="7"/>
    <col min="2528" max="2528" width="7.6328125" style="7" bestFit="1" customWidth="1"/>
    <col min="2529" max="2529" width="0" style="7" hidden="1" customWidth="1"/>
    <col min="2530" max="2530" width="8.90625" style="7"/>
    <col min="2531" max="2531" width="0" style="7" hidden="1" customWidth="1"/>
    <col min="2532" max="2532" width="24.90625" style="7" bestFit="1" customWidth="1"/>
    <col min="2533" max="2533" width="10" style="7" bestFit="1" customWidth="1"/>
    <col min="2534" max="2534" width="9.54296875" style="7" customWidth="1"/>
    <col min="2535" max="2535" width="9.54296875" style="7" bestFit="1" customWidth="1"/>
    <col min="2536" max="2537" width="0" style="7" hidden="1" customWidth="1"/>
    <col min="2538" max="2538" width="11.453125" style="7" bestFit="1" customWidth="1"/>
    <col min="2539" max="2557" width="0" style="7" hidden="1" customWidth="1"/>
    <col min="2558" max="2783" width="8.90625" style="7"/>
    <col min="2784" max="2784" width="7.6328125" style="7" bestFit="1" customWidth="1"/>
    <col min="2785" max="2785" width="0" style="7" hidden="1" customWidth="1"/>
    <col min="2786" max="2786" width="8.90625" style="7"/>
    <col min="2787" max="2787" width="0" style="7" hidden="1" customWidth="1"/>
    <col min="2788" max="2788" width="24.90625" style="7" bestFit="1" customWidth="1"/>
    <col min="2789" max="2789" width="10" style="7" bestFit="1" customWidth="1"/>
    <col min="2790" max="2790" width="9.54296875" style="7" customWidth="1"/>
    <col min="2791" max="2791" width="9.54296875" style="7" bestFit="1" customWidth="1"/>
    <col min="2792" max="2793" width="0" style="7" hidden="1" customWidth="1"/>
    <col min="2794" max="2794" width="11.453125" style="7" bestFit="1" customWidth="1"/>
    <col min="2795" max="2813" width="0" style="7" hidden="1" customWidth="1"/>
    <col min="2814" max="3039" width="8.90625" style="7"/>
    <col min="3040" max="3040" width="7.6328125" style="7" bestFit="1" customWidth="1"/>
    <col min="3041" max="3041" width="0" style="7" hidden="1" customWidth="1"/>
    <col min="3042" max="3042" width="8.90625" style="7"/>
    <col min="3043" max="3043" width="0" style="7" hidden="1" customWidth="1"/>
    <col min="3044" max="3044" width="24.90625" style="7" bestFit="1" customWidth="1"/>
    <col min="3045" max="3045" width="10" style="7" bestFit="1" customWidth="1"/>
    <col min="3046" max="3046" width="9.54296875" style="7" customWidth="1"/>
    <col min="3047" max="3047" width="9.54296875" style="7" bestFit="1" customWidth="1"/>
    <col min="3048" max="3049" width="0" style="7" hidden="1" customWidth="1"/>
    <col min="3050" max="3050" width="11.453125" style="7" bestFit="1" customWidth="1"/>
    <col min="3051" max="3069" width="0" style="7" hidden="1" customWidth="1"/>
    <col min="3070" max="3295" width="8.90625" style="7"/>
    <col min="3296" max="3296" width="7.6328125" style="7" bestFit="1" customWidth="1"/>
    <col min="3297" max="3297" width="0" style="7" hidden="1" customWidth="1"/>
    <col min="3298" max="3298" width="8.90625" style="7"/>
    <col min="3299" max="3299" width="0" style="7" hidden="1" customWidth="1"/>
    <col min="3300" max="3300" width="24.90625" style="7" bestFit="1" customWidth="1"/>
    <col min="3301" max="3301" width="10" style="7" bestFit="1" customWidth="1"/>
    <col min="3302" max="3302" width="9.54296875" style="7" customWidth="1"/>
    <col min="3303" max="3303" width="9.54296875" style="7" bestFit="1" customWidth="1"/>
    <col min="3304" max="3305" width="0" style="7" hidden="1" customWidth="1"/>
    <col min="3306" max="3306" width="11.453125" style="7" bestFit="1" customWidth="1"/>
    <col min="3307" max="3325" width="0" style="7" hidden="1" customWidth="1"/>
    <col min="3326" max="3551" width="8.90625" style="7"/>
    <col min="3552" max="3552" width="7.6328125" style="7" bestFit="1" customWidth="1"/>
    <col min="3553" max="3553" width="0" style="7" hidden="1" customWidth="1"/>
    <col min="3554" max="3554" width="8.90625" style="7"/>
    <col min="3555" max="3555" width="0" style="7" hidden="1" customWidth="1"/>
    <col min="3556" max="3556" width="24.90625" style="7" bestFit="1" customWidth="1"/>
    <col min="3557" max="3557" width="10" style="7" bestFit="1" customWidth="1"/>
    <col min="3558" max="3558" width="9.54296875" style="7" customWidth="1"/>
    <col min="3559" max="3559" width="9.54296875" style="7" bestFit="1" customWidth="1"/>
    <col min="3560" max="3561" width="0" style="7" hidden="1" customWidth="1"/>
    <col min="3562" max="3562" width="11.453125" style="7" bestFit="1" customWidth="1"/>
    <col min="3563" max="3581" width="0" style="7" hidden="1" customWidth="1"/>
    <col min="3582" max="3807" width="8.90625" style="7"/>
    <col min="3808" max="3808" width="7.6328125" style="7" bestFit="1" customWidth="1"/>
    <col min="3809" max="3809" width="0" style="7" hidden="1" customWidth="1"/>
    <col min="3810" max="3810" width="8.90625" style="7"/>
    <col min="3811" max="3811" width="0" style="7" hidden="1" customWidth="1"/>
    <col min="3812" max="3812" width="24.90625" style="7" bestFit="1" customWidth="1"/>
    <col min="3813" max="3813" width="10" style="7" bestFit="1" customWidth="1"/>
    <col min="3814" max="3814" width="9.54296875" style="7" customWidth="1"/>
    <col min="3815" max="3815" width="9.54296875" style="7" bestFit="1" customWidth="1"/>
    <col min="3816" max="3817" width="0" style="7" hidden="1" customWidth="1"/>
    <col min="3818" max="3818" width="11.453125" style="7" bestFit="1" customWidth="1"/>
    <col min="3819" max="3837" width="0" style="7" hidden="1" customWidth="1"/>
    <col min="3838" max="4063" width="8.90625" style="7"/>
    <col min="4064" max="4064" width="7.6328125" style="7" bestFit="1" customWidth="1"/>
    <col min="4065" max="4065" width="0" style="7" hidden="1" customWidth="1"/>
    <col min="4066" max="4066" width="8.90625" style="7"/>
    <col min="4067" max="4067" width="0" style="7" hidden="1" customWidth="1"/>
    <col min="4068" max="4068" width="24.90625" style="7" bestFit="1" customWidth="1"/>
    <col min="4069" max="4069" width="10" style="7" bestFit="1" customWidth="1"/>
    <col min="4070" max="4070" width="9.54296875" style="7" customWidth="1"/>
    <col min="4071" max="4071" width="9.54296875" style="7" bestFit="1" customWidth="1"/>
    <col min="4072" max="4073" width="0" style="7" hidden="1" customWidth="1"/>
    <col min="4074" max="4074" width="11.453125" style="7" bestFit="1" customWidth="1"/>
    <col min="4075" max="4093" width="0" style="7" hidden="1" customWidth="1"/>
    <col min="4094" max="4319" width="8.90625" style="7"/>
    <col min="4320" max="4320" width="7.6328125" style="7" bestFit="1" customWidth="1"/>
    <col min="4321" max="4321" width="0" style="7" hidden="1" customWidth="1"/>
    <col min="4322" max="4322" width="8.90625" style="7"/>
    <col min="4323" max="4323" width="0" style="7" hidden="1" customWidth="1"/>
    <col min="4324" max="4324" width="24.90625" style="7" bestFit="1" customWidth="1"/>
    <col min="4325" max="4325" width="10" style="7" bestFit="1" customWidth="1"/>
    <col min="4326" max="4326" width="9.54296875" style="7" customWidth="1"/>
    <col min="4327" max="4327" width="9.54296875" style="7" bestFit="1" customWidth="1"/>
    <col min="4328" max="4329" width="0" style="7" hidden="1" customWidth="1"/>
    <col min="4330" max="4330" width="11.453125" style="7" bestFit="1" customWidth="1"/>
    <col min="4331" max="4349" width="0" style="7" hidden="1" customWidth="1"/>
    <col min="4350" max="4575" width="8.90625" style="7"/>
    <col min="4576" max="4576" width="7.6328125" style="7" bestFit="1" customWidth="1"/>
    <col min="4577" max="4577" width="0" style="7" hidden="1" customWidth="1"/>
    <col min="4578" max="4578" width="8.90625" style="7"/>
    <col min="4579" max="4579" width="0" style="7" hidden="1" customWidth="1"/>
    <col min="4580" max="4580" width="24.90625" style="7" bestFit="1" customWidth="1"/>
    <col min="4581" max="4581" width="10" style="7" bestFit="1" customWidth="1"/>
    <col min="4582" max="4582" width="9.54296875" style="7" customWidth="1"/>
    <col min="4583" max="4583" width="9.54296875" style="7" bestFit="1" customWidth="1"/>
    <col min="4584" max="4585" width="0" style="7" hidden="1" customWidth="1"/>
    <col min="4586" max="4586" width="11.453125" style="7" bestFit="1" customWidth="1"/>
    <col min="4587" max="4605" width="0" style="7" hidden="1" customWidth="1"/>
    <col min="4606" max="4831" width="8.90625" style="7"/>
    <col min="4832" max="4832" width="7.6328125" style="7" bestFit="1" customWidth="1"/>
    <col min="4833" max="4833" width="0" style="7" hidden="1" customWidth="1"/>
    <col min="4834" max="4834" width="8.90625" style="7"/>
    <col min="4835" max="4835" width="0" style="7" hidden="1" customWidth="1"/>
    <col min="4836" max="4836" width="24.90625" style="7" bestFit="1" customWidth="1"/>
    <col min="4837" max="4837" width="10" style="7" bestFit="1" customWidth="1"/>
    <col min="4838" max="4838" width="9.54296875" style="7" customWidth="1"/>
    <col min="4839" max="4839" width="9.54296875" style="7" bestFit="1" customWidth="1"/>
    <col min="4840" max="4841" width="0" style="7" hidden="1" customWidth="1"/>
    <col min="4842" max="4842" width="11.453125" style="7" bestFit="1" customWidth="1"/>
    <col min="4843" max="4861" width="0" style="7" hidden="1" customWidth="1"/>
    <col min="4862" max="5087" width="8.90625" style="7"/>
    <col min="5088" max="5088" width="7.6328125" style="7" bestFit="1" customWidth="1"/>
    <col min="5089" max="5089" width="0" style="7" hidden="1" customWidth="1"/>
    <col min="5090" max="5090" width="8.90625" style="7"/>
    <col min="5091" max="5091" width="0" style="7" hidden="1" customWidth="1"/>
    <col min="5092" max="5092" width="24.90625" style="7" bestFit="1" customWidth="1"/>
    <col min="5093" max="5093" width="10" style="7" bestFit="1" customWidth="1"/>
    <col min="5094" max="5094" width="9.54296875" style="7" customWidth="1"/>
    <col min="5095" max="5095" width="9.54296875" style="7" bestFit="1" customWidth="1"/>
    <col min="5096" max="5097" width="0" style="7" hidden="1" customWidth="1"/>
    <col min="5098" max="5098" width="11.453125" style="7" bestFit="1" customWidth="1"/>
    <col min="5099" max="5117" width="0" style="7" hidden="1" customWidth="1"/>
    <col min="5118" max="5343" width="8.90625" style="7"/>
    <col min="5344" max="5344" width="7.6328125" style="7" bestFit="1" customWidth="1"/>
    <col min="5345" max="5345" width="0" style="7" hidden="1" customWidth="1"/>
    <col min="5346" max="5346" width="8.90625" style="7"/>
    <col min="5347" max="5347" width="0" style="7" hidden="1" customWidth="1"/>
    <col min="5348" max="5348" width="24.90625" style="7" bestFit="1" customWidth="1"/>
    <col min="5349" max="5349" width="10" style="7" bestFit="1" customWidth="1"/>
    <col min="5350" max="5350" width="9.54296875" style="7" customWidth="1"/>
    <col min="5351" max="5351" width="9.54296875" style="7" bestFit="1" customWidth="1"/>
    <col min="5352" max="5353" width="0" style="7" hidden="1" customWidth="1"/>
    <col min="5354" max="5354" width="11.453125" style="7" bestFit="1" customWidth="1"/>
    <col min="5355" max="5373" width="0" style="7" hidden="1" customWidth="1"/>
    <col min="5374" max="5599" width="8.90625" style="7"/>
    <col min="5600" max="5600" width="7.6328125" style="7" bestFit="1" customWidth="1"/>
    <col min="5601" max="5601" width="0" style="7" hidden="1" customWidth="1"/>
    <col min="5602" max="5602" width="8.90625" style="7"/>
    <col min="5603" max="5603" width="0" style="7" hidden="1" customWidth="1"/>
    <col min="5604" max="5604" width="24.90625" style="7" bestFit="1" customWidth="1"/>
    <col min="5605" max="5605" width="10" style="7" bestFit="1" customWidth="1"/>
    <col min="5606" max="5606" width="9.54296875" style="7" customWidth="1"/>
    <col min="5607" max="5607" width="9.54296875" style="7" bestFit="1" customWidth="1"/>
    <col min="5608" max="5609" width="0" style="7" hidden="1" customWidth="1"/>
    <col min="5610" max="5610" width="11.453125" style="7" bestFit="1" customWidth="1"/>
    <col min="5611" max="5629" width="0" style="7" hidden="1" customWidth="1"/>
    <col min="5630" max="5855" width="8.90625" style="7"/>
    <col min="5856" max="5856" width="7.6328125" style="7" bestFit="1" customWidth="1"/>
    <col min="5857" max="5857" width="0" style="7" hidden="1" customWidth="1"/>
    <col min="5858" max="5858" width="8.90625" style="7"/>
    <col min="5859" max="5859" width="0" style="7" hidden="1" customWidth="1"/>
    <col min="5860" max="5860" width="24.90625" style="7" bestFit="1" customWidth="1"/>
    <col min="5861" max="5861" width="10" style="7" bestFit="1" customWidth="1"/>
    <col min="5862" max="5862" width="9.54296875" style="7" customWidth="1"/>
    <col min="5863" max="5863" width="9.54296875" style="7" bestFit="1" customWidth="1"/>
    <col min="5864" max="5865" width="0" style="7" hidden="1" customWidth="1"/>
    <col min="5866" max="5866" width="11.453125" style="7" bestFit="1" customWidth="1"/>
    <col min="5867" max="5885" width="0" style="7" hidden="1" customWidth="1"/>
    <col min="5886" max="6111" width="8.90625" style="7"/>
    <col min="6112" max="6112" width="7.6328125" style="7" bestFit="1" customWidth="1"/>
    <col min="6113" max="6113" width="0" style="7" hidden="1" customWidth="1"/>
    <col min="6114" max="6114" width="8.90625" style="7"/>
    <col min="6115" max="6115" width="0" style="7" hidden="1" customWidth="1"/>
    <col min="6116" max="6116" width="24.90625" style="7" bestFit="1" customWidth="1"/>
    <col min="6117" max="6117" width="10" style="7" bestFit="1" customWidth="1"/>
    <col min="6118" max="6118" width="9.54296875" style="7" customWidth="1"/>
    <col min="6119" max="6119" width="9.54296875" style="7" bestFit="1" customWidth="1"/>
    <col min="6120" max="6121" width="0" style="7" hidden="1" customWidth="1"/>
    <col min="6122" max="6122" width="11.453125" style="7" bestFit="1" customWidth="1"/>
    <col min="6123" max="6141" width="0" style="7" hidden="1" customWidth="1"/>
    <col min="6142" max="6367" width="8.90625" style="7"/>
    <col min="6368" max="6368" width="7.6328125" style="7" bestFit="1" customWidth="1"/>
    <col min="6369" max="6369" width="0" style="7" hidden="1" customWidth="1"/>
    <col min="6370" max="6370" width="8.90625" style="7"/>
    <col min="6371" max="6371" width="0" style="7" hidden="1" customWidth="1"/>
    <col min="6372" max="6372" width="24.90625" style="7" bestFit="1" customWidth="1"/>
    <col min="6373" max="6373" width="10" style="7" bestFit="1" customWidth="1"/>
    <col min="6374" max="6374" width="9.54296875" style="7" customWidth="1"/>
    <col min="6375" max="6375" width="9.54296875" style="7" bestFit="1" customWidth="1"/>
    <col min="6376" max="6377" width="0" style="7" hidden="1" customWidth="1"/>
    <col min="6378" max="6378" width="11.453125" style="7" bestFit="1" customWidth="1"/>
    <col min="6379" max="6397" width="0" style="7" hidden="1" customWidth="1"/>
    <col min="6398" max="6623" width="8.90625" style="7"/>
    <col min="6624" max="6624" width="7.6328125" style="7" bestFit="1" customWidth="1"/>
    <col min="6625" max="6625" width="0" style="7" hidden="1" customWidth="1"/>
    <col min="6626" max="6626" width="8.90625" style="7"/>
    <col min="6627" max="6627" width="0" style="7" hidden="1" customWidth="1"/>
    <col min="6628" max="6628" width="24.90625" style="7" bestFit="1" customWidth="1"/>
    <col min="6629" max="6629" width="10" style="7" bestFit="1" customWidth="1"/>
    <col min="6630" max="6630" width="9.54296875" style="7" customWidth="1"/>
    <col min="6631" max="6631" width="9.54296875" style="7" bestFit="1" customWidth="1"/>
    <col min="6632" max="6633" width="0" style="7" hidden="1" customWidth="1"/>
    <col min="6634" max="6634" width="11.453125" style="7" bestFit="1" customWidth="1"/>
    <col min="6635" max="6653" width="0" style="7" hidden="1" customWidth="1"/>
    <col min="6654" max="6879" width="8.90625" style="7"/>
    <col min="6880" max="6880" width="7.6328125" style="7" bestFit="1" customWidth="1"/>
    <col min="6881" max="6881" width="0" style="7" hidden="1" customWidth="1"/>
    <col min="6882" max="6882" width="8.90625" style="7"/>
    <col min="6883" max="6883" width="0" style="7" hidden="1" customWidth="1"/>
    <col min="6884" max="6884" width="24.90625" style="7" bestFit="1" customWidth="1"/>
    <col min="6885" max="6885" width="10" style="7" bestFit="1" customWidth="1"/>
    <col min="6886" max="6886" width="9.54296875" style="7" customWidth="1"/>
    <col min="6887" max="6887" width="9.54296875" style="7" bestFit="1" customWidth="1"/>
    <col min="6888" max="6889" width="0" style="7" hidden="1" customWidth="1"/>
    <col min="6890" max="6890" width="11.453125" style="7" bestFit="1" customWidth="1"/>
    <col min="6891" max="6909" width="0" style="7" hidden="1" customWidth="1"/>
    <col min="6910" max="7135" width="8.90625" style="7"/>
    <col min="7136" max="7136" width="7.6328125" style="7" bestFit="1" customWidth="1"/>
    <col min="7137" max="7137" width="0" style="7" hidden="1" customWidth="1"/>
    <col min="7138" max="7138" width="8.90625" style="7"/>
    <col min="7139" max="7139" width="0" style="7" hidden="1" customWidth="1"/>
    <col min="7140" max="7140" width="24.90625" style="7" bestFit="1" customWidth="1"/>
    <col min="7141" max="7141" width="10" style="7" bestFit="1" customWidth="1"/>
    <col min="7142" max="7142" width="9.54296875" style="7" customWidth="1"/>
    <col min="7143" max="7143" width="9.54296875" style="7" bestFit="1" customWidth="1"/>
    <col min="7144" max="7145" width="0" style="7" hidden="1" customWidth="1"/>
    <col min="7146" max="7146" width="11.453125" style="7" bestFit="1" customWidth="1"/>
    <col min="7147" max="7165" width="0" style="7" hidden="1" customWidth="1"/>
    <col min="7166" max="7391" width="8.90625" style="7"/>
    <col min="7392" max="7392" width="7.6328125" style="7" bestFit="1" customWidth="1"/>
    <col min="7393" max="7393" width="0" style="7" hidden="1" customWidth="1"/>
    <col min="7394" max="7394" width="8.90625" style="7"/>
    <col min="7395" max="7395" width="0" style="7" hidden="1" customWidth="1"/>
    <col min="7396" max="7396" width="24.90625" style="7" bestFit="1" customWidth="1"/>
    <col min="7397" max="7397" width="10" style="7" bestFit="1" customWidth="1"/>
    <col min="7398" max="7398" width="9.54296875" style="7" customWidth="1"/>
    <col min="7399" max="7399" width="9.54296875" style="7" bestFit="1" customWidth="1"/>
    <col min="7400" max="7401" width="0" style="7" hidden="1" customWidth="1"/>
    <col min="7402" max="7402" width="11.453125" style="7" bestFit="1" customWidth="1"/>
    <col min="7403" max="7421" width="0" style="7" hidden="1" customWidth="1"/>
    <col min="7422" max="7647" width="8.90625" style="7"/>
    <col min="7648" max="7648" width="7.6328125" style="7" bestFit="1" customWidth="1"/>
    <col min="7649" max="7649" width="0" style="7" hidden="1" customWidth="1"/>
    <col min="7650" max="7650" width="8.90625" style="7"/>
    <col min="7651" max="7651" width="0" style="7" hidden="1" customWidth="1"/>
    <col min="7652" max="7652" width="24.90625" style="7" bestFit="1" customWidth="1"/>
    <col min="7653" max="7653" width="10" style="7" bestFit="1" customWidth="1"/>
    <col min="7654" max="7654" width="9.54296875" style="7" customWidth="1"/>
    <col min="7655" max="7655" width="9.54296875" style="7" bestFit="1" customWidth="1"/>
    <col min="7656" max="7657" width="0" style="7" hidden="1" customWidth="1"/>
    <col min="7658" max="7658" width="11.453125" style="7" bestFit="1" customWidth="1"/>
    <col min="7659" max="7677" width="0" style="7" hidden="1" customWidth="1"/>
    <col min="7678" max="7903" width="8.90625" style="7"/>
    <col min="7904" max="7904" width="7.6328125" style="7" bestFit="1" customWidth="1"/>
    <col min="7905" max="7905" width="0" style="7" hidden="1" customWidth="1"/>
    <col min="7906" max="7906" width="8.90625" style="7"/>
    <col min="7907" max="7907" width="0" style="7" hidden="1" customWidth="1"/>
    <col min="7908" max="7908" width="24.90625" style="7" bestFit="1" customWidth="1"/>
    <col min="7909" max="7909" width="10" style="7" bestFit="1" customWidth="1"/>
    <col min="7910" max="7910" width="9.54296875" style="7" customWidth="1"/>
    <col min="7911" max="7911" width="9.54296875" style="7" bestFit="1" customWidth="1"/>
    <col min="7912" max="7913" width="0" style="7" hidden="1" customWidth="1"/>
    <col min="7914" max="7914" width="11.453125" style="7" bestFit="1" customWidth="1"/>
    <col min="7915" max="7933" width="0" style="7" hidden="1" customWidth="1"/>
    <col min="7934" max="8159" width="8.90625" style="7"/>
    <col min="8160" max="8160" width="7.6328125" style="7" bestFit="1" customWidth="1"/>
    <col min="8161" max="8161" width="0" style="7" hidden="1" customWidth="1"/>
    <col min="8162" max="8162" width="8.90625" style="7"/>
    <col min="8163" max="8163" width="0" style="7" hidden="1" customWidth="1"/>
    <col min="8164" max="8164" width="24.90625" style="7" bestFit="1" customWidth="1"/>
    <col min="8165" max="8165" width="10" style="7" bestFit="1" customWidth="1"/>
    <col min="8166" max="8166" width="9.54296875" style="7" customWidth="1"/>
    <col min="8167" max="8167" width="9.54296875" style="7" bestFit="1" customWidth="1"/>
    <col min="8168" max="8169" width="0" style="7" hidden="1" customWidth="1"/>
    <col min="8170" max="8170" width="11.453125" style="7" bestFit="1" customWidth="1"/>
    <col min="8171" max="8189" width="0" style="7" hidden="1" customWidth="1"/>
    <col min="8190" max="8415" width="8.90625" style="7"/>
    <col min="8416" max="8416" width="7.6328125" style="7" bestFit="1" customWidth="1"/>
    <col min="8417" max="8417" width="0" style="7" hidden="1" customWidth="1"/>
    <col min="8418" max="8418" width="8.90625" style="7"/>
    <col min="8419" max="8419" width="0" style="7" hidden="1" customWidth="1"/>
    <col min="8420" max="8420" width="24.90625" style="7" bestFit="1" customWidth="1"/>
    <col min="8421" max="8421" width="10" style="7" bestFit="1" customWidth="1"/>
    <col min="8422" max="8422" width="9.54296875" style="7" customWidth="1"/>
    <col min="8423" max="8423" width="9.54296875" style="7" bestFit="1" customWidth="1"/>
    <col min="8424" max="8425" width="0" style="7" hidden="1" customWidth="1"/>
    <col min="8426" max="8426" width="11.453125" style="7" bestFit="1" customWidth="1"/>
    <col min="8427" max="8445" width="0" style="7" hidden="1" customWidth="1"/>
    <col min="8446" max="8671" width="8.90625" style="7"/>
    <col min="8672" max="8672" width="7.6328125" style="7" bestFit="1" customWidth="1"/>
    <col min="8673" max="8673" width="0" style="7" hidden="1" customWidth="1"/>
    <col min="8674" max="8674" width="8.90625" style="7"/>
    <col min="8675" max="8675" width="0" style="7" hidden="1" customWidth="1"/>
    <col min="8676" max="8676" width="24.90625" style="7" bestFit="1" customWidth="1"/>
    <col min="8677" max="8677" width="10" style="7" bestFit="1" customWidth="1"/>
    <col min="8678" max="8678" width="9.54296875" style="7" customWidth="1"/>
    <col min="8679" max="8679" width="9.54296875" style="7" bestFit="1" customWidth="1"/>
    <col min="8680" max="8681" width="0" style="7" hidden="1" customWidth="1"/>
    <col min="8682" max="8682" width="11.453125" style="7" bestFit="1" customWidth="1"/>
    <col min="8683" max="8701" width="0" style="7" hidden="1" customWidth="1"/>
    <col min="8702" max="8927" width="8.90625" style="7"/>
    <col min="8928" max="8928" width="7.6328125" style="7" bestFit="1" customWidth="1"/>
    <col min="8929" max="8929" width="0" style="7" hidden="1" customWidth="1"/>
    <col min="8930" max="8930" width="8.90625" style="7"/>
    <col min="8931" max="8931" width="0" style="7" hidden="1" customWidth="1"/>
    <col min="8932" max="8932" width="24.90625" style="7" bestFit="1" customWidth="1"/>
    <col min="8933" max="8933" width="10" style="7" bestFit="1" customWidth="1"/>
    <col min="8934" max="8934" width="9.54296875" style="7" customWidth="1"/>
    <col min="8935" max="8935" width="9.54296875" style="7" bestFit="1" customWidth="1"/>
    <col min="8936" max="8937" width="0" style="7" hidden="1" customWidth="1"/>
    <col min="8938" max="8938" width="11.453125" style="7" bestFit="1" customWidth="1"/>
    <col min="8939" max="8957" width="0" style="7" hidden="1" customWidth="1"/>
    <col min="8958" max="9183" width="8.90625" style="7"/>
    <col min="9184" max="9184" width="7.6328125" style="7" bestFit="1" customWidth="1"/>
    <col min="9185" max="9185" width="0" style="7" hidden="1" customWidth="1"/>
    <col min="9186" max="9186" width="8.90625" style="7"/>
    <col min="9187" max="9187" width="0" style="7" hidden="1" customWidth="1"/>
    <col min="9188" max="9188" width="24.90625" style="7" bestFit="1" customWidth="1"/>
    <col min="9189" max="9189" width="10" style="7" bestFit="1" customWidth="1"/>
    <col min="9190" max="9190" width="9.54296875" style="7" customWidth="1"/>
    <col min="9191" max="9191" width="9.54296875" style="7" bestFit="1" customWidth="1"/>
    <col min="9192" max="9193" width="0" style="7" hidden="1" customWidth="1"/>
    <col min="9194" max="9194" width="11.453125" style="7" bestFit="1" customWidth="1"/>
    <col min="9195" max="9213" width="0" style="7" hidden="1" customWidth="1"/>
    <col min="9214" max="9439" width="8.90625" style="7"/>
    <col min="9440" max="9440" width="7.6328125" style="7" bestFit="1" customWidth="1"/>
    <col min="9441" max="9441" width="0" style="7" hidden="1" customWidth="1"/>
    <col min="9442" max="9442" width="8.90625" style="7"/>
    <col min="9443" max="9443" width="0" style="7" hidden="1" customWidth="1"/>
    <col min="9444" max="9444" width="24.90625" style="7" bestFit="1" customWidth="1"/>
    <col min="9445" max="9445" width="10" style="7" bestFit="1" customWidth="1"/>
    <col min="9446" max="9446" width="9.54296875" style="7" customWidth="1"/>
    <col min="9447" max="9447" width="9.54296875" style="7" bestFit="1" customWidth="1"/>
    <col min="9448" max="9449" width="0" style="7" hidden="1" customWidth="1"/>
    <col min="9450" max="9450" width="11.453125" style="7" bestFit="1" customWidth="1"/>
    <col min="9451" max="9469" width="0" style="7" hidden="1" customWidth="1"/>
    <col min="9470" max="9695" width="8.90625" style="7"/>
    <col min="9696" max="9696" width="7.6328125" style="7" bestFit="1" customWidth="1"/>
    <col min="9697" max="9697" width="0" style="7" hidden="1" customWidth="1"/>
    <col min="9698" max="9698" width="8.90625" style="7"/>
    <col min="9699" max="9699" width="0" style="7" hidden="1" customWidth="1"/>
    <col min="9700" max="9700" width="24.90625" style="7" bestFit="1" customWidth="1"/>
    <col min="9701" max="9701" width="10" style="7" bestFit="1" customWidth="1"/>
    <col min="9702" max="9702" width="9.54296875" style="7" customWidth="1"/>
    <col min="9703" max="9703" width="9.54296875" style="7" bestFit="1" customWidth="1"/>
    <col min="9704" max="9705" width="0" style="7" hidden="1" customWidth="1"/>
    <col min="9706" max="9706" width="11.453125" style="7" bestFit="1" customWidth="1"/>
    <col min="9707" max="9725" width="0" style="7" hidden="1" customWidth="1"/>
    <col min="9726" max="9951" width="8.90625" style="7"/>
    <col min="9952" max="9952" width="7.6328125" style="7" bestFit="1" customWidth="1"/>
    <col min="9953" max="9953" width="0" style="7" hidden="1" customWidth="1"/>
    <col min="9954" max="9954" width="8.90625" style="7"/>
    <col min="9955" max="9955" width="0" style="7" hidden="1" customWidth="1"/>
    <col min="9956" max="9956" width="24.90625" style="7" bestFit="1" customWidth="1"/>
    <col min="9957" max="9957" width="10" style="7" bestFit="1" customWidth="1"/>
    <col min="9958" max="9958" width="9.54296875" style="7" customWidth="1"/>
    <col min="9959" max="9959" width="9.54296875" style="7" bestFit="1" customWidth="1"/>
    <col min="9960" max="9961" width="0" style="7" hidden="1" customWidth="1"/>
    <col min="9962" max="9962" width="11.453125" style="7" bestFit="1" customWidth="1"/>
    <col min="9963" max="9981" width="0" style="7" hidden="1" customWidth="1"/>
    <col min="9982" max="10207" width="8.90625" style="7"/>
    <col min="10208" max="10208" width="7.6328125" style="7" bestFit="1" customWidth="1"/>
    <col min="10209" max="10209" width="0" style="7" hidden="1" customWidth="1"/>
    <col min="10210" max="10210" width="8.90625" style="7"/>
    <col min="10211" max="10211" width="0" style="7" hidden="1" customWidth="1"/>
    <col min="10212" max="10212" width="24.90625" style="7" bestFit="1" customWidth="1"/>
    <col min="10213" max="10213" width="10" style="7" bestFit="1" customWidth="1"/>
    <col min="10214" max="10214" width="9.54296875" style="7" customWidth="1"/>
    <col min="10215" max="10215" width="9.54296875" style="7" bestFit="1" customWidth="1"/>
    <col min="10216" max="10217" width="0" style="7" hidden="1" customWidth="1"/>
    <col min="10218" max="10218" width="11.453125" style="7" bestFit="1" customWidth="1"/>
    <col min="10219" max="10237" width="0" style="7" hidden="1" customWidth="1"/>
    <col min="10238" max="10463" width="8.90625" style="7"/>
    <col min="10464" max="10464" width="7.6328125" style="7" bestFit="1" customWidth="1"/>
    <col min="10465" max="10465" width="0" style="7" hidden="1" customWidth="1"/>
    <col min="10466" max="10466" width="8.90625" style="7"/>
    <col min="10467" max="10467" width="0" style="7" hidden="1" customWidth="1"/>
    <col min="10468" max="10468" width="24.90625" style="7" bestFit="1" customWidth="1"/>
    <col min="10469" max="10469" width="10" style="7" bestFit="1" customWidth="1"/>
    <col min="10470" max="10470" width="9.54296875" style="7" customWidth="1"/>
    <col min="10471" max="10471" width="9.54296875" style="7" bestFit="1" customWidth="1"/>
    <col min="10472" max="10473" width="0" style="7" hidden="1" customWidth="1"/>
    <col min="10474" max="10474" width="11.453125" style="7" bestFit="1" customWidth="1"/>
    <col min="10475" max="10493" width="0" style="7" hidden="1" customWidth="1"/>
    <col min="10494" max="10719" width="8.90625" style="7"/>
    <col min="10720" max="10720" width="7.6328125" style="7" bestFit="1" customWidth="1"/>
    <col min="10721" max="10721" width="0" style="7" hidden="1" customWidth="1"/>
    <col min="10722" max="10722" width="8.90625" style="7"/>
    <col min="10723" max="10723" width="0" style="7" hidden="1" customWidth="1"/>
    <col min="10724" max="10724" width="24.90625" style="7" bestFit="1" customWidth="1"/>
    <col min="10725" max="10725" width="10" style="7" bestFit="1" customWidth="1"/>
    <col min="10726" max="10726" width="9.54296875" style="7" customWidth="1"/>
    <col min="10727" max="10727" width="9.54296875" style="7" bestFit="1" customWidth="1"/>
    <col min="10728" max="10729" width="0" style="7" hidden="1" customWidth="1"/>
    <col min="10730" max="10730" width="11.453125" style="7" bestFit="1" customWidth="1"/>
    <col min="10731" max="10749" width="0" style="7" hidden="1" customWidth="1"/>
    <col min="10750" max="10975" width="8.90625" style="7"/>
    <col min="10976" max="10976" width="7.6328125" style="7" bestFit="1" customWidth="1"/>
    <col min="10977" max="10977" width="0" style="7" hidden="1" customWidth="1"/>
    <col min="10978" max="10978" width="8.90625" style="7"/>
    <col min="10979" max="10979" width="0" style="7" hidden="1" customWidth="1"/>
    <col min="10980" max="10980" width="24.90625" style="7" bestFit="1" customWidth="1"/>
    <col min="10981" max="10981" width="10" style="7" bestFit="1" customWidth="1"/>
    <col min="10982" max="10982" width="9.54296875" style="7" customWidth="1"/>
    <col min="10983" max="10983" width="9.54296875" style="7" bestFit="1" customWidth="1"/>
    <col min="10984" max="10985" width="0" style="7" hidden="1" customWidth="1"/>
    <col min="10986" max="10986" width="11.453125" style="7" bestFit="1" customWidth="1"/>
    <col min="10987" max="11005" width="0" style="7" hidden="1" customWidth="1"/>
    <col min="11006" max="11231" width="8.90625" style="7"/>
    <col min="11232" max="11232" width="7.6328125" style="7" bestFit="1" customWidth="1"/>
    <col min="11233" max="11233" width="0" style="7" hidden="1" customWidth="1"/>
    <col min="11234" max="11234" width="8.90625" style="7"/>
    <col min="11235" max="11235" width="0" style="7" hidden="1" customWidth="1"/>
    <col min="11236" max="11236" width="24.90625" style="7" bestFit="1" customWidth="1"/>
    <col min="11237" max="11237" width="10" style="7" bestFit="1" customWidth="1"/>
    <col min="11238" max="11238" width="9.54296875" style="7" customWidth="1"/>
    <col min="11239" max="11239" width="9.54296875" style="7" bestFit="1" customWidth="1"/>
    <col min="11240" max="11241" width="0" style="7" hidden="1" customWidth="1"/>
    <col min="11242" max="11242" width="11.453125" style="7" bestFit="1" customWidth="1"/>
    <col min="11243" max="11261" width="0" style="7" hidden="1" customWidth="1"/>
    <col min="11262" max="11487" width="8.90625" style="7"/>
    <col min="11488" max="11488" width="7.6328125" style="7" bestFit="1" customWidth="1"/>
    <col min="11489" max="11489" width="0" style="7" hidden="1" customWidth="1"/>
    <col min="11490" max="11490" width="8.90625" style="7"/>
    <col min="11491" max="11491" width="0" style="7" hidden="1" customWidth="1"/>
    <col min="11492" max="11492" width="24.90625" style="7" bestFit="1" customWidth="1"/>
    <col min="11493" max="11493" width="10" style="7" bestFit="1" customWidth="1"/>
    <col min="11494" max="11494" width="9.54296875" style="7" customWidth="1"/>
    <col min="11495" max="11495" width="9.54296875" style="7" bestFit="1" customWidth="1"/>
    <col min="11496" max="11497" width="0" style="7" hidden="1" customWidth="1"/>
    <col min="11498" max="11498" width="11.453125" style="7" bestFit="1" customWidth="1"/>
    <col min="11499" max="11517" width="0" style="7" hidden="1" customWidth="1"/>
    <col min="11518" max="11743" width="8.90625" style="7"/>
    <col min="11744" max="11744" width="7.6328125" style="7" bestFit="1" customWidth="1"/>
    <col min="11745" max="11745" width="0" style="7" hidden="1" customWidth="1"/>
    <col min="11746" max="11746" width="8.90625" style="7"/>
    <col min="11747" max="11747" width="0" style="7" hidden="1" customWidth="1"/>
    <col min="11748" max="11748" width="24.90625" style="7" bestFit="1" customWidth="1"/>
    <col min="11749" max="11749" width="10" style="7" bestFit="1" customWidth="1"/>
    <col min="11750" max="11750" width="9.54296875" style="7" customWidth="1"/>
    <col min="11751" max="11751" width="9.54296875" style="7" bestFit="1" customWidth="1"/>
    <col min="11752" max="11753" width="0" style="7" hidden="1" customWidth="1"/>
    <col min="11754" max="11754" width="11.453125" style="7" bestFit="1" customWidth="1"/>
    <col min="11755" max="11773" width="0" style="7" hidden="1" customWidth="1"/>
    <col min="11774" max="11999" width="8.90625" style="7"/>
    <col min="12000" max="12000" width="7.6328125" style="7" bestFit="1" customWidth="1"/>
    <col min="12001" max="12001" width="0" style="7" hidden="1" customWidth="1"/>
    <col min="12002" max="12002" width="8.90625" style="7"/>
    <col min="12003" max="12003" width="0" style="7" hidden="1" customWidth="1"/>
    <col min="12004" max="12004" width="24.90625" style="7" bestFit="1" customWidth="1"/>
    <col min="12005" max="12005" width="10" style="7" bestFit="1" customWidth="1"/>
    <col min="12006" max="12006" width="9.54296875" style="7" customWidth="1"/>
    <col min="12007" max="12007" width="9.54296875" style="7" bestFit="1" customWidth="1"/>
    <col min="12008" max="12009" width="0" style="7" hidden="1" customWidth="1"/>
    <col min="12010" max="12010" width="11.453125" style="7" bestFit="1" customWidth="1"/>
    <col min="12011" max="12029" width="0" style="7" hidden="1" customWidth="1"/>
    <col min="12030" max="12255" width="8.90625" style="7"/>
    <col min="12256" max="12256" width="7.6328125" style="7" bestFit="1" customWidth="1"/>
    <col min="12257" max="12257" width="0" style="7" hidden="1" customWidth="1"/>
    <col min="12258" max="12258" width="8.90625" style="7"/>
    <col min="12259" max="12259" width="0" style="7" hidden="1" customWidth="1"/>
    <col min="12260" max="12260" width="24.90625" style="7" bestFit="1" customWidth="1"/>
    <col min="12261" max="12261" width="10" style="7" bestFit="1" customWidth="1"/>
    <col min="12262" max="12262" width="9.54296875" style="7" customWidth="1"/>
    <col min="12263" max="12263" width="9.54296875" style="7" bestFit="1" customWidth="1"/>
    <col min="12264" max="12265" width="0" style="7" hidden="1" customWidth="1"/>
    <col min="12266" max="12266" width="11.453125" style="7" bestFit="1" customWidth="1"/>
    <col min="12267" max="12285" width="0" style="7" hidden="1" customWidth="1"/>
    <col min="12286" max="12511" width="8.90625" style="7"/>
    <col min="12512" max="12512" width="7.6328125" style="7" bestFit="1" customWidth="1"/>
    <col min="12513" max="12513" width="0" style="7" hidden="1" customWidth="1"/>
    <col min="12514" max="12514" width="8.90625" style="7"/>
    <col min="12515" max="12515" width="0" style="7" hidden="1" customWidth="1"/>
    <col min="12516" max="12516" width="24.90625" style="7" bestFit="1" customWidth="1"/>
    <col min="12517" max="12517" width="10" style="7" bestFit="1" customWidth="1"/>
    <col min="12518" max="12518" width="9.54296875" style="7" customWidth="1"/>
    <col min="12519" max="12519" width="9.54296875" style="7" bestFit="1" customWidth="1"/>
    <col min="12520" max="12521" width="0" style="7" hidden="1" customWidth="1"/>
    <col min="12522" max="12522" width="11.453125" style="7" bestFit="1" customWidth="1"/>
    <col min="12523" max="12541" width="0" style="7" hidden="1" customWidth="1"/>
    <col min="12542" max="12767" width="8.90625" style="7"/>
    <col min="12768" max="12768" width="7.6328125" style="7" bestFit="1" customWidth="1"/>
    <col min="12769" max="12769" width="0" style="7" hidden="1" customWidth="1"/>
    <col min="12770" max="12770" width="8.90625" style="7"/>
    <col min="12771" max="12771" width="0" style="7" hidden="1" customWidth="1"/>
    <col min="12772" max="12772" width="24.90625" style="7" bestFit="1" customWidth="1"/>
    <col min="12773" max="12773" width="10" style="7" bestFit="1" customWidth="1"/>
    <col min="12774" max="12774" width="9.54296875" style="7" customWidth="1"/>
    <col min="12775" max="12775" width="9.54296875" style="7" bestFit="1" customWidth="1"/>
    <col min="12776" max="12777" width="0" style="7" hidden="1" customWidth="1"/>
    <col min="12778" max="12778" width="11.453125" style="7" bestFit="1" customWidth="1"/>
    <col min="12779" max="12797" width="0" style="7" hidden="1" customWidth="1"/>
    <col min="12798" max="13023" width="8.90625" style="7"/>
    <col min="13024" max="13024" width="7.6328125" style="7" bestFit="1" customWidth="1"/>
    <col min="13025" max="13025" width="0" style="7" hidden="1" customWidth="1"/>
    <col min="13026" max="13026" width="8.90625" style="7"/>
    <col min="13027" max="13027" width="0" style="7" hidden="1" customWidth="1"/>
    <col min="13028" max="13028" width="24.90625" style="7" bestFit="1" customWidth="1"/>
    <col min="13029" max="13029" width="10" style="7" bestFit="1" customWidth="1"/>
    <col min="13030" max="13030" width="9.54296875" style="7" customWidth="1"/>
    <col min="13031" max="13031" width="9.54296875" style="7" bestFit="1" customWidth="1"/>
    <col min="13032" max="13033" width="0" style="7" hidden="1" customWidth="1"/>
    <col min="13034" max="13034" width="11.453125" style="7" bestFit="1" customWidth="1"/>
    <col min="13035" max="13053" width="0" style="7" hidden="1" customWidth="1"/>
    <col min="13054" max="13279" width="8.90625" style="7"/>
    <col min="13280" max="13280" width="7.6328125" style="7" bestFit="1" customWidth="1"/>
    <col min="13281" max="13281" width="0" style="7" hidden="1" customWidth="1"/>
    <col min="13282" max="13282" width="8.90625" style="7"/>
    <col min="13283" max="13283" width="0" style="7" hidden="1" customWidth="1"/>
    <col min="13284" max="13284" width="24.90625" style="7" bestFit="1" customWidth="1"/>
    <col min="13285" max="13285" width="10" style="7" bestFit="1" customWidth="1"/>
    <col min="13286" max="13286" width="9.54296875" style="7" customWidth="1"/>
    <col min="13287" max="13287" width="9.54296875" style="7" bestFit="1" customWidth="1"/>
    <col min="13288" max="13289" width="0" style="7" hidden="1" customWidth="1"/>
    <col min="13290" max="13290" width="11.453125" style="7" bestFit="1" customWidth="1"/>
    <col min="13291" max="13309" width="0" style="7" hidden="1" customWidth="1"/>
    <col min="13310" max="13535" width="8.90625" style="7"/>
    <col min="13536" max="13536" width="7.6328125" style="7" bestFit="1" customWidth="1"/>
    <col min="13537" max="13537" width="0" style="7" hidden="1" customWidth="1"/>
    <col min="13538" max="13538" width="8.90625" style="7"/>
    <col min="13539" max="13539" width="0" style="7" hidden="1" customWidth="1"/>
    <col min="13540" max="13540" width="24.90625" style="7" bestFit="1" customWidth="1"/>
    <col min="13541" max="13541" width="10" style="7" bestFit="1" customWidth="1"/>
    <col min="13542" max="13542" width="9.54296875" style="7" customWidth="1"/>
    <col min="13543" max="13543" width="9.54296875" style="7" bestFit="1" customWidth="1"/>
    <col min="13544" max="13545" width="0" style="7" hidden="1" customWidth="1"/>
    <col min="13546" max="13546" width="11.453125" style="7" bestFit="1" customWidth="1"/>
    <col min="13547" max="13565" width="0" style="7" hidden="1" customWidth="1"/>
    <col min="13566" max="13791" width="8.90625" style="7"/>
    <col min="13792" max="13792" width="7.6328125" style="7" bestFit="1" customWidth="1"/>
    <col min="13793" max="13793" width="0" style="7" hidden="1" customWidth="1"/>
    <col min="13794" max="13794" width="8.90625" style="7"/>
    <col min="13795" max="13795" width="0" style="7" hidden="1" customWidth="1"/>
    <col min="13796" max="13796" width="24.90625" style="7" bestFit="1" customWidth="1"/>
    <col min="13797" max="13797" width="10" style="7" bestFit="1" customWidth="1"/>
    <col min="13798" max="13798" width="9.54296875" style="7" customWidth="1"/>
    <col min="13799" max="13799" width="9.54296875" style="7" bestFit="1" customWidth="1"/>
    <col min="13800" max="13801" width="0" style="7" hidden="1" customWidth="1"/>
    <col min="13802" max="13802" width="11.453125" style="7" bestFit="1" customWidth="1"/>
    <col min="13803" max="13821" width="0" style="7" hidden="1" customWidth="1"/>
    <col min="13822" max="14047" width="8.90625" style="7"/>
    <col min="14048" max="14048" width="7.6328125" style="7" bestFit="1" customWidth="1"/>
    <col min="14049" max="14049" width="0" style="7" hidden="1" customWidth="1"/>
    <col min="14050" max="14050" width="8.90625" style="7"/>
    <col min="14051" max="14051" width="0" style="7" hidden="1" customWidth="1"/>
    <col min="14052" max="14052" width="24.90625" style="7" bestFit="1" customWidth="1"/>
    <col min="14053" max="14053" width="10" style="7" bestFit="1" customWidth="1"/>
    <col min="14054" max="14054" width="9.54296875" style="7" customWidth="1"/>
    <col min="14055" max="14055" width="9.54296875" style="7" bestFit="1" customWidth="1"/>
    <col min="14056" max="14057" width="0" style="7" hidden="1" customWidth="1"/>
    <col min="14058" max="14058" width="11.453125" style="7" bestFit="1" customWidth="1"/>
    <col min="14059" max="14077" width="0" style="7" hidden="1" customWidth="1"/>
    <col min="14078" max="14303" width="8.90625" style="7"/>
    <col min="14304" max="14304" width="7.6328125" style="7" bestFit="1" customWidth="1"/>
    <col min="14305" max="14305" width="0" style="7" hidden="1" customWidth="1"/>
    <col min="14306" max="14306" width="8.90625" style="7"/>
    <col min="14307" max="14307" width="0" style="7" hidden="1" customWidth="1"/>
    <col min="14308" max="14308" width="24.90625" style="7" bestFit="1" customWidth="1"/>
    <col min="14309" max="14309" width="10" style="7" bestFit="1" customWidth="1"/>
    <col min="14310" max="14310" width="9.54296875" style="7" customWidth="1"/>
    <col min="14311" max="14311" width="9.54296875" style="7" bestFit="1" customWidth="1"/>
    <col min="14312" max="14313" width="0" style="7" hidden="1" customWidth="1"/>
    <col min="14314" max="14314" width="11.453125" style="7" bestFit="1" customWidth="1"/>
    <col min="14315" max="14333" width="0" style="7" hidden="1" customWidth="1"/>
    <col min="14334" max="14559" width="8.90625" style="7"/>
    <col min="14560" max="14560" width="7.6328125" style="7" bestFit="1" customWidth="1"/>
    <col min="14561" max="14561" width="0" style="7" hidden="1" customWidth="1"/>
    <col min="14562" max="14562" width="8.90625" style="7"/>
    <col min="14563" max="14563" width="0" style="7" hidden="1" customWidth="1"/>
    <col min="14564" max="14564" width="24.90625" style="7" bestFit="1" customWidth="1"/>
    <col min="14565" max="14565" width="10" style="7" bestFit="1" customWidth="1"/>
    <col min="14566" max="14566" width="9.54296875" style="7" customWidth="1"/>
    <col min="14567" max="14567" width="9.54296875" style="7" bestFit="1" customWidth="1"/>
    <col min="14568" max="14569" width="0" style="7" hidden="1" customWidth="1"/>
    <col min="14570" max="14570" width="11.453125" style="7" bestFit="1" customWidth="1"/>
    <col min="14571" max="14589" width="0" style="7" hidden="1" customWidth="1"/>
    <col min="14590" max="14815" width="8.90625" style="7"/>
    <col min="14816" max="14816" width="7.6328125" style="7" bestFit="1" customWidth="1"/>
    <col min="14817" max="14817" width="0" style="7" hidden="1" customWidth="1"/>
    <col min="14818" max="14818" width="8.90625" style="7"/>
    <col min="14819" max="14819" width="0" style="7" hidden="1" customWidth="1"/>
    <col min="14820" max="14820" width="24.90625" style="7" bestFit="1" customWidth="1"/>
    <col min="14821" max="14821" width="10" style="7" bestFit="1" customWidth="1"/>
    <col min="14822" max="14822" width="9.54296875" style="7" customWidth="1"/>
    <col min="14823" max="14823" width="9.54296875" style="7" bestFit="1" customWidth="1"/>
    <col min="14824" max="14825" width="0" style="7" hidden="1" customWidth="1"/>
    <col min="14826" max="14826" width="11.453125" style="7" bestFit="1" customWidth="1"/>
    <col min="14827" max="14845" width="0" style="7" hidden="1" customWidth="1"/>
    <col min="14846" max="15071" width="8.90625" style="7"/>
    <col min="15072" max="15072" width="7.6328125" style="7" bestFit="1" customWidth="1"/>
    <col min="15073" max="15073" width="0" style="7" hidden="1" customWidth="1"/>
    <col min="15074" max="15074" width="8.90625" style="7"/>
    <col min="15075" max="15075" width="0" style="7" hidden="1" customWidth="1"/>
    <col min="15076" max="15076" width="24.90625" style="7" bestFit="1" customWidth="1"/>
    <col min="15077" max="15077" width="10" style="7" bestFit="1" customWidth="1"/>
    <col min="15078" max="15078" width="9.54296875" style="7" customWidth="1"/>
    <col min="15079" max="15079" width="9.54296875" style="7" bestFit="1" customWidth="1"/>
    <col min="15080" max="15081" width="0" style="7" hidden="1" customWidth="1"/>
    <col min="15082" max="15082" width="11.453125" style="7" bestFit="1" customWidth="1"/>
    <col min="15083" max="15101" width="0" style="7" hidden="1" customWidth="1"/>
    <col min="15102" max="15327" width="8.90625" style="7"/>
    <col min="15328" max="15328" width="7.6328125" style="7" bestFit="1" customWidth="1"/>
    <col min="15329" max="15329" width="0" style="7" hidden="1" customWidth="1"/>
    <col min="15330" max="15330" width="8.90625" style="7"/>
    <col min="15331" max="15331" width="0" style="7" hidden="1" customWidth="1"/>
    <col min="15332" max="15332" width="24.90625" style="7" bestFit="1" customWidth="1"/>
    <col min="15333" max="15333" width="10" style="7" bestFit="1" customWidth="1"/>
    <col min="15334" max="15334" width="9.54296875" style="7" customWidth="1"/>
    <col min="15335" max="15335" width="9.54296875" style="7" bestFit="1" customWidth="1"/>
    <col min="15336" max="15337" width="0" style="7" hidden="1" customWidth="1"/>
    <col min="15338" max="15338" width="11.453125" style="7" bestFit="1" customWidth="1"/>
    <col min="15339" max="15357" width="0" style="7" hidden="1" customWidth="1"/>
    <col min="15358" max="15583" width="8.90625" style="7"/>
    <col min="15584" max="15584" width="7.6328125" style="7" bestFit="1" customWidth="1"/>
    <col min="15585" max="15585" width="0" style="7" hidden="1" customWidth="1"/>
    <col min="15586" max="15586" width="8.90625" style="7"/>
    <col min="15587" max="15587" width="0" style="7" hidden="1" customWidth="1"/>
    <col min="15588" max="15588" width="24.90625" style="7" bestFit="1" customWidth="1"/>
    <col min="15589" max="15589" width="10" style="7" bestFit="1" customWidth="1"/>
    <col min="15590" max="15590" width="9.54296875" style="7" customWidth="1"/>
    <col min="15591" max="15591" width="9.54296875" style="7" bestFit="1" customWidth="1"/>
    <col min="15592" max="15593" width="0" style="7" hidden="1" customWidth="1"/>
    <col min="15594" max="15594" width="11.453125" style="7" bestFit="1" customWidth="1"/>
    <col min="15595" max="15613" width="0" style="7" hidden="1" customWidth="1"/>
    <col min="15614" max="15839" width="8.90625" style="7"/>
    <col min="15840" max="15840" width="7.6328125" style="7" bestFit="1" customWidth="1"/>
    <col min="15841" max="15841" width="0" style="7" hidden="1" customWidth="1"/>
    <col min="15842" max="15842" width="8.90625" style="7"/>
    <col min="15843" max="15843" width="0" style="7" hidden="1" customWidth="1"/>
    <col min="15844" max="15844" width="24.90625" style="7" bestFit="1" customWidth="1"/>
    <col min="15845" max="15845" width="10" style="7" bestFit="1" customWidth="1"/>
    <col min="15846" max="15846" width="9.54296875" style="7" customWidth="1"/>
    <col min="15847" max="15847" width="9.54296875" style="7" bestFit="1" customWidth="1"/>
    <col min="15848" max="15849" width="0" style="7" hidden="1" customWidth="1"/>
    <col min="15850" max="15850" width="11.453125" style="7" bestFit="1" customWidth="1"/>
    <col min="15851" max="15869" width="0" style="7" hidden="1" customWidth="1"/>
    <col min="15870" max="16095" width="8.90625" style="7"/>
    <col min="16096" max="16096" width="7.6328125" style="7" bestFit="1" customWidth="1"/>
    <col min="16097" max="16097" width="0" style="7" hidden="1" customWidth="1"/>
    <col min="16098" max="16098" width="8.90625" style="7"/>
    <col min="16099" max="16099" width="0" style="7" hidden="1" customWidth="1"/>
    <col min="16100" max="16100" width="24.90625" style="7" bestFit="1" customWidth="1"/>
    <col min="16101" max="16101" width="10" style="7" bestFit="1" customWidth="1"/>
    <col min="16102" max="16102" width="9.54296875" style="7" customWidth="1"/>
    <col min="16103" max="16103" width="9.54296875" style="7" bestFit="1" customWidth="1"/>
    <col min="16104" max="16105" width="0" style="7" hidden="1" customWidth="1"/>
    <col min="16106" max="16106" width="11.453125" style="7" bestFit="1" customWidth="1"/>
    <col min="16107" max="16125" width="0" style="7" hidden="1" customWidth="1"/>
    <col min="16126" max="16384" width="8.90625" style="7"/>
  </cols>
  <sheetData>
    <row r="1" spans="1:9" s="58" customFormat="1" ht="21.65" customHeight="1" thickTop="1">
      <c r="A1" s="54" t="s">
        <v>3</v>
      </c>
      <c r="B1" s="55" t="s">
        <v>0</v>
      </c>
      <c r="C1" s="55" t="s">
        <v>1966</v>
      </c>
      <c r="D1" s="55" t="s">
        <v>1</v>
      </c>
      <c r="E1" s="55" t="s">
        <v>1885</v>
      </c>
      <c r="F1" s="56" t="s">
        <v>4</v>
      </c>
      <c r="G1" s="56" t="s">
        <v>1884</v>
      </c>
      <c r="H1" s="56" t="s">
        <v>5</v>
      </c>
      <c r="I1" s="57" t="s">
        <v>1882</v>
      </c>
    </row>
    <row r="2" spans="1:9">
      <c r="A2" s="42" t="s">
        <v>866</v>
      </c>
      <c r="B2" s="9" t="s">
        <v>301</v>
      </c>
      <c r="C2" s="9" t="str">
        <f>A2&amp;"-"&amp;B2</f>
        <v>工業英文-模具一甲</v>
      </c>
      <c r="D2" s="9" t="s">
        <v>463</v>
      </c>
      <c r="E2" s="9" t="s">
        <v>464</v>
      </c>
      <c r="F2" s="10">
        <v>55</v>
      </c>
      <c r="G2" s="10" t="s">
        <v>583</v>
      </c>
      <c r="H2" s="10">
        <v>1</v>
      </c>
      <c r="I2" s="43"/>
    </row>
    <row r="3" spans="1:9">
      <c r="A3" s="42" t="s">
        <v>866</v>
      </c>
      <c r="B3" s="9" t="s">
        <v>301</v>
      </c>
      <c r="C3" s="9" t="str">
        <f t="shared" ref="C3:C66" si="0">A3&amp;"-"&amp;B3</f>
        <v>工業英文-模具一甲</v>
      </c>
      <c r="D3" s="9" t="s">
        <v>304</v>
      </c>
      <c r="E3" s="9" t="s">
        <v>305</v>
      </c>
      <c r="F3" s="10">
        <v>51</v>
      </c>
      <c r="G3" s="10" t="s">
        <v>583</v>
      </c>
      <c r="H3" s="10">
        <v>1</v>
      </c>
      <c r="I3" s="43"/>
    </row>
    <row r="4" spans="1:9">
      <c r="A4" s="42" t="s">
        <v>866</v>
      </c>
      <c r="B4" s="9" t="s">
        <v>301</v>
      </c>
      <c r="C4" s="9" t="str">
        <f t="shared" si="0"/>
        <v>工業英文-模具一甲</v>
      </c>
      <c r="D4" s="9" t="s">
        <v>306</v>
      </c>
      <c r="E4" s="9" t="s">
        <v>307</v>
      </c>
      <c r="F4" s="10">
        <v>55</v>
      </c>
      <c r="G4" s="10" t="s">
        <v>583</v>
      </c>
      <c r="H4" s="10">
        <v>1</v>
      </c>
      <c r="I4" s="43"/>
    </row>
    <row r="5" spans="1:9">
      <c r="A5" s="42" t="s">
        <v>866</v>
      </c>
      <c r="B5" s="9" t="s">
        <v>301</v>
      </c>
      <c r="C5" s="9" t="str">
        <f t="shared" si="0"/>
        <v>工業英文-模具一甲</v>
      </c>
      <c r="D5" s="9" t="s">
        <v>308</v>
      </c>
      <c r="E5" s="9" t="s">
        <v>309</v>
      </c>
      <c r="F5" s="10">
        <v>54</v>
      </c>
      <c r="G5" s="10" t="s">
        <v>583</v>
      </c>
      <c r="H5" s="10">
        <v>1</v>
      </c>
      <c r="I5" s="43"/>
    </row>
    <row r="6" spans="1:9">
      <c r="A6" s="42" t="s">
        <v>866</v>
      </c>
      <c r="B6" s="9" t="s">
        <v>301</v>
      </c>
      <c r="C6" s="9" t="str">
        <f t="shared" si="0"/>
        <v>工業英文-模具一甲</v>
      </c>
      <c r="D6" s="9" t="s">
        <v>314</v>
      </c>
      <c r="E6" s="9" t="s">
        <v>315</v>
      </c>
      <c r="F6" s="10">
        <v>51</v>
      </c>
      <c r="G6" s="10" t="s">
        <v>583</v>
      </c>
      <c r="H6" s="10">
        <v>1</v>
      </c>
      <c r="I6" s="43"/>
    </row>
    <row r="7" spans="1:9">
      <c r="A7" s="42" t="s">
        <v>866</v>
      </c>
      <c r="B7" s="9" t="s">
        <v>301</v>
      </c>
      <c r="C7" s="9" t="str">
        <f t="shared" si="0"/>
        <v>工業英文-模具一甲</v>
      </c>
      <c r="D7" s="9" t="s">
        <v>705</v>
      </c>
      <c r="E7" s="9" t="s">
        <v>706</v>
      </c>
      <c r="F7" s="10">
        <v>56</v>
      </c>
      <c r="G7" s="10" t="s">
        <v>583</v>
      </c>
      <c r="H7" s="10">
        <v>1</v>
      </c>
      <c r="I7" s="43"/>
    </row>
    <row r="8" spans="1:9">
      <c r="A8" s="42" t="s">
        <v>866</v>
      </c>
      <c r="B8" s="9" t="s">
        <v>301</v>
      </c>
      <c r="C8" s="9" t="str">
        <f t="shared" si="0"/>
        <v>工業英文-模具一甲</v>
      </c>
      <c r="D8" s="9" t="s">
        <v>867</v>
      </c>
      <c r="E8" s="9" t="s">
        <v>868</v>
      </c>
      <c r="F8" s="10">
        <v>49</v>
      </c>
      <c r="G8" s="10" t="s">
        <v>583</v>
      </c>
      <c r="H8" s="10">
        <v>1</v>
      </c>
      <c r="I8" s="43"/>
    </row>
    <row r="9" spans="1:9">
      <c r="A9" s="42" t="s">
        <v>866</v>
      </c>
      <c r="B9" s="9" t="s">
        <v>301</v>
      </c>
      <c r="C9" s="9" t="str">
        <f t="shared" si="0"/>
        <v>工業英文-模具一甲</v>
      </c>
      <c r="D9" s="9" t="s">
        <v>316</v>
      </c>
      <c r="E9" s="9" t="s">
        <v>317</v>
      </c>
      <c r="F9" s="10">
        <v>51</v>
      </c>
      <c r="G9" s="10" t="s">
        <v>583</v>
      </c>
      <c r="H9" s="10">
        <v>1</v>
      </c>
      <c r="I9" s="43"/>
    </row>
    <row r="10" spans="1:9">
      <c r="A10" s="42" t="s">
        <v>866</v>
      </c>
      <c r="B10" s="9" t="s">
        <v>301</v>
      </c>
      <c r="C10" s="9" t="str">
        <f t="shared" si="0"/>
        <v>工業英文-模具一甲</v>
      </c>
      <c r="D10" s="9" t="s">
        <v>467</v>
      </c>
      <c r="E10" s="9" t="s">
        <v>468</v>
      </c>
      <c r="F10" s="10">
        <v>58</v>
      </c>
      <c r="G10" s="10" t="s">
        <v>583</v>
      </c>
      <c r="H10" s="10">
        <v>1</v>
      </c>
      <c r="I10" s="43"/>
    </row>
    <row r="11" spans="1:9">
      <c r="A11" s="42" t="s">
        <v>866</v>
      </c>
      <c r="B11" s="9" t="s">
        <v>301</v>
      </c>
      <c r="C11" s="9" t="str">
        <f t="shared" si="0"/>
        <v>工業英文-模具一甲</v>
      </c>
      <c r="D11" s="9" t="s">
        <v>318</v>
      </c>
      <c r="E11" s="9" t="s">
        <v>319</v>
      </c>
      <c r="F11" s="10">
        <v>46</v>
      </c>
      <c r="G11" s="10" t="s">
        <v>583</v>
      </c>
      <c r="H11" s="10">
        <v>1</v>
      </c>
      <c r="I11" s="43"/>
    </row>
    <row r="12" spans="1:9">
      <c r="A12" s="42" t="s">
        <v>866</v>
      </c>
      <c r="B12" s="9" t="s">
        <v>301</v>
      </c>
      <c r="C12" s="9" t="str">
        <f t="shared" si="0"/>
        <v>工業英文-模具一甲</v>
      </c>
      <c r="D12" s="9" t="s">
        <v>869</v>
      </c>
      <c r="E12" s="9" t="s">
        <v>870</v>
      </c>
      <c r="F12" s="10">
        <v>43</v>
      </c>
      <c r="G12" s="10" t="s">
        <v>583</v>
      </c>
      <c r="H12" s="10">
        <v>1</v>
      </c>
      <c r="I12" s="43"/>
    </row>
    <row r="13" spans="1:9">
      <c r="A13" s="42" t="s">
        <v>866</v>
      </c>
      <c r="B13" s="9" t="s">
        <v>301</v>
      </c>
      <c r="C13" s="9" t="str">
        <f t="shared" si="0"/>
        <v>工業英文-模具一甲</v>
      </c>
      <c r="D13" s="9" t="s">
        <v>471</v>
      </c>
      <c r="E13" s="9" t="s">
        <v>472</v>
      </c>
      <c r="F13" s="10">
        <v>53</v>
      </c>
      <c r="G13" s="10" t="s">
        <v>583</v>
      </c>
      <c r="H13" s="10">
        <v>1</v>
      </c>
      <c r="I13" s="43"/>
    </row>
    <row r="14" spans="1:9">
      <c r="A14" s="42" t="s">
        <v>866</v>
      </c>
      <c r="B14" s="9" t="s">
        <v>301</v>
      </c>
      <c r="C14" s="9" t="str">
        <f t="shared" si="0"/>
        <v>工業英文-模具一甲</v>
      </c>
      <c r="D14" s="9" t="s">
        <v>320</v>
      </c>
      <c r="E14" s="9" t="s">
        <v>321</v>
      </c>
      <c r="F14" s="10">
        <v>51</v>
      </c>
      <c r="G14" s="10" t="s">
        <v>583</v>
      </c>
      <c r="H14" s="10">
        <v>1</v>
      </c>
      <c r="I14" s="43"/>
    </row>
    <row r="15" spans="1:9">
      <c r="A15" s="42" t="s">
        <v>866</v>
      </c>
      <c r="B15" s="9" t="s">
        <v>301</v>
      </c>
      <c r="C15" s="9" t="str">
        <f t="shared" si="0"/>
        <v>工業英文-模具一甲</v>
      </c>
      <c r="D15" s="9" t="s">
        <v>677</v>
      </c>
      <c r="E15" s="9" t="s">
        <v>678</v>
      </c>
      <c r="F15" s="10">
        <v>57</v>
      </c>
      <c r="G15" s="10" t="s">
        <v>583</v>
      </c>
      <c r="H15" s="10">
        <v>1</v>
      </c>
      <c r="I15" s="43"/>
    </row>
    <row r="16" spans="1:9">
      <c r="A16" s="42" t="s">
        <v>866</v>
      </c>
      <c r="B16" s="9" t="s">
        <v>301</v>
      </c>
      <c r="C16" s="9" t="str">
        <f t="shared" si="0"/>
        <v>工業英文-模具一甲</v>
      </c>
      <c r="D16" s="9" t="s">
        <v>473</v>
      </c>
      <c r="E16" s="9" t="s">
        <v>474</v>
      </c>
      <c r="F16" s="10">
        <v>44</v>
      </c>
      <c r="G16" s="10" t="s">
        <v>583</v>
      </c>
      <c r="H16" s="10">
        <v>1</v>
      </c>
      <c r="I16" s="43"/>
    </row>
    <row r="17" spans="1:9">
      <c r="A17" s="42" t="s">
        <v>702</v>
      </c>
      <c r="B17" s="9" t="s">
        <v>335</v>
      </c>
      <c r="C17" s="9" t="str">
        <f t="shared" si="0"/>
        <v>公民與社會-資處一乙</v>
      </c>
      <c r="D17" s="9" t="s">
        <v>659</v>
      </c>
      <c r="E17" s="9" t="s">
        <v>660</v>
      </c>
      <c r="F17" s="10">
        <v>58</v>
      </c>
      <c r="G17" s="10" t="s">
        <v>11</v>
      </c>
      <c r="H17" s="10">
        <v>2</v>
      </c>
      <c r="I17" s="43"/>
    </row>
    <row r="18" spans="1:9">
      <c r="A18" s="42" t="s">
        <v>702</v>
      </c>
      <c r="B18" s="9" t="s">
        <v>335</v>
      </c>
      <c r="C18" s="9" t="str">
        <f t="shared" si="0"/>
        <v>公民與社會-資處一乙</v>
      </c>
      <c r="D18" s="9" t="s">
        <v>399</v>
      </c>
      <c r="E18" s="9" t="s">
        <v>400</v>
      </c>
      <c r="F18" s="10">
        <v>57</v>
      </c>
      <c r="G18" s="10" t="s">
        <v>11</v>
      </c>
      <c r="H18" s="10">
        <v>2</v>
      </c>
      <c r="I18" s="43"/>
    </row>
    <row r="19" spans="1:9">
      <c r="A19" s="42" t="s">
        <v>702</v>
      </c>
      <c r="B19" s="9" t="s">
        <v>322</v>
      </c>
      <c r="C19" s="9" t="str">
        <f t="shared" si="0"/>
        <v>公民與社會-製圖一甲</v>
      </c>
      <c r="D19" s="9" t="s">
        <v>323</v>
      </c>
      <c r="E19" s="9" t="s">
        <v>324</v>
      </c>
      <c r="F19" s="10">
        <v>59</v>
      </c>
      <c r="G19" s="10" t="s">
        <v>11</v>
      </c>
      <c r="H19" s="10">
        <v>2</v>
      </c>
      <c r="I19" s="43"/>
    </row>
    <row r="20" spans="1:9">
      <c r="A20" s="42" t="s">
        <v>702</v>
      </c>
      <c r="B20" s="9" t="s">
        <v>301</v>
      </c>
      <c r="C20" s="9" t="str">
        <f t="shared" si="0"/>
        <v>公民與社會-模具一甲</v>
      </c>
      <c r="D20" s="9" t="s">
        <v>304</v>
      </c>
      <c r="E20" s="9" t="s">
        <v>305</v>
      </c>
      <c r="F20" s="10">
        <v>56</v>
      </c>
      <c r="G20" s="10" t="s">
        <v>11</v>
      </c>
      <c r="H20" s="10">
        <v>2</v>
      </c>
      <c r="I20" s="43"/>
    </row>
    <row r="21" spans="1:9">
      <c r="A21" s="42" t="s">
        <v>702</v>
      </c>
      <c r="B21" s="9" t="s">
        <v>301</v>
      </c>
      <c r="C21" s="9" t="str">
        <f t="shared" si="0"/>
        <v>公民與社會-模具一甲</v>
      </c>
      <c r="D21" s="9" t="s">
        <v>705</v>
      </c>
      <c r="E21" s="9" t="s">
        <v>706</v>
      </c>
      <c r="F21" s="10">
        <v>43</v>
      </c>
      <c r="G21" s="10" t="s">
        <v>11</v>
      </c>
      <c r="H21" s="10">
        <v>2</v>
      </c>
      <c r="I21" s="43"/>
    </row>
    <row r="22" spans="1:9">
      <c r="A22" s="42" t="s">
        <v>702</v>
      </c>
      <c r="B22" s="9" t="s">
        <v>301</v>
      </c>
      <c r="C22" s="9" t="str">
        <f t="shared" si="0"/>
        <v>公民與社會-模具一甲</v>
      </c>
      <c r="D22" s="9" t="s">
        <v>318</v>
      </c>
      <c r="E22" s="9" t="s">
        <v>319</v>
      </c>
      <c r="F22" s="10">
        <v>48</v>
      </c>
      <c r="G22" s="10" t="s">
        <v>11</v>
      </c>
      <c r="H22" s="10">
        <v>2</v>
      </c>
      <c r="I22" s="43"/>
    </row>
    <row r="23" spans="1:9">
      <c r="A23" s="42" t="s">
        <v>702</v>
      </c>
      <c r="B23" s="9" t="s">
        <v>141</v>
      </c>
      <c r="C23" s="9" t="str">
        <f t="shared" si="0"/>
        <v>公民與社會-應英一乙</v>
      </c>
      <c r="D23" s="9" t="s">
        <v>148</v>
      </c>
      <c r="E23" s="9" t="s">
        <v>149</v>
      </c>
      <c r="F23" s="10">
        <v>52</v>
      </c>
      <c r="G23" s="10" t="s">
        <v>11</v>
      </c>
      <c r="H23" s="10">
        <v>2</v>
      </c>
      <c r="I23" s="43"/>
    </row>
    <row r="24" spans="1:9">
      <c r="A24" s="42" t="s">
        <v>702</v>
      </c>
      <c r="B24" s="9" t="s">
        <v>25</v>
      </c>
      <c r="C24" s="9" t="str">
        <f t="shared" si="0"/>
        <v>公民與社會-鑄造一甲</v>
      </c>
      <c r="D24" s="9" t="s">
        <v>38</v>
      </c>
      <c r="E24" s="9" t="s">
        <v>39</v>
      </c>
      <c r="F24" s="10">
        <v>58</v>
      </c>
      <c r="G24" s="10" t="s">
        <v>11</v>
      </c>
      <c r="H24" s="10">
        <v>2</v>
      </c>
      <c r="I24" s="43"/>
    </row>
    <row r="25" spans="1:9">
      <c r="A25" s="42" t="s">
        <v>702</v>
      </c>
      <c r="B25" s="9" t="s">
        <v>25</v>
      </c>
      <c r="C25" s="9" t="str">
        <f t="shared" si="0"/>
        <v>公民與社會-鑄造一甲</v>
      </c>
      <c r="D25" s="9" t="s">
        <v>703</v>
      </c>
      <c r="E25" s="9" t="s">
        <v>704</v>
      </c>
      <c r="F25" s="10">
        <v>56</v>
      </c>
      <c r="G25" s="10" t="s">
        <v>11</v>
      </c>
      <c r="H25" s="10">
        <v>2</v>
      </c>
      <c r="I25" s="43"/>
    </row>
    <row r="26" spans="1:9">
      <c r="A26" s="42" t="s">
        <v>793</v>
      </c>
      <c r="B26" s="9" t="s">
        <v>335</v>
      </c>
      <c r="C26" s="9" t="str">
        <f t="shared" si="0"/>
        <v>化學-資處一乙</v>
      </c>
      <c r="D26" s="9" t="s">
        <v>663</v>
      </c>
      <c r="E26" s="9" t="s">
        <v>664</v>
      </c>
      <c r="F26" s="10">
        <v>52</v>
      </c>
      <c r="G26" s="10" t="s">
        <v>11</v>
      </c>
      <c r="H26" s="10">
        <v>1</v>
      </c>
      <c r="I26" s="43"/>
    </row>
    <row r="27" spans="1:9">
      <c r="A27" s="42" t="s">
        <v>793</v>
      </c>
      <c r="B27" s="9" t="s">
        <v>234</v>
      </c>
      <c r="C27" s="9" t="str">
        <f t="shared" si="0"/>
        <v>化學-資處一甲</v>
      </c>
      <c r="D27" s="9" t="s">
        <v>616</v>
      </c>
      <c r="E27" s="9" t="s">
        <v>617</v>
      </c>
      <c r="F27" s="10">
        <v>50</v>
      </c>
      <c r="G27" s="10" t="s">
        <v>11</v>
      </c>
      <c r="H27" s="10">
        <v>1</v>
      </c>
      <c r="I27" s="43"/>
    </row>
    <row r="28" spans="1:9">
      <c r="A28" s="42" t="s">
        <v>898</v>
      </c>
      <c r="B28" s="9" t="s">
        <v>174</v>
      </c>
      <c r="C28" s="9" t="str">
        <f t="shared" si="0"/>
        <v>底盤原理-汽車一乙</v>
      </c>
      <c r="D28" s="9" t="s">
        <v>831</v>
      </c>
      <c r="E28" s="9" t="s">
        <v>832</v>
      </c>
      <c r="F28" s="10">
        <v>52</v>
      </c>
      <c r="G28" s="10" t="s">
        <v>11</v>
      </c>
      <c r="H28" s="10">
        <v>3</v>
      </c>
      <c r="I28" s="43"/>
    </row>
    <row r="29" spans="1:9">
      <c r="A29" s="42" t="s">
        <v>898</v>
      </c>
      <c r="B29" s="9" t="s">
        <v>279</v>
      </c>
      <c r="C29" s="9" t="str">
        <f t="shared" si="0"/>
        <v>底盤原理-汽車一甲</v>
      </c>
      <c r="D29" s="9" t="s">
        <v>715</v>
      </c>
      <c r="E29" s="9" t="s">
        <v>716</v>
      </c>
      <c r="F29" s="10">
        <v>58</v>
      </c>
      <c r="G29" s="10" t="s">
        <v>11</v>
      </c>
      <c r="H29" s="10">
        <v>3</v>
      </c>
      <c r="I29" s="43"/>
    </row>
    <row r="30" spans="1:9">
      <c r="A30" s="42" t="s">
        <v>898</v>
      </c>
      <c r="B30" s="9" t="s">
        <v>279</v>
      </c>
      <c r="C30" s="9" t="str">
        <f t="shared" si="0"/>
        <v>底盤原理-汽車一甲</v>
      </c>
      <c r="D30" s="9" t="s">
        <v>353</v>
      </c>
      <c r="E30" s="9" t="s">
        <v>354</v>
      </c>
      <c r="F30" s="10">
        <v>48</v>
      </c>
      <c r="G30" s="10" t="s">
        <v>11</v>
      </c>
      <c r="H30" s="10">
        <v>3</v>
      </c>
      <c r="I30" s="43"/>
    </row>
    <row r="31" spans="1:9">
      <c r="A31" s="42" t="s">
        <v>898</v>
      </c>
      <c r="B31" s="9" t="s">
        <v>279</v>
      </c>
      <c r="C31" s="9" t="str">
        <f t="shared" si="0"/>
        <v>底盤原理-汽車一甲</v>
      </c>
      <c r="D31" s="9" t="s">
        <v>355</v>
      </c>
      <c r="E31" s="9" t="s">
        <v>356</v>
      </c>
      <c r="F31" s="10">
        <v>45</v>
      </c>
      <c r="G31" s="10" t="s">
        <v>11</v>
      </c>
      <c r="H31" s="10">
        <v>3</v>
      </c>
      <c r="I31" s="43"/>
    </row>
    <row r="32" spans="1:9">
      <c r="A32" s="42" t="s">
        <v>898</v>
      </c>
      <c r="B32" s="9" t="s">
        <v>279</v>
      </c>
      <c r="C32" s="9" t="str">
        <f t="shared" si="0"/>
        <v>底盤原理-汽車一甲</v>
      </c>
      <c r="D32" s="9" t="s">
        <v>286</v>
      </c>
      <c r="E32" s="9" t="s">
        <v>287</v>
      </c>
      <c r="F32" s="10">
        <v>54</v>
      </c>
      <c r="G32" s="10" t="s">
        <v>11</v>
      </c>
      <c r="H32" s="10">
        <v>3</v>
      </c>
      <c r="I32" s="43"/>
    </row>
    <row r="33" spans="1:9">
      <c r="A33" s="42" t="s">
        <v>898</v>
      </c>
      <c r="B33" s="9" t="s">
        <v>279</v>
      </c>
      <c r="C33" s="9" t="str">
        <f t="shared" si="0"/>
        <v>底盤原理-汽車一甲</v>
      </c>
      <c r="D33" s="9" t="s">
        <v>357</v>
      </c>
      <c r="E33" s="9" t="s">
        <v>358</v>
      </c>
      <c r="F33" s="10">
        <v>51</v>
      </c>
      <c r="G33" s="10" t="s">
        <v>11</v>
      </c>
      <c r="H33" s="10">
        <v>3</v>
      </c>
      <c r="I33" s="43"/>
    </row>
    <row r="34" spans="1:9">
      <c r="A34" s="42" t="s">
        <v>898</v>
      </c>
      <c r="B34" s="9" t="s">
        <v>279</v>
      </c>
      <c r="C34" s="9" t="str">
        <f t="shared" si="0"/>
        <v>底盤原理-汽車一甲</v>
      </c>
      <c r="D34" s="9" t="s">
        <v>359</v>
      </c>
      <c r="E34" s="9" t="s">
        <v>360</v>
      </c>
      <c r="F34" s="10">
        <v>58</v>
      </c>
      <c r="G34" s="10" t="s">
        <v>11</v>
      </c>
      <c r="H34" s="10">
        <v>3</v>
      </c>
      <c r="I34" s="43"/>
    </row>
    <row r="35" spans="1:9">
      <c r="A35" s="42" t="s">
        <v>898</v>
      </c>
      <c r="B35" s="9" t="s">
        <v>279</v>
      </c>
      <c r="C35" s="9" t="str">
        <f t="shared" si="0"/>
        <v>底盤原理-汽車一甲</v>
      </c>
      <c r="D35" s="9" t="s">
        <v>288</v>
      </c>
      <c r="E35" s="9" t="s">
        <v>289</v>
      </c>
      <c r="F35" s="10">
        <v>56</v>
      </c>
      <c r="G35" s="10" t="s">
        <v>11</v>
      </c>
      <c r="H35" s="10">
        <v>3</v>
      </c>
      <c r="I35" s="43"/>
    </row>
    <row r="36" spans="1:9">
      <c r="A36" s="42" t="s">
        <v>898</v>
      </c>
      <c r="B36" s="9" t="s">
        <v>279</v>
      </c>
      <c r="C36" s="9" t="str">
        <f t="shared" si="0"/>
        <v>底盤原理-汽車一甲</v>
      </c>
      <c r="D36" s="9" t="s">
        <v>361</v>
      </c>
      <c r="E36" s="9" t="s">
        <v>362</v>
      </c>
      <c r="F36" s="10">
        <v>58</v>
      </c>
      <c r="G36" s="10" t="s">
        <v>11</v>
      </c>
      <c r="H36" s="10">
        <v>3</v>
      </c>
      <c r="I36" s="43"/>
    </row>
    <row r="37" spans="1:9">
      <c r="A37" s="42" t="s">
        <v>898</v>
      </c>
      <c r="B37" s="9" t="s">
        <v>279</v>
      </c>
      <c r="C37" s="9" t="str">
        <f t="shared" si="0"/>
        <v>底盤原理-汽車一甲</v>
      </c>
      <c r="D37" s="9" t="s">
        <v>899</v>
      </c>
      <c r="E37" s="9" t="s">
        <v>900</v>
      </c>
      <c r="F37" s="10">
        <v>58</v>
      </c>
      <c r="G37" s="10" t="s">
        <v>11</v>
      </c>
      <c r="H37" s="10">
        <v>3</v>
      </c>
      <c r="I37" s="43"/>
    </row>
    <row r="38" spans="1:9">
      <c r="A38" s="50" t="s">
        <v>1964</v>
      </c>
      <c r="B38" s="9" t="s">
        <v>174</v>
      </c>
      <c r="C38" s="9" t="str">
        <f t="shared" si="0"/>
        <v>物理2-汽車一乙</v>
      </c>
      <c r="D38" s="9" t="s">
        <v>175</v>
      </c>
      <c r="E38" s="9" t="s">
        <v>176</v>
      </c>
      <c r="F38" s="10">
        <v>44</v>
      </c>
      <c r="G38" s="10" t="s">
        <v>11</v>
      </c>
      <c r="H38" s="10">
        <v>2</v>
      </c>
      <c r="I38" s="43"/>
    </row>
    <row r="39" spans="1:9">
      <c r="A39" s="50" t="s">
        <v>1964</v>
      </c>
      <c r="B39" s="9" t="s">
        <v>174</v>
      </c>
      <c r="C39" s="9" t="str">
        <f t="shared" si="0"/>
        <v>物理2-汽車一乙</v>
      </c>
      <c r="D39" s="9" t="s">
        <v>620</v>
      </c>
      <c r="E39" s="9" t="s">
        <v>621</v>
      </c>
      <c r="F39" s="10">
        <v>54</v>
      </c>
      <c r="G39" s="10" t="s">
        <v>11</v>
      </c>
      <c r="H39" s="10">
        <v>2</v>
      </c>
      <c r="I39" s="43"/>
    </row>
    <row r="40" spans="1:9">
      <c r="A40" s="50" t="s">
        <v>1964</v>
      </c>
      <c r="B40" s="9" t="s">
        <v>174</v>
      </c>
      <c r="C40" s="9" t="str">
        <f t="shared" si="0"/>
        <v>物理2-汽車一乙</v>
      </c>
      <c r="D40" s="9" t="s">
        <v>181</v>
      </c>
      <c r="E40" s="9" t="s">
        <v>182</v>
      </c>
      <c r="F40" s="10">
        <v>50</v>
      </c>
      <c r="G40" s="10" t="s">
        <v>11</v>
      </c>
      <c r="H40" s="10">
        <v>2</v>
      </c>
      <c r="I40" s="43"/>
    </row>
    <row r="41" spans="1:9">
      <c r="A41" s="50" t="s">
        <v>1964</v>
      </c>
      <c r="B41" s="9" t="s">
        <v>174</v>
      </c>
      <c r="C41" s="9" t="str">
        <f t="shared" si="0"/>
        <v>物理2-汽車一乙</v>
      </c>
      <c r="D41" s="9" t="s">
        <v>183</v>
      </c>
      <c r="E41" s="9" t="s">
        <v>184</v>
      </c>
      <c r="F41" s="10">
        <v>50</v>
      </c>
      <c r="G41" s="10" t="s">
        <v>11</v>
      </c>
      <c r="H41" s="10">
        <v>2</v>
      </c>
      <c r="I41" s="43"/>
    </row>
    <row r="42" spans="1:9">
      <c r="A42" s="50" t="s">
        <v>1964</v>
      </c>
      <c r="B42" s="9" t="s">
        <v>174</v>
      </c>
      <c r="C42" s="9" t="str">
        <f t="shared" si="0"/>
        <v>物理2-汽車一乙</v>
      </c>
      <c r="D42" s="9" t="s">
        <v>717</v>
      </c>
      <c r="E42" s="9" t="s">
        <v>718</v>
      </c>
      <c r="F42" s="10">
        <v>54</v>
      </c>
      <c r="G42" s="10" t="s">
        <v>11</v>
      </c>
      <c r="H42" s="10">
        <v>2</v>
      </c>
      <c r="I42" s="43"/>
    </row>
    <row r="43" spans="1:9">
      <c r="A43" s="50" t="s">
        <v>1964</v>
      </c>
      <c r="B43" s="9" t="s">
        <v>174</v>
      </c>
      <c r="C43" s="9" t="str">
        <f t="shared" si="0"/>
        <v>物理2-汽車一乙</v>
      </c>
      <c r="D43" s="9" t="s">
        <v>185</v>
      </c>
      <c r="E43" s="9" t="s">
        <v>186</v>
      </c>
      <c r="F43" s="10">
        <v>48</v>
      </c>
      <c r="G43" s="10" t="s">
        <v>11</v>
      </c>
      <c r="H43" s="10">
        <v>2</v>
      </c>
      <c r="I43" s="43"/>
    </row>
    <row r="44" spans="1:9">
      <c r="A44" s="50" t="s">
        <v>1964</v>
      </c>
      <c r="B44" s="9" t="s">
        <v>174</v>
      </c>
      <c r="C44" s="9" t="str">
        <f t="shared" si="0"/>
        <v>物理2-汽車一乙</v>
      </c>
      <c r="D44" s="9" t="s">
        <v>187</v>
      </c>
      <c r="E44" s="9" t="s">
        <v>188</v>
      </c>
      <c r="F44" s="10">
        <v>50</v>
      </c>
      <c r="G44" s="10" t="s">
        <v>11</v>
      </c>
      <c r="H44" s="10">
        <v>2</v>
      </c>
      <c r="I44" s="43"/>
    </row>
    <row r="45" spans="1:9">
      <c r="A45" s="50" t="s">
        <v>1964</v>
      </c>
      <c r="B45" s="9" t="s">
        <v>174</v>
      </c>
      <c r="C45" s="9" t="str">
        <f t="shared" si="0"/>
        <v>物理2-汽車一乙</v>
      </c>
      <c r="D45" s="9" t="s">
        <v>191</v>
      </c>
      <c r="E45" s="9" t="s">
        <v>151</v>
      </c>
      <c r="F45" s="10">
        <v>41</v>
      </c>
      <c r="G45" s="10" t="s">
        <v>11</v>
      </c>
      <c r="H45" s="10">
        <v>2</v>
      </c>
      <c r="I45" s="43"/>
    </row>
    <row r="46" spans="1:9">
      <c r="A46" s="50" t="s">
        <v>1964</v>
      </c>
      <c r="B46" s="9" t="s">
        <v>174</v>
      </c>
      <c r="C46" s="9" t="str">
        <f t="shared" si="0"/>
        <v>物理2-汽車一乙</v>
      </c>
      <c r="D46" s="9" t="s">
        <v>501</v>
      </c>
      <c r="E46" s="9" t="s">
        <v>502</v>
      </c>
      <c r="F46" s="10">
        <v>42</v>
      </c>
      <c r="G46" s="10" t="s">
        <v>11</v>
      </c>
      <c r="H46" s="10">
        <v>2</v>
      </c>
      <c r="I46" s="43"/>
    </row>
    <row r="47" spans="1:9">
      <c r="A47" s="50" t="s">
        <v>1964</v>
      </c>
      <c r="B47" s="9" t="s">
        <v>279</v>
      </c>
      <c r="C47" s="9" t="str">
        <f t="shared" si="0"/>
        <v>物理2-汽車一甲</v>
      </c>
      <c r="D47" s="9" t="s">
        <v>715</v>
      </c>
      <c r="E47" s="9" t="s">
        <v>716</v>
      </c>
      <c r="F47" s="10">
        <v>47</v>
      </c>
      <c r="G47" s="10" t="s">
        <v>11</v>
      </c>
      <c r="H47" s="10">
        <v>2</v>
      </c>
      <c r="I47" s="43"/>
    </row>
    <row r="48" spans="1:9">
      <c r="A48" s="50" t="s">
        <v>1964</v>
      </c>
      <c r="B48" s="9" t="s">
        <v>279</v>
      </c>
      <c r="C48" s="9" t="str">
        <f t="shared" si="0"/>
        <v>物理2-汽車一甲</v>
      </c>
      <c r="D48" s="9" t="s">
        <v>353</v>
      </c>
      <c r="E48" s="9" t="s">
        <v>354</v>
      </c>
      <c r="F48" s="10">
        <v>50</v>
      </c>
      <c r="G48" s="10" t="s">
        <v>11</v>
      </c>
      <c r="H48" s="10">
        <v>2</v>
      </c>
      <c r="I48" s="43"/>
    </row>
    <row r="49" spans="1:9">
      <c r="A49" s="50" t="s">
        <v>1964</v>
      </c>
      <c r="B49" s="9" t="s">
        <v>279</v>
      </c>
      <c r="C49" s="9" t="str">
        <f t="shared" si="0"/>
        <v>物理2-汽車一甲</v>
      </c>
      <c r="D49" s="9" t="s">
        <v>355</v>
      </c>
      <c r="E49" s="9" t="s">
        <v>356</v>
      </c>
      <c r="F49" s="10">
        <v>51</v>
      </c>
      <c r="G49" s="10" t="s">
        <v>11</v>
      </c>
      <c r="H49" s="10">
        <v>2</v>
      </c>
      <c r="I49" s="43"/>
    </row>
    <row r="50" spans="1:9">
      <c r="A50" s="50" t="s">
        <v>1964</v>
      </c>
      <c r="B50" s="9" t="s">
        <v>279</v>
      </c>
      <c r="C50" s="9" t="str">
        <f t="shared" si="0"/>
        <v>物理2-汽車一甲</v>
      </c>
      <c r="D50" s="9" t="s">
        <v>359</v>
      </c>
      <c r="E50" s="9" t="s">
        <v>360</v>
      </c>
      <c r="F50" s="10">
        <v>40</v>
      </c>
      <c r="G50" s="10" t="s">
        <v>11</v>
      </c>
      <c r="H50" s="10">
        <v>2</v>
      </c>
      <c r="I50" s="43"/>
    </row>
    <row r="51" spans="1:9">
      <c r="A51" s="50" t="s">
        <v>1964</v>
      </c>
      <c r="B51" s="9" t="s">
        <v>279</v>
      </c>
      <c r="C51" s="9" t="str">
        <f t="shared" si="0"/>
        <v>物理2-汽車一甲</v>
      </c>
      <c r="D51" s="9" t="s">
        <v>361</v>
      </c>
      <c r="E51" s="9" t="s">
        <v>362</v>
      </c>
      <c r="F51" s="10">
        <v>48</v>
      </c>
      <c r="G51" s="10" t="s">
        <v>11</v>
      </c>
      <c r="H51" s="10">
        <v>2</v>
      </c>
      <c r="I51" s="43"/>
    </row>
    <row r="52" spans="1:9">
      <c r="A52" s="50" t="s">
        <v>1964</v>
      </c>
      <c r="B52" s="9" t="s">
        <v>294</v>
      </c>
      <c r="C52" s="9" t="str">
        <f t="shared" si="0"/>
        <v>物理2-資訊一乙</v>
      </c>
      <c r="D52" s="9" t="s">
        <v>729</v>
      </c>
      <c r="E52" s="9" t="s">
        <v>730</v>
      </c>
      <c r="F52" s="10">
        <v>41</v>
      </c>
      <c r="G52" s="10" t="s">
        <v>11</v>
      </c>
      <c r="H52" s="10">
        <v>2</v>
      </c>
      <c r="I52" s="43"/>
    </row>
    <row r="53" spans="1:9">
      <c r="A53" s="50" t="s">
        <v>1964</v>
      </c>
      <c r="B53" s="9" t="s">
        <v>294</v>
      </c>
      <c r="C53" s="9" t="str">
        <f t="shared" si="0"/>
        <v>物理2-資訊一乙</v>
      </c>
      <c r="D53" s="9" t="s">
        <v>421</v>
      </c>
      <c r="E53" s="9" t="s">
        <v>422</v>
      </c>
      <c r="F53" s="10">
        <v>53</v>
      </c>
      <c r="G53" s="10" t="s">
        <v>11</v>
      </c>
      <c r="H53" s="10">
        <v>2</v>
      </c>
      <c r="I53" s="43"/>
    </row>
    <row r="54" spans="1:9">
      <c r="A54" s="50" t="s">
        <v>1964</v>
      </c>
      <c r="B54" s="9" t="s">
        <v>294</v>
      </c>
      <c r="C54" s="9" t="str">
        <f t="shared" si="0"/>
        <v>物理2-資訊一乙</v>
      </c>
      <c r="D54" s="9" t="s">
        <v>429</v>
      </c>
      <c r="E54" s="9" t="s">
        <v>430</v>
      </c>
      <c r="F54" s="10">
        <v>40</v>
      </c>
      <c r="G54" s="10" t="s">
        <v>11</v>
      </c>
      <c r="H54" s="10">
        <v>2</v>
      </c>
      <c r="I54" s="43"/>
    </row>
    <row r="55" spans="1:9">
      <c r="A55" s="50" t="s">
        <v>1964</v>
      </c>
      <c r="B55" s="9" t="s">
        <v>65</v>
      </c>
      <c r="C55" s="9" t="str">
        <f t="shared" si="0"/>
        <v>物理2-資訊一甲</v>
      </c>
      <c r="D55" s="9" t="s">
        <v>68</v>
      </c>
      <c r="E55" s="9" t="s">
        <v>69</v>
      </c>
      <c r="F55" s="10">
        <v>50</v>
      </c>
      <c r="G55" s="10" t="s">
        <v>11</v>
      </c>
      <c r="H55" s="10">
        <v>2</v>
      </c>
      <c r="I55" s="43"/>
    </row>
    <row r="56" spans="1:9">
      <c r="A56" s="50" t="s">
        <v>1964</v>
      </c>
      <c r="B56" s="9" t="s">
        <v>65</v>
      </c>
      <c r="C56" s="9" t="str">
        <f t="shared" si="0"/>
        <v>物理2-資訊一甲</v>
      </c>
      <c r="D56" s="9" t="s">
        <v>689</v>
      </c>
      <c r="E56" s="9" t="s">
        <v>690</v>
      </c>
      <c r="F56" s="10">
        <v>54</v>
      </c>
      <c r="G56" s="10" t="s">
        <v>11</v>
      </c>
      <c r="H56" s="10">
        <v>2</v>
      </c>
      <c r="I56" s="43"/>
    </row>
    <row r="57" spans="1:9">
      <c r="A57" s="50" t="s">
        <v>1964</v>
      </c>
      <c r="B57" s="9" t="s">
        <v>65</v>
      </c>
      <c r="C57" s="9" t="str">
        <f t="shared" si="0"/>
        <v>物理2-資訊一甲</v>
      </c>
      <c r="D57" s="9" t="s">
        <v>719</v>
      </c>
      <c r="E57" s="9" t="s">
        <v>720</v>
      </c>
      <c r="F57" s="10">
        <v>54</v>
      </c>
      <c r="G57" s="10" t="s">
        <v>11</v>
      </c>
      <c r="H57" s="10">
        <v>2</v>
      </c>
      <c r="I57" s="43"/>
    </row>
    <row r="58" spans="1:9">
      <c r="A58" s="50" t="s">
        <v>1964</v>
      </c>
      <c r="B58" s="9" t="s">
        <v>65</v>
      </c>
      <c r="C58" s="9" t="str">
        <f t="shared" si="0"/>
        <v>物理2-資訊一甲</v>
      </c>
      <c r="D58" s="9" t="s">
        <v>76</v>
      </c>
      <c r="E58" s="9" t="s">
        <v>77</v>
      </c>
      <c r="F58" s="10">
        <v>53</v>
      </c>
      <c r="G58" s="10" t="s">
        <v>11</v>
      </c>
      <c r="H58" s="10">
        <v>2</v>
      </c>
      <c r="I58" s="43"/>
    </row>
    <row r="59" spans="1:9">
      <c r="A59" s="50" t="s">
        <v>1964</v>
      </c>
      <c r="B59" s="9" t="s">
        <v>65</v>
      </c>
      <c r="C59" s="9" t="str">
        <f t="shared" si="0"/>
        <v>物理2-資訊一甲</v>
      </c>
      <c r="D59" s="9" t="s">
        <v>721</v>
      </c>
      <c r="E59" s="9" t="s">
        <v>722</v>
      </c>
      <c r="F59" s="10">
        <v>53</v>
      </c>
      <c r="G59" s="10" t="s">
        <v>11</v>
      </c>
      <c r="H59" s="10">
        <v>2</v>
      </c>
      <c r="I59" s="43"/>
    </row>
    <row r="60" spans="1:9">
      <c r="A60" s="50" t="s">
        <v>1964</v>
      </c>
      <c r="B60" s="9" t="s">
        <v>65</v>
      </c>
      <c r="C60" s="9" t="str">
        <f t="shared" si="0"/>
        <v>物理2-資訊一甲</v>
      </c>
      <c r="D60" s="9" t="s">
        <v>723</v>
      </c>
      <c r="E60" s="9" t="s">
        <v>724</v>
      </c>
      <c r="F60" s="10">
        <v>50</v>
      </c>
      <c r="G60" s="10" t="s">
        <v>11</v>
      </c>
      <c r="H60" s="10">
        <v>2</v>
      </c>
      <c r="I60" s="43"/>
    </row>
    <row r="61" spans="1:9">
      <c r="A61" s="50" t="s">
        <v>1964</v>
      </c>
      <c r="B61" s="9" t="s">
        <v>65</v>
      </c>
      <c r="C61" s="9" t="str">
        <f t="shared" si="0"/>
        <v>物理2-資訊一甲</v>
      </c>
      <c r="D61" s="9" t="s">
        <v>78</v>
      </c>
      <c r="E61" s="9" t="s">
        <v>79</v>
      </c>
      <c r="F61" s="10">
        <v>40</v>
      </c>
      <c r="G61" s="10" t="s">
        <v>11</v>
      </c>
      <c r="H61" s="10">
        <v>2</v>
      </c>
      <c r="I61" s="43"/>
    </row>
    <row r="62" spans="1:9">
      <c r="A62" s="50" t="s">
        <v>1964</v>
      </c>
      <c r="B62" s="9" t="s">
        <v>65</v>
      </c>
      <c r="C62" s="9" t="str">
        <f t="shared" si="0"/>
        <v>物理2-資訊一甲</v>
      </c>
      <c r="D62" s="9" t="s">
        <v>725</v>
      </c>
      <c r="E62" s="9" t="s">
        <v>726</v>
      </c>
      <c r="F62" s="10">
        <v>54</v>
      </c>
      <c r="G62" s="10" t="s">
        <v>11</v>
      </c>
      <c r="H62" s="10">
        <v>2</v>
      </c>
      <c r="I62" s="43"/>
    </row>
    <row r="63" spans="1:9">
      <c r="A63" s="50" t="s">
        <v>1964</v>
      </c>
      <c r="B63" s="9" t="s">
        <v>65</v>
      </c>
      <c r="C63" s="9" t="str">
        <f t="shared" si="0"/>
        <v>物理2-資訊一甲</v>
      </c>
      <c r="D63" s="9" t="s">
        <v>727</v>
      </c>
      <c r="E63" s="9" t="s">
        <v>728</v>
      </c>
      <c r="F63" s="10">
        <v>46</v>
      </c>
      <c r="G63" s="10" t="s">
        <v>11</v>
      </c>
      <c r="H63" s="10">
        <v>2</v>
      </c>
      <c r="I63" s="43"/>
    </row>
    <row r="64" spans="1:9">
      <c r="A64" s="50" t="s">
        <v>1964</v>
      </c>
      <c r="B64" s="9" t="s">
        <v>65</v>
      </c>
      <c r="C64" s="9" t="str">
        <f t="shared" si="0"/>
        <v>物理2-資訊一甲</v>
      </c>
      <c r="D64" s="9" t="s">
        <v>82</v>
      </c>
      <c r="E64" s="9" t="s">
        <v>83</v>
      </c>
      <c r="F64" s="10">
        <v>36</v>
      </c>
      <c r="G64" s="10" t="s">
        <v>11</v>
      </c>
      <c r="H64" s="10">
        <v>2</v>
      </c>
      <c r="I64" s="43"/>
    </row>
    <row r="65" spans="1:9">
      <c r="A65" s="50" t="s">
        <v>1964</v>
      </c>
      <c r="B65" s="9" t="s">
        <v>217</v>
      </c>
      <c r="C65" s="9" t="str">
        <f t="shared" si="0"/>
        <v>物理2-製圖一乙</v>
      </c>
      <c r="D65" s="9" t="s">
        <v>775</v>
      </c>
      <c r="E65" s="9" t="s">
        <v>776</v>
      </c>
      <c r="F65" s="10">
        <v>53</v>
      </c>
      <c r="G65" s="10" t="s">
        <v>11</v>
      </c>
      <c r="H65" s="10">
        <v>2</v>
      </c>
      <c r="I65" s="43"/>
    </row>
    <row r="66" spans="1:9">
      <c r="A66" s="50" t="s">
        <v>1964</v>
      </c>
      <c r="B66" s="9" t="s">
        <v>217</v>
      </c>
      <c r="C66" s="9" t="str">
        <f t="shared" si="0"/>
        <v>物理2-製圖一乙</v>
      </c>
      <c r="D66" s="9" t="s">
        <v>373</v>
      </c>
      <c r="E66" s="9" t="s">
        <v>374</v>
      </c>
      <c r="F66" s="10">
        <v>57</v>
      </c>
      <c r="G66" s="10" t="s">
        <v>11</v>
      </c>
      <c r="H66" s="10">
        <v>2</v>
      </c>
      <c r="I66" s="43"/>
    </row>
    <row r="67" spans="1:9">
      <c r="A67" s="50" t="s">
        <v>1964</v>
      </c>
      <c r="B67" s="9" t="s">
        <v>217</v>
      </c>
      <c r="C67" s="9" t="str">
        <f t="shared" ref="C67:C130" si="1">A67&amp;"-"&amp;B67</f>
        <v>物理2-製圖一乙</v>
      </c>
      <c r="D67" s="9" t="s">
        <v>383</v>
      </c>
      <c r="E67" s="9" t="s">
        <v>384</v>
      </c>
      <c r="F67" s="10">
        <v>58</v>
      </c>
      <c r="G67" s="10" t="s">
        <v>11</v>
      </c>
      <c r="H67" s="10">
        <v>2</v>
      </c>
      <c r="I67" s="43"/>
    </row>
    <row r="68" spans="1:9">
      <c r="A68" s="50" t="s">
        <v>1964</v>
      </c>
      <c r="B68" s="9" t="s">
        <v>217</v>
      </c>
      <c r="C68" s="9" t="str">
        <f t="shared" si="1"/>
        <v>物理2-製圖一乙</v>
      </c>
      <c r="D68" s="9" t="s">
        <v>385</v>
      </c>
      <c r="E68" s="9" t="s">
        <v>386</v>
      </c>
      <c r="F68" s="10">
        <v>58</v>
      </c>
      <c r="G68" s="10" t="s">
        <v>11</v>
      </c>
      <c r="H68" s="10">
        <v>2</v>
      </c>
      <c r="I68" s="43"/>
    </row>
    <row r="69" spans="1:9">
      <c r="A69" s="50" t="s">
        <v>1964</v>
      </c>
      <c r="B69" s="9" t="s">
        <v>122</v>
      </c>
      <c r="C69" s="9" t="str">
        <f t="shared" si="1"/>
        <v>物理2-製圖一丙</v>
      </c>
      <c r="D69" s="9" t="s">
        <v>123</v>
      </c>
      <c r="E69" s="9" t="s">
        <v>124</v>
      </c>
      <c r="F69" s="10">
        <v>54</v>
      </c>
      <c r="G69" s="10" t="s">
        <v>11</v>
      </c>
      <c r="H69" s="10">
        <v>2</v>
      </c>
      <c r="I69" s="43"/>
    </row>
    <row r="70" spans="1:9">
      <c r="A70" s="50" t="s">
        <v>1964</v>
      </c>
      <c r="B70" s="9" t="s">
        <v>122</v>
      </c>
      <c r="C70" s="9" t="str">
        <f t="shared" si="1"/>
        <v>物理2-製圖一丙</v>
      </c>
      <c r="D70" s="9" t="s">
        <v>431</v>
      </c>
      <c r="E70" s="9" t="s">
        <v>432</v>
      </c>
      <c r="F70" s="10">
        <v>54</v>
      </c>
      <c r="G70" s="10" t="s">
        <v>11</v>
      </c>
      <c r="H70" s="10">
        <v>2</v>
      </c>
      <c r="I70" s="43"/>
    </row>
    <row r="71" spans="1:9">
      <c r="A71" s="50" t="s">
        <v>1964</v>
      </c>
      <c r="B71" s="9" t="s">
        <v>122</v>
      </c>
      <c r="C71" s="9" t="str">
        <f t="shared" si="1"/>
        <v>物理2-製圖一丙</v>
      </c>
      <c r="D71" s="9" t="s">
        <v>777</v>
      </c>
      <c r="E71" s="9" t="s">
        <v>778</v>
      </c>
      <c r="F71" s="10">
        <v>56</v>
      </c>
      <c r="G71" s="10" t="s">
        <v>11</v>
      </c>
      <c r="H71" s="10">
        <v>2</v>
      </c>
      <c r="I71" s="43"/>
    </row>
    <row r="72" spans="1:9">
      <c r="A72" s="50" t="s">
        <v>1964</v>
      </c>
      <c r="B72" s="9" t="s">
        <v>122</v>
      </c>
      <c r="C72" s="9" t="str">
        <f t="shared" si="1"/>
        <v>物理2-製圖一丙</v>
      </c>
      <c r="D72" s="9" t="s">
        <v>779</v>
      </c>
      <c r="E72" s="9" t="s">
        <v>780</v>
      </c>
      <c r="F72" s="10">
        <v>57</v>
      </c>
      <c r="G72" s="10" t="s">
        <v>11</v>
      </c>
      <c r="H72" s="10">
        <v>2</v>
      </c>
      <c r="I72" s="43"/>
    </row>
    <row r="73" spans="1:9">
      <c r="A73" s="50" t="s">
        <v>1964</v>
      </c>
      <c r="B73" s="9" t="s">
        <v>122</v>
      </c>
      <c r="C73" s="9" t="str">
        <f t="shared" si="1"/>
        <v>物理2-製圖一丙</v>
      </c>
      <c r="D73" s="9" t="s">
        <v>125</v>
      </c>
      <c r="E73" s="9" t="s">
        <v>126</v>
      </c>
      <c r="F73" s="10">
        <v>55</v>
      </c>
      <c r="G73" s="10" t="s">
        <v>11</v>
      </c>
      <c r="H73" s="10">
        <v>2</v>
      </c>
      <c r="I73" s="43"/>
    </row>
    <row r="74" spans="1:9">
      <c r="A74" s="50" t="s">
        <v>1964</v>
      </c>
      <c r="B74" s="9" t="s">
        <v>122</v>
      </c>
      <c r="C74" s="9" t="str">
        <f t="shared" si="1"/>
        <v>物理2-製圖一丙</v>
      </c>
      <c r="D74" s="9" t="s">
        <v>781</v>
      </c>
      <c r="E74" s="9" t="s">
        <v>782</v>
      </c>
      <c r="F74" s="10">
        <v>57</v>
      </c>
      <c r="G74" s="10" t="s">
        <v>11</v>
      </c>
      <c r="H74" s="10">
        <v>2</v>
      </c>
      <c r="I74" s="43"/>
    </row>
    <row r="75" spans="1:9">
      <c r="A75" s="50" t="s">
        <v>1964</v>
      </c>
      <c r="B75" s="9" t="s">
        <v>122</v>
      </c>
      <c r="C75" s="9" t="str">
        <f t="shared" si="1"/>
        <v>物理2-製圖一丙</v>
      </c>
      <c r="D75" s="9" t="s">
        <v>783</v>
      </c>
      <c r="E75" s="9" t="s">
        <v>784</v>
      </c>
      <c r="F75" s="10">
        <v>58</v>
      </c>
      <c r="G75" s="10" t="s">
        <v>11</v>
      </c>
      <c r="H75" s="10">
        <v>2</v>
      </c>
      <c r="I75" s="43"/>
    </row>
    <row r="76" spans="1:9">
      <c r="A76" s="50" t="s">
        <v>1964</v>
      </c>
      <c r="B76" s="9" t="s">
        <v>122</v>
      </c>
      <c r="C76" s="9" t="str">
        <f t="shared" si="1"/>
        <v>物理2-製圖一丙</v>
      </c>
      <c r="D76" s="9" t="s">
        <v>785</v>
      </c>
      <c r="E76" s="9" t="s">
        <v>786</v>
      </c>
      <c r="F76" s="10">
        <v>58</v>
      </c>
      <c r="G76" s="10" t="s">
        <v>11</v>
      </c>
      <c r="H76" s="10">
        <v>2</v>
      </c>
      <c r="I76" s="43"/>
    </row>
    <row r="77" spans="1:9">
      <c r="A77" s="50" t="s">
        <v>1964</v>
      </c>
      <c r="B77" s="9" t="s">
        <v>122</v>
      </c>
      <c r="C77" s="9" t="str">
        <f t="shared" si="1"/>
        <v>物理2-製圖一丙</v>
      </c>
      <c r="D77" s="9" t="s">
        <v>433</v>
      </c>
      <c r="E77" s="9" t="s">
        <v>434</v>
      </c>
      <c r="F77" s="10">
        <v>57</v>
      </c>
      <c r="G77" s="10" t="s">
        <v>11</v>
      </c>
      <c r="H77" s="10">
        <v>2</v>
      </c>
      <c r="I77" s="43"/>
    </row>
    <row r="78" spans="1:9">
      <c r="A78" s="50" t="s">
        <v>1964</v>
      </c>
      <c r="B78" s="9" t="s">
        <v>122</v>
      </c>
      <c r="C78" s="9" t="str">
        <f t="shared" si="1"/>
        <v>物理2-製圖一丙</v>
      </c>
      <c r="D78" s="9" t="s">
        <v>787</v>
      </c>
      <c r="E78" s="9" t="s">
        <v>788</v>
      </c>
      <c r="F78" s="10">
        <v>58</v>
      </c>
      <c r="G78" s="10" t="s">
        <v>11</v>
      </c>
      <c r="H78" s="10">
        <v>2</v>
      </c>
      <c r="I78" s="43"/>
    </row>
    <row r="79" spans="1:9">
      <c r="A79" s="50" t="s">
        <v>1964</v>
      </c>
      <c r="B79" s="9" t="s">
        <v>122</v>
      </c>
      <c r="C79" s="9" t="str">
        <f t="shared" si="1"/>
        <v>物理2-製圖一丙</v>
      </c>
      <c r="D79" s="9" t="s">
        <v>127</v>
      </c>
      <c r="E79" s="9" t="s">
        <v>128</v>
      </c>
      <c r="F79" s="10">
        <v>55</v>
      </c>
      <c r="G79" s="10" t="s">
        <v>11</v>
      </c>
      <c r="H79" s="10">
        <v>2</v>
      </c>
      <c r="I79" s="43"/>
    </row>
    <row r="80" spans="1:9">
      <c r="A80" s="50" t="s">
        <v>1964</v>
      </c>
      <c r="B80" s="9" t="s">
        <v>122</v>
      </c>
      <c r="C80" s="9" t="str">
        <f t="shared" si="1"/>
        <v>物理2-製圖一丙</v>
      </c>
      <c r="D80" s="9" t="s">
        <v>129</v>
      </c>
      <c r="E80" s="9" t="s">
        <v>130</v>
      </c>
      <c r="F80" s="10">
        <v>58</v>
      </c>
      <c r="G80" s="10" t="s">
        <v>11</v>
      </c>
      <c r="H80" s="10">
        <v>2</v>
      </c>
      <c r="I80" s="43"/>
    </row>
    <row r="81" spans="1:9">
      <c r="A81" s="50" t="s">
        <v>1964</v>
      </c>
      <c r="B81" s="9" t="s">
        <v>122</v>
      </c>
      <c r="C81" s="9" t="str">
        <f t="shared" si="1"/>
        <v>物理2-製圖一丙</v>
      </c>
      <c r="D81" s="9" t="s">
        <v>789</v>
      </c>
      <c r="E81" s="9" t="s">
        <v>790</v>
      </c>
      <c r="F81" s="10">
        <v>58</v>
      </c>
      <c r="G81" s="10" t="s">
        <v>11</v>
      </c>
      <c r="H81" s="10">
        <v>2</v>
      </c>
      <c r="I81" s="43"/>
    </row>
    <row r="82" spans="1:9">
      <c r="A82" s="50" t="s">
        <v>1964</v>
      </c>
      <c r="B82" s="9" t="s">
        <v>122</v>
      </c>
      <c r="C82" s="9" t="str">
        <f t="shared" si="1"/>
        <v>物理2-製圖一丙</v>
      </c>
      <c r="D82" s="9" t="s">
        <v>131</v>
      </c>
      <c r="E82" s="9" t="s">
        <v>132</v>
      </c>
      <c r="F82" s="10">
        <v>49</v>
      </c>
      <c r="G82" s="10" t="s">
        <v>11</v>
      </c>
      <c r="H82" s="10">
        <v>2</v>
      </c>
      <c r="I82" s="43"/>
    </row>
    <row r="83" spans="1:9">
      <c r="A83" s="50" t="s">
        <v>1964</v>
      </c>
      <c r="B83" s="9" t="s">
        <v>122</v>
      </c>
      <c r="C83" s="9" t="str">
        <f t="shared" si="1"/>
        <v>物理2-製圖一丙</v>
      </c>
      <c r="D83" s="9" t="s">
        <v>791</v>
      </c>
      <c r="E83" s="9" t="s">
        <v>792</v>
      </c>
      <c r="F83" s="10">
        <v>58</v>
      </c>
      <c r="G83" s="10" t="s">
        <v>11</v>
      </c>
      <c r="H83" s="10">
        <v>2</v>
      </c>
      <c r="I83" s="43"/>
    </row>
    <row r="84" spans="1:9">
      <c r="A84" s="50" t="s">
        <v>1964</v>
      </c>
      <c r="B84" s="9" t="s">
        <v>122</v>
      </c>
      <c r="C84" s="9" t="str">
        <f t="shared" si="1"/>
        <v>物理2-製圖一丙</v>
      </c>
      <c r="D84" s="9" t="s">
        <v>139</v>
      </c>
      <c r="E84" s="9" t="s">
        <v>140</v>
      </c>
      <c r="F84" s="10">
        <v>56</v>
      </c>
      <c r="G84" s="10" t="s">
        <v>11</v>
      </c>
      <c r="H84" s="10">
        <v>2</v>
      </c>
      <c r="I84" s="43"/>
    </row>
    <row r="85" spans="1:9">
      <c r="A85" s="50" t="s">
        <v>1964</v>
      </c>
      <c r="B85" s="9" t="s">
        <v>322</v>
      </c>
      <c r="C85" s="9" t="str">
        <f t="shared" si="1"/>
        <v>物理2-製圖一甲</v>
      </c>
      <c r="D85" s="9" t="s">
        <v>763</v>
      </c>
      <c r="E85" s="9" t="s">
        <v>764</v>
      </c>
      <c r="F85" s="10">
        <v>53</v>
      </c>
      <c r="G85" s="10" t="s">
        <v>11</v>
      </c>
      <c r="H85" s="10">
        <v>2</v>
      </c>
      <c r="I85" s="43"/>
    </row>
    <row r="86" spans="1:9">
      <c r="A86" s="50" t="s">
        <v>1964</v>
      </c>
      <c r="B86" s="9" t="s">
        <v>322</v>
      </c>
      <c r="C86" s="9" t="str">
        <f t="shared" si="1"/>
        <v>物理2-製圖一甲</v>
      </c>
      <c r="D86" s="9" t="s">
        <v>765</v>
      </c>
      <c r="E86" s="9" t="s">
        <v>766</v>
      </c>
      <c r="F86" s="10">
        <v>58</v>
      </c>
      <c r="G86" s="10" t="s">
        <v>11</v>
      </c>
      <c r="H86" s="10">
        <v>2</v>
      </c>
      <c r="I86" s="43"/>
    </row>
    <row r="87" spans="1:9">
      <c r="A87" s="50" t="s">
        <v>1964</v>
      </c>
      <c r="B87" s="9" t="s">
        <v>322</v>
      </c>
      <c r="C87" s="9" t="str">
        <f t="shared" si="1"/>
        <v>物理2-製圖一甲</v>
      </c>
      <c r="D87" s="9" t="s">
        <v>767</v>
      </c>
      <c r="E87" s="9" t="s">
        <v>768</v>
      </c>
      <c r="F87" s="10">
        <v>58</v>
      </c>
      <c r="G87" s="10" t="s">
        <v>11</v>
      </c>
      <c r="H87" s="10">
        <v>2</v>
      </c>
      <c r="I87" s="43"/>
    </row>
    <row r="88" spans="1:9">
      <c r="A88" s="50" t="s">
        <v>1964</v>
      </c>
      <c r="B88" s="9" t="s">
        <v>322</v>
      </c>
      <c r="C88" s="9" t="str">
        <f t="shared" si="1"/>
        <v>物理2-製圖一甲</v>
      </c>
      <c r="D88" s="9" t="s">
        <v>769</v>
      </c>
      <c r="E88" s="9" t="s">
        <v>770</v>
      </c>
      <c r="F88" s="10">
        <v>58</v>
      </c>
      <c r="G88" s="10" t="s">
        <v>11</v>
      </c>
      <c r="H88" s="10">
        <v>2</v>
      </c>
      <c r="I88" s="43"/>
    </row>
    <row r="89" spans="1:9">
      <c r="A89" s="50" t="s">
        <v>1964</v>
      </c>
      <c r="B89" s="9" t="s">
        <v>322</v>
      </c>
      <c r="C89" s="9" t="str">
        <f t="shared" si="1"/>
        <v>物理2-製圖一甲</v>
      </c>
      <c r="D89" s="9" t="s">
        <v>771</v>
      </c>
      <c r="E89" s="9" t="s">
        <v>772</v>
      </c>
      <c r="F89" s="10">
        <v>51</v>
      </c>
      <c r="G89" s="10" t="s">
        <v>11</v>
      </c>
      <c r="H89" s="10">
        <v>2</v>
      </c>
      <c r="I89" s="43"/>
    </row>
    <row r="90" spans="1:9">
      <c r="A90" s="50" t="s">
        <v>1964</v>
      </c>
      <c r="B90" s="9" t="s">
        <v>322</v>
      </c>
      <c r="C90" s="9" t="str">
        <f t="shared" si="1"/>
        <v>物理2-製圖一甲</v>
      </c>
      <c r="D90" s="9" t="s">
        <v>773</v>
      </c>
      <c r="E90" s="9" t="s">
        <v>774</v>
      </c>
      <c r="F90" s="10">
        <v>56</v>
      </c>
      <c r="G90" s="10" t="s">
        <v>11</v>
      </c>
      <c r="H90" s="10">
        <v>2</v>
      </c>
      <c r="I90" s="43"/>
    </row>
    <row r="91" spans="1:9">
      <c r="A91" s="50" t="s">
        <v>1964</v>
      </c>
      <c r="B91" s="9" t="s">
        <v>322</v>
      </c>
      <c r="C91" s="9" t="str">
        <f t="shared" si="1"/>
        <v>物理2-製圖一甲</v>
      </c>
      <c r="D91" s="9" t="s">
        <v>325</v>
      </c>
      <c r="E91" s="9" t="s">
        <v>326</v>
      </c>
      <c r="F91" s="10">
        <v>42</v>
      </c>
      <c r="G91" s="10" t="s">
        <v>11</v>
      </c>
      <c r="H91" s="10">
        <v>2</v>
      </c>
      <c r="I91" s="43"/>
    </row>
    <row r="92" spans="1:9">
      <c r="A92" s="50" t="s">
        <v>1964</v>
      </c>
      <c r="B92" s="9" t="s">
        <v>194</v>
      </c>
      <c r="C92" s="9" t="str">
        <f t="shared" si="1"/>
        <v>物理2-模具一乙</v>
      </c>
      <c r="D92" s="9" t="s">
        <v>195</v>
      </c>
      <c r="E92" s="9" t="s">
        <v>196</v>
      </c>
      <c r="F92" s="10">
        <v>43</v>
      </c>
      <c r="G92" s="10" t="s">
        <v>11</v>
      </c>
      <c r="H92" s="10">
        <v>2</v>
      </c>
      <c r="I92" s="43"/>
    </row>
    <row r="93" spans="1:9">
      <c r="A93" s="50" t="s">
        <v>1964</v>
      </c>
      <c r="B93" s="9" t="s">
        <v>194</v>
      </c>
      <c r="C93" s="9" t="str">
        <f t="shared" si="1"/>
        <v>物理2-模具一乙</v>
      </c>
      <c r="D93" s="9" t="s">
        <v>199</v>
      </c>
      <c r="E93" s="9" t="s">
        <v>200</v>
      </c>
      <c r="F93" s="10">
        <v>40</v>
      </c>
      <c r="G93" s="10" t="s">
        <v>11</v>
      </c>
      <c r="H93" s="10">
        <v>2</v>
      </c>
      <c r="I93" s="43"/>
    </row>
    <row r="94" spans="1:9">
      <c r="A94" s="50" t="s">
        <v>1964</v>
      </c>
      <c r="B94" s="9" t="s">
        <v>194</v>
      </c>
      <c r="C94" s="9" t="str">
        <f t="shared" si="1"/>
        <v>物理2-模具一乙</v>
      </c>
      <c r="D94" s="9" t="s">
        <v>757</v>
      </c>
      <c r="E94" s="9" t="s">
        <v>758</v>
      </c>
      <c r="F94" s="10">
        <v>45</v>
      </c>
      <c r="G94" s="10" t="s">
        <v>11</v>
      </c>
      <c r="H94" s="10">
        <v>2</v>
      </c>
      <c r="I94" s="43"/>
    </row>
    <row r="95" spans="1:9">
      <c r="A95" s="50" t="s">
        <v>1964</v>
      </c>
      <c r="B95" s="9" t="s">
        <v>194</v>
      </c>
      <c r="C95" s="9" t="str">
        <f t="shared" si="1"/>
        <v>物理2-模具一乙</v>
      </c>
      <c r="D95" s="9" t="s">
        <v>203</v>
      </c>
      <c r="E95" s="9" t="s">
        <v>204</v>
      </c>
      <c r="F95" s="10">
        <v>50</v>
      </c>
      <c r="G95" s="10" t="s">
        <v>11</v>
      </c>
      <c r="H95" s="10">
        <v>2</v>
      </c>
      <c r="I95" s="43"/>
    </row>
    <row r="96" spans="1:9">
      <c r="A96" s="50" t="s">
        <v>1964</v>
      </c>
      <c r="B96" s="9" t="s">
        <v>194</v>
      </c>
      <c r="C96" s="9" t="str">
        <f t="shared" si="1"/>
        <v>物理2-模具一乙</v>
      </c>
      <c r="D96" s="9" t="s">
        <v>759</v>
      </c>
      <c r="E96" s="9" t="s">
        <v>760</v>
      </c>
      <c r="F96" s="10">
        <v>52</v>
      </c>
      <c r="G96" s="10" t="s">
        <v>11</v>
      </c>
      <c r="H96" s="10">
        <v>2</v>
      </c>
      <c r="I96" s="43"/>
    </row>
    <row r="97" spans="1:9">
      <c r="A97" s="50" t="s">
        <v>1964</v>
      </c>
      <c r="B97" s="9" t="s">
        <v>194</v>
      </c>
      <c r="C97" s="9" t="str">
        <f t="shared" si="1"/>
        <v>物理2-模具一乙</v>
      </c>
      <c r="D97" s="9" t="s">
        <v>205</v>
      </c>
      <c r="E97" s="9" t="s">
        <v>206</v>
      </c>
      <c r="F97" s="10">
        <v>44</v>
      </c>
      <c r="G97" s="10" t="s">
        <v>11</v>
      </c>
      <c r="H97" s="10">
        <v>2</v>
      </c>
      <c r="I97" s="43"/>
    </row>
    <row r="98" spans="1:9">
      <c r="A98" s="50" t="s">
        <v>1964</v>
      </c>
      <c r="B98" s="9" t="s">
        <v>194</v>
      </c>
      <c r="C98" s="9" t="str">
        <f t="shared" si="1"/>
        <v>物理2-模具一乙</v>
      </c>
      <c r="D98" s="9" t="s">
        <v>207</v>
      </c>
      <c r="E98" s="9" t="s">
        <v>208</v>
      </c>
      <c r="F98" s="10">
        <v>40</v>
      </c>
      <c r="G98" s="10" t="s">
        <v>11</v>
      </c>
      <c r="H98" s="10">
        <v>2</v>
      </c>
      <c r="I98" s="43"/>
    </row>
    <row r="99" spans="1:9">
      <c r="A99" s="50" t="s">
        <v>1964</v>
      </c>
      <c r="B99" s="9" t="s">
        <v>194</v>
      </c>
      <c r="C99" s="9" t="str">
        <f t="shared" si="1"/>
        <v>物理2-模具一乙</v>
      </c>
      <c r="D99" s="9" t="s">
        <v>527</v>
      </c>
      <c r="E99" s="9" t="s">
        <v>528</v>
      </c>
      <c r="F99" s="10">
        <v>44</v>
      </c>
      <c r="G99" s="10" t="s">
        <v>11</v>
      </c>
      <c r="H99" s="10">
        <v>2</v>
      </c>
      <c r="I99" s="43"/>
    </row>
    <row r="100" spans="1:9">
      <c r="A100" s="50" t="s">
        <v>1964</v>
      </c>
      <c r="B100" s="9" t="s">
        <v>194</v>
      </c>
      <c r="C100" s="9" t="str">
        <f t="shared" si="1"/>
        <v>物理2-模具一乙</v>
      </c>
      <c r="D100" s="9" t="s">
        <v>761</v>
      </c>
      <c r="E100" s="9" t="s">
        <v>762</v>
      </c>
      <c r="F100" s="10">
        <v>40</v>
      </c>
      <c r="G100" s="10" t="s">
        <v>11</v>
      </c>
      <c r="H100" s="10">
        <v>2</v>
      </c>
      <c r="I100" s="43"/>
    </row>
    <row r="101" spans="1:9">
      <c r="A101" s="50" t="s">
        <v>1964</v>
      </c>
      <c r="B101" s="9" t="s">
        <v>194</v>
      </c>
      <c r="C101" s="9" t="str">
        <f t="shared" si="1"/>
        <v>物理2-模具一乙</v>
      </c>
      <c r="D101" s="9" t="s">
        <v>529</v>
      </c>
      <c r="E101" s="9" t="s">
        <v>530</v>
      </c>
      <c r="F101" s="10">
        <v>41</v>
      </c>
      <c r="G101" s="10" t="s">
        <v>11</v>
      </c>
      <c r="H101" s="10">
        <v>2</v>
      </c>
      <c r="I101" s="43"/>
    </row>
    <row r="102" spans="1:9">
      <c r="A102" s="50" t="s">
        <v>1964</v>
      </c>
      <c r="B102" s="9" t="s">
        <v>194</v>
      </c>
      <c r="C102" s="9" t="str">
        <f t="shared" si="1"/>
        <v>物理2-模具一乙</v>
      </c>
      <c r="D102" s="9" t="s">
        <v>634</v>
      </c>
      <c r="E102" s="9" t="s">
        <v>635</v>
      </c>
      <c r="F102" s="10">
        <v>50</v>
      </c>
      <c r="G102" s="10" t="s">
        <v>11</v>
      </c>
      <c r="H102" s="10">
        <v>2</v>
      </c>
      <c r="I102" s="43"/>
    </row>
    <row r="103" spans="1:9">
      <c r="A103" s="50" t="s">
        <v>1964</v>
      </c>
      <c r="B103" s="9" t="s">
        <v>194</v>
      </c>
      <c r="C103" s="9" t="str">
        <f t="shared" si="1"/>
        <v>物理2-模具一乙</v>
      </c>
      <c r="D103" s="9" t="s">
        <v>211</v>
      </c>
      <c r="E103" s="9" t="s">
        <v>212</v>
      </c>
      <c r="F103" s="10">
        <v>43</v>
      </c>
      <c r="G103" s="10" t="s">
        <v>11</v>
      </c>
      <c r="H103" s="10">
        <v>2</v>
      </c>
      <c r="I103" s="43"/>
    </row>
    <row r="104" spans="1:9">
      <c r="A104" s="50" t="s">
        <v>1964</v>
      </c>
      <c r="B104" s="9" t="s">
        <v>194</v>
      </c>
      <c r="C104" s="9" t="str">
        <f t="shared" si="1"/>
        <v>物理2-模具一乙</v>
      </c>
      <c r="D104" s="9" t="s">
        <v>213</v>
      </c>
      <c r="E104" s="9" t="s">
        <v>214</v>
      </c>
      <c r="F104" s="10">
        <v>50</v>
      </c>
      <c r="G104" s="10" t="s">
        <v>11</v>
      </c>
      <c r="H104" s="10">
        <v>2</v>
      </c>
      <c r="I104" s="43"/>
    </row>
    <row r="105" spans="1:9">
      <c r="A105" s="50" t="s">
        <v>1964</v>
      </c>
      <c r="B105" s="9" t="s">
        <v>194</v>
      </c>
      <c r="C105" s="9" t="str">
        <f t="shared" si="1"/>
        <v>物理2-模具一乙</v>
      </c>
      <c r="D105" s="9" t="s">
        <v>215</v>
      </c>
      <c r="E105" s="9" t="s">
        <v>216</v>
      </c>
      <c r="F105" s="10">
        <v>40</v>
      </c>
      <c r="G105" s="10" t="s">
        <v>11</v>
      </c>
      <c r="H105" s="10">
        <v>2</v>
      </c>
      <c r="I105" s="43"/>
    </row>
    <row r="106" spans="1:9">
      <c r="A106" s="50" t="s">
        <v>1964</v>
      </c>
      <c r="B106" s="9" t="s">
        <v>194</v>
      </c>
      <c r="C106" s="9" t="str">
        <f t="shared" si="1"/>
        <v>物理2-模具一乙</v>
      </c>
      <c r="D106" s="9" t="s">
        <v>535</v>
      </c>
      <c r="E106" s="9" t="s">
        <v>536</v>
      </c>
      <c r="F106" s="10">
        <v>50</v>
      </c>
      <c r="G106" s="10" t="s">
        <v>11</v>
      </c>
      <c r="H106" s="10">
        <v>2</v>
      </c>
      <c r="I106" s="43"/>
    </row>
    <row r="107" spans="1:9">
      <c r="A107" s="50" t="s">
        <v>1964</v>
      </c>
      <c r="B107" s="9" t="s">
        <v>301</v>
      </c>
      <c r="C107" s="9" t="str">
        <f t="shared" si="1"/>
        <v>物理2-模具一甲</v>
      </c>
      <c r="D107" s="9" t="s">
        <v>306</v>
      </c>
      <c r="E107" s="9" t="s">
        <v>307</v>
      </c>
      <c r="F107" s="10">
        <v>48</v>
      </c>
      <c r="G107" s="10" t="s">
        <v>11</v>
      </c>
      <c r="H107" s="10">
        <v>2</v>
      </c>
      <c r="I107" s="43"/>
    </row>
    <row r="108" spans="1:9">
      <c r="A108" s="50" t="s">
        <v>1964</v>
      </c>
      <c r="B108" s="9" t="s">
        <v>301</v>
      </c>
      <c r="C108" s="9" t="str">
        <f t="shared" si="1"/>
        <v>物理2-模具一甲</v>
      </c>
      <c r="D108" s="9" t="s">
        <v>308</v>
      </c>
      <c r="E108" s="9" t="s">
        <v>309</v>
      </c>
      <c r="F108" s="10">
        <v>50</v>
      </c>
      <c r="G108" s="10" t="s">
        <v>11</v>
      </c>
      <c r="H108" s="10">
        <v>2</v>
      </c>
      <c r="I108" s="43"/>
    </row>
    <row r="109" spans="1:9">
      <c r="A109" s="50" t="s">
        <v>1964</v>
      </c>
      <c r="B109" s="9" t="s">
        <v>301</v>
      </c>
      <c r="C109" s="9" t="str">
        <f t="shared" si="1"/>
        <v>物理2-模具一甲</v>
      </c>
      <c r="D109" s="9" t="s">
        <v>310</v>
      </c>
      <c r="E109" s="9" t="s">
        <v>311</v>
      </c>
      <c r="F109" s="10">
        <v>47</v>
      </c>
      <c r="G109" s="10" t="s">
        <v>11</v>
      </c>
      <c r="H109" s="10">
        <v>2</v>
      </c>
      <c r="I109" s="43"/>
    </row>
    <row r="110" spans="1:9">
      <c r="A110" s="50" t="s">
        <v>1964</v>
      </c>
      <c r="B110" s="9" t="s">
        <v>301</v>
      </c>
      <c r="C110" s="9" t="str">
        <f t="shared" si="1"/>
        <v>物理2-模具一甲</v>
      </c>
      <c r="D110" s="9" t="s">
        <v>731</v>
      </c>
      <c r="E110" s="9" t="s">
        <v>732</v>
      </c>
      <c r="F110" s="10">
        <v>48</v>
      </c>
      <c r="G110" s="10" t="s">
        <v>11</v>
      </c>
      <c r="H110" s="10">
        <v>2</v>
      </c>
      <c r="I110" s="43"/>
    </row>
    <row r="111" spans="1:9">
      <c r="A111" s="50" t="s">
        <v>1964</v>
      </c>
      <c r="B111" s="9" t="s">
        <v>301</v>
      </c>
      <c r="C111" s="9" t="str">
        <f t="shared" si="1"/>
        <v>物理2-模具一甲</v>
      </c>
      <c r="D111" s="9" t="s">
        <v>467</v>
      </c>
      <c r="E111" s="9" t="s">
        <v>468</v>
      </c>
      <c r="F111" s="10">
        <v>51</v>
      </c>
      <c r="G111" s="10" t="s">
        <v>11</v>
      </c>
      <c r="H111" s="10">
        <v>2</v>
      </c>
      <c r="I111" s="43"/>
    </row>
    <row r="112" spans="1:9">
      <c r="A112" s="50" t="s">
        <v>1964</v>
      </c>
      <c r="B112" s="9" t="s">
        <v>301</v>
      </c>
      <c r="C112" s="9" t="str">
        <f t="shared" si="1"/>
        <v>物理2-模具一甲</v>
      </c>
      <c r="D112" s="9" t="s">
        <v>318</v>
      </c>
      <c r="E112" s="9" t="s">
        <v>319</v>
      </c>
      <c r="F112" s="10">
        <v>47</v>
      </c>
      <c r="G112" s="10" t="s">
        <v>11</v>
      </c>
      <c r="H112" s="10">
        <v>2</v>
      </c>
      <c r="I112" s="43"/>
    </row>
    <row r="113" spans="1:9">
      <c r="A113" s="50" t="s">
        <v>1964</v>
      </c>
      <c r="B113" s="9" t="s">
        <v>301</v>
      </c>
      <c r="C113" s="9" t="str">
        <f t="shared" si="1"/>
        <v>物理2-模具一甲</v>
      </c>
      <c r="D113" s="9" t="s">
        <v>677</v>
      </c>
      <c r="E113" s="9" t="s">
        <v>678</v>
      </c>
      <c r="F113" s="10">
        <v>47</v>
      </c>
      <c r="G113" s="10" t="s">
        <v>11</v>
      </c>
      <c r="H113" s="10">
        <v>2</v>
      </c>
      <c r="I113" s="43"/>
    </row>
    <row r="114" spans="1:9">
      <c r="A114" s="50" t="s">
        <v>1964</v>
      </c>
      <c r="B114" s="9" t="s">
        <v>301</v>
      </c>
      <c r="C114" s="9" t="str">
        <f t="shared" si="1"/>
        <v>物理2-模具一甲</v>
      </c>
      <c r="D114" s="9" t="s">
        <v>473</v>
      </c>
      <c r="E114" s="9" t="s">
        <v>474</v>
      </c>
      <c r="F114" s="10">
        <v>40</v>
      </c>
      <c r="G114" s="10" t="s">
        <v>11</v>
      </c>
      <c r="H114" s="10">
        <v>2</v>
      </c>
      <c r="I114" s="43"/>
    </row>
    <row r="115" spans="1:9">
      <c r="A115" s="50" t="s">
        <v>1964</v>
      </c>
      <c r="B115" s="9" t="s">
        <v>84</v>
      </c>
      <c r="C115" s="9" t="str">
        <f t="shared" si="1"/>
        <v>物理2-機械一乙</v>
      </c>
      <c r="D115" s="9" t="s">
        <v>89</v>
      </c>
      <c r="E115" s="9" t="s">
        <v>90</v>
      </c>
      <c r="F115" s="10">
        <v>54</v>
      </c>
      <c r="G115" s="10" t="s">
        <v>11</v>
      </c>
      <c r="H115" s="10">
        <v>2</v>
      </c>
      <c r="I115" s="43"/>
    </row>
    <row r="116" spans="1:9">
      <c r="A116" s="50" t="s">
        <v>1964</v>
      </c>
      <c r="B116" s="9" t="s">
        <v>84</v>
      </c>
      <c r="C116" s="9" t="str">
        <f t="shared" si="1"/>
        <v>物理2-機械一乙</v>
      </c>
      <c r="D116" s="9" t="s">
        <v>751</v>
      </c>
      <c r="E116" s="9" t="s">
        <v>752</v>
      </c>
      <c r="F116" s="10">
        <v>42</v>
      </c>
      <c r="G116" s="10" t="s">
        <v>11</v>
      </c>
      <c r="H116" s="10">
        <v>2</v>
      </c>
      <c r="I116" s="43"/>
    </row>
    <row r="117" spans="1:9">
      <c r="A117" s="50" t="s">
        <v>1964</v>
      </c>
      <c r="B117" s="9" t="s">
        <v>84</v>
      </c>
      <c r="C117" s="9" t="str">
        <f t="shared" si="1"/>
        <v>物理2-機械一乙</v>
      </c>
      <c r="D117" s="9" t="s">
        <v>604</v>
      </c>
      <c r="E117" s="9" t="s">
        <v>605</v>
      </c>
      <c r="F117" s="10">
        <v>45</v>
      </c>
      <c r="G117" s="10" t="s">
        <v>11</v>
      </c>
      <c r="H117" s="10">
        <v>2</v>
      </c>
      <c r="I117" s="43"/>
    </row>
    <row r="118" spans="1:9">
      <c r="A118" s="50" t="s">
        <v>1964</v>
      </c>
      <c r="B118" s="9" t="s">
        <v>84</v>
      </c>
      <c r="C118" s="9" t="str">
        <f t="shared" si="1"/>
        <v>物理2-機械一乙</v>
      </c>
      <c r="D118" s="9" t="s">
        <v>753</v>
      </c>
      <c r="E118" s="9" t="s">
        <v>754</v>
      </c>
      <c r="F118" s="10">
        <v>46</v>
      </c>
      <c r="G118" s="10" t="s">
        <v>11</v>
      </c>
      <c r="H118" s="10">
        <v>2</v>
      </c>
      <c r="I118" s="43"/>
    </row>
    <row r="119" spans="1:9">
      <c r="A119" s="50" t="s">
        <v>1964</v>
      </c>
      <c r="B119" s="9" t="s">
        <v>84</v>
      </c>
      <c r="C119" s="9" t="str">
        <f t="shared" si="1"/>
        <v>物理2-機械一乙</v>
      </c>
      <c r="D119" s="9" t="s">
        <v>755</v>
      </c>
      <c r="E119" s="9" t="s">
        <v>756</v>
      </c>
      <c r="F119" s="10">
        <v>54</v>
      </c>
      <c r="G119" s="10" t="s">
        <v>11</v>
      </c>
      <c r="H119" s="10">
        <v>2</v>
      </c>
      <c r="I119" s="43"/>
    </row>
    <row r="120" spans="1:9">
      <c r="A120" s="50" t="s">
        <v>1964</v>
      </c>
      <c r="B120" s="9" t="s">
        <v>7</v>
      </c>
      <c r="C120" s="9" t="str">
        <f t="shared" si="1"/>
        <v>物理2-機械一甲</v>
      </c>
      <c r="D120" s="9" t="s">
        <v>745</v>
      </c>
      <c r="E120" s="9" t="s">
        <v>746</v>
      </c>
      <c r="F120" s="10">
        <v>50</v>
      </c>
      <c r="G120" s="10" t="s">
        <v>11</v>
      </c>
      <c r="H120" s="10">
        <v>2</v>
      </c>
      <c r="I120" s="43"/>
    </row>
    <row r="121" spans="1:9">
      <c r="A121" s="50" t="s">
        <v>1964</v>
      </c>
      <c r="B121" s="9" t="s">
        <v>7</v>
      </c>
      <c r="C121" s="9" t="str">
        <f t="shared" si="1"/>
        <v>物理2-機械一甲</v>
      </c>
      <c r="D121" s="9" t="s">
        <v>13</v>
      </c>
      <c r="E121" s="9" t="s">
        <v>14</v>
      </c>
      <c r="F121" s="10">
        <v>51</v>
      </c>
      <c r="G121" s="10" t="s">
        <v>11</v>
      </c>
      <c r="H121" s="10">
        <v>2</v>
      </c>
      <c r="I121" s="43"/>
    </row>
    <row r="122" spans="1:9">
      <c r="A122" s="50" t="s">
        <v>1964</v>
      </c>
      <c r="B122" s="9" t="s">
        <v>7</v>
      </c>
      <c r="C122" s="9" t="str">
        <f t="shared" si="1"/>
        <v>物理2-機械一甲</v>
      </c>
      <c r="D122" s="9" t="s">
        <v>747</v>
      </c>
      <c r="E122" s="9" t="s">
        <v>748</v>
      </c>
      <c r="F122" s="10">
        <v>42</v>
      </c>
      <c r="G122" s="10" t="s">
        <v>11</v>
      </c>
      <c r="H122" s="10">
        <v>2</v>
      </c>
      <c r="I122" s="43"/>
    </row>
    <row r="123" spans="1:9">
      <c r="A123" s="50" t="s">
        <v>1964</v>
      </c>
      <c r="B123" s="9" t="s">
        <v>7</v>
      </c>
      <c r="C123" s="9" t="str">
        <f t="shared" si="1"/>
        <v>物理2-機械一甲</v>
      </c>
      <c r="D123" s="9" t="s">
        <v>15</v>
      </c>
      <c r="E123" s="9" t="s">
        <v>16</v>
      </c>
      <c r="F123" s="10">
        <v>40</v>
      </c>
      <c r="G123" s="10" t="s">
        <v>11</v>
      </c>
      <c r="H123" s="10">
        <v>2</v>
      </c>
      <c r="I123" s="43"/>
    </row>
    <row r="124" spans="1:9">
      <c r="A124" s="50" t="s">
        <v>1964</v>
      </c>
      <c r="B124" s="9" t="s">
        <v>7</v>
      </c>
      <c r="C124" s="9" t="str">
        <f t="shared" si="1"/>
        <v>物理2-機械一甲</v>
      </c>
      <c r="D124" s="9" t="s">
        <v>749</v>
      </c>
      <c r="E124" s="9" t="s">
        <v>750</v>
      </c>
      <c r="F124" s="10">
        <v>53</v>
      </c>
      <c r="G124" s="10" t="s">
        <v>11</v>
      </c>
      <c r="H124" s="10">
        <v>2</v>
      </c>
      <c r="I124" s="43"/>
    </row>
    <row r="125" spans="1:9">
      <c r="A125" s="50" t="s">
        <v>1964</v>
      </c>
      <c r="B125" s="9" t="s">
        <v>7</v>
      </c>
      <c r="C125" s="9" t="str">
        <f t="shared" si="1"/>
        <v>物理2-機械一甲</v>
      </c>
      <c r="D125" s="9" t="s">
        <v>17</v>
      </c>
      <c r="E125" s="9" t="s">
        <v>18</v>
      </c>
      <c r="F125" s="10">
        <v>45</v>
      </c>
      <c r="G125" s="10" t="s">
        <v>11</v>
      </c>
      <c r="H125" s="10">
        <v>2</v>
      </c>
      <c r="I125" s="43"/>
    </row>
    <row r="126" spans="1:9">
      <c r="A126" s="50" t="s">
        <v>1964</v>
      </c>
      <c r="B126" s="9" t="s">
        <v>7</v>
      </c>
      <c r="C126" s="9" t="str">
        <f t="shared" si="1"/>
        <v>物理2-機械一甲</v>
      </c>
      <c r="D126" s="9" t="s">
        <v>19</v>
      </c>
      <c r="E126" s="9" t="s">
        <v>20</v>
      </c>
      <c r="F126" s="10">
        <v>54</v>
      </c>
      <c r="G126" s="10" t="s">
        <v>11</v>
      </c>
      <c r="H126" s="10">
        <v>2</v>
      </c>
      <c r="I126" s="43"/>
    </row>
    <row r="127" spans="1:9">
      <c r="A127" s="50" t="s">
        <v>1964</v>
      </c>
      <c r="B127" s="9" t="s">
        <v>7</v>
      </c>
      <c r="C127" s="9" t="str">
        <f t="shared" si="1"/>
        <v>物理2-機械一甲</v>
      </c>
      <c r="D127" s="9" t="s">
        <v>23</v>
      </c>
      <c r="E127" s="9" t="s">
        <v>24</v>
      </c>
      <c r="F127" s="10">
        <v>44</v>
      </c>
      <c r="G127" s="10" t="s">
        <v>11</v>
      </c>
      <c r="H127" s="10">
        <v>2</v>
      </c>
      <c r="I127" s="43"/>
    </row>
    <row r="128" spans="1:9">
      <c r="A128" s="50" t="s">
        <v>1964</v>
      </c>
      <c r="B128" s="9" t="s">
        <v>7</v>
      </c>
      <c r="C128" s="9" t="str">
        <f t="shared" si="1"/>
        <v>物理2-機械一甲</v>
      </c>
      <c r="D128" s="9" t="s">
        <v>667</v>
      </c>
      <c r="E128" s="9" t="s">
        <v>668</v>
      </c>
      <c r="F128" s="10">
        <v>46</v>
      </c>
      <c r="G128" s="10" t="s">
        <v>11</v>
      </c>
      <c r="H128" s="10">
        <v>2</v>
      </c>
      <c r="I128" s="43"/>
    </row>
    <row r="129" spans="1:9">
      <c r="A129" s="50" t="s">
        <v>1964</v>
      </c>
      <c r="B129" s="9" t="s">
        <v>7</v>
      </c>
      <c r="C129" s="9" t="str">
        <f t="shared" si="1"/>
        <v>物理2-機械一甲</v>
      </c>
      <c r="D129" s="9" t="s">
        <v>548</v>
      </c>
      <c r="E129" s="9" t="s">
        <v>549</v>
      </c>
      <c r="F129" s="10">
        <v>45</v>
      </c>
      <c r="G129" s="10" t="s">
        <v>11</v>
      </c>
      <c r="H129" s="10">
        <v>2</v>
      </c>
      <c r="I129" s="43"/>
    </row>
    <row r="130" spans="1:9">
      <c r="A130" s="50" t="s">
        <v>1964</v>
      </c>
      <c r="B130" s="9" t="s">
        <v>7</v>
      </c>
      <c r="C130" s="9" t="str">
        <f t="shared" si="1"/>
        <v>物理2-機械一甲</v>
      </c>
      <c r="D130" s="9" t="s">
        <v>550</v>
      </c>
      <c r="E130" s="9" t="s">
        <v>551</v>
      </c>
      <c r="F130" s="10">
        <v>46</v>
      </c>
      <c r="G130" s="10" t="s">
        <v>11</v>
      </c>
      <c r="H130" s="10">
        <v>2</v>
      </c>
      <c r="I130" s="43"/>
    </row>
    <row r="131" spans="1:9">
      <c r="A131" s="48" t="s">
        <v>1956</v>
      </c>
      <c r="B131" s="9" t="s">
        <v>141</v>
      </c>
      <c r="C131" s="9" t="str">
        <f t="shared" ref="C131:C194" si="2">A131&amp;"-"&amp;B131</f>
        <v>物理A-應英一乙</v>
      </c>
      <c r="D131" s="9" t="s">
        <v>741</v>
      </c>
      <c r="E131" s="9" t="s">
        <v>742</v>
      </c>
      <c r="F131" s="10">
        <v>52</v>
      </c>
      <c r="G131" s="10" t="s">
        <v>11</v>
      </c>
      <c r="H131" s="10">
        <v>1</v>
      </c>
      <c r="I131" s="43"/>
    </row>
    <row r="132" spans="1:9">
      <c r="A132" s="48" t="s">
        <v>1956</v>
      </c>
      <c r="B132" s="9" t="s">
        <v>141</v>
      </c>
      <c r="C132" s="9" t="str">
        <f t="shared" si="2"/>
        <v>物理A-應英一乙</v>
      </c>
      <c r="D132" s="9" t="s">
        <v>572</v>
      </c>
      <c r="E132" s="9" t="s">
        <v>573</v>
      </c>
      <c r="F132" s="10">
        <v>46</v>
      </c>
      <c r="G132" s="10" t="s">
        <v>11</v>
      </c>
      <c r="H132" s="10">
        <v>1</v>
      </c>
      <c r="I132" s="43"/>
    </row>
    <row r="133" spans="1:9">
      <c r="A133" s="48" t="s">
        <v>1956</v>
      </c>
      <c r="B133" s="9" t="s">
        <v>141</v>
      </c>
      <c r="C133" s="9" t="str">
        <f t="shared" si="2"/>
        <v>物理A-應英一乙</v>
      </c>
      <c r="D133" s="9" t="s">
        <v>144</v>
      </c>
      <c r="E133" s="9" t="s">
        <v>145</v>
      </c>
      <c r="F133" s="10">
        <v>48</v>
      </c>
      <c r="G133" s="10" t="s">
        <v>11</v>
      </c>
      <c r="H133" s="10">
        <v>1</v>
      </c>
      <c r="I133" s="43"/>
    </row>
    <row r="134" spans="1:9">
      <c r="A134" s="48" t="s">
        <v>1956</v>
      </c>
      <c r="B134" s="9" t="s">
        <v>141</v>
      </c>
      <c r="C134" s="9" t="str">
        <f t="shared" si="2"/>
        <v>物理A-應英一乙</v>
      </c>
      <c r="D134" s="9" t="s">
        <v>146</v>
      </c>
      <c r="E134" s="9" t="s">
        <v>147</v>
      </c>
      <c r="F134" s="10">
        <v>50</v>
      </c>
      <c r="G134" s="10" t="s">
        <v>11</v>
      </c>
      <c r="H134" s="10">
        <v>1</v>
      </c>
      <c r="I134" s="43"/>
    </row>
    <row r="135" spans="1:9">
      <c r="A135" s="48" t="s">
        <v>1956</v>
      </c>
      <c r="B135" s="9" t="s">
        <v>141</v>
      </c>
      <c r="C135" s="9" t="str">
        <f t="shared" si="2"/>
        <v>物理A-應英一乙</v>
      </c>
      <c r="D135" s="9" t="s">
        <v>576</v>
      </c>
      <c r="E135" s="9" t="s">
        <v>577</v>
      </c>
      <c r="F135" s="10">
        <v>50</v>
      </c>
      <c r="G135" s="10" t="s">
        <v>11</v>
      </c>
      <c r="H135" s="10">
        <v>1</v>
      </c>
      <c r="I135" s="43"/>
    </row>
    <row r="136" spans="1:9">
      <c r="A136" s="48" t="s">
        <v>1956</v>
      </c>
      <c r="B136" s="9" t="s">
        <v>141</v>
      </c>
      <c r="C136" s="9" t="str">
        <f t="shared" si="2"/>
        <v>物理A-應英一乙</v>
      </c>
      <c r="D136" s="9" t="s">
        <v>743</v>
      </c>
      <c r="E136" s="9" t="s">
        <v>744</v>
      </c>
      <c r="F136" s="10">
        <v>46</v>
      </c>
      <c r="G136" s="10" t="s">
        <v>11</v>
      </c>
      <c r="H136" s="10">
        <v>1</v>
      </c>
      <c r="I136" s="43"/>
    </row>
    <row r="137" spans="1:9">
      <c r="A137" s="48" t="s">
        <v>1956</v>
      </c>
      <c r="B137" s="9" t="s">
        <v>141</v>
      </c>
      <c r="C137" s="9" t="str">
        <f t="shared" si="2"/>
        <v>物理A-應英一乙</v>
      </c>
      <c r="D137" s="9" t="s">
        <v>152</v>
      </c>
      <c r="E137" s="9" t="s">
        <v>153</v>
      </c>
      <c r="F137" s="10">
        <v>40</v>
      </c>
      <c r="G137" s="10" t="s">
        <v>11</v>
      </c>
      <c r="H137" s="10">
        <v>1</v>
      </c>
      <c r="I137" s="43"/>
    </row>
    <row r="138" spans="1:9">
      <c r="A138" s="48" t="s">
        <v>1956</v>
      </c>
      <c r="B138" s="9" t="s">
        <v>141</v>
      </c>
      <c r="C138" s="9" t="str">
        <f t="shared" si="2"/>
        <v>物理A-應英一乙</v>
      </c>
      <c r="D138" s="9" t="s">
        <v>154</v>
      </c>
      <c r="E138" s="9" t="s">
        <v>155</v>
      </c>
      <c r="F138" s="10">
        <v>40</v>
      </c>
      <c r="G138" s="10" t="s">
        <v>11</v>
      </c>
      <c r="H138" s="10">
        <v>1</v>
      </c>
      <c r="I138" s="43"/>
    </row>
    <row r="139" spans="1:9">
      <c r="A139" s="48" t="s">
        <v>1956</v>
      </c>
      <c r="B139" s="9" t="s">
        <v>141</v>
      </c>
      <c r="C139" s="9" t="str">
        <f t="shared" si="2"/>
        <v>物理A-應英一乙</v>
      </c>
      <c r="D139" s="9" t="s">
        <v>156</v>
      </c>
      <c r="E139" s="9" t="s">
        <v>157</v>
      </c>
      <c r="F139" s="10">
        <v>40</v>
      </c>
      <c r="G139" s="10" t="s">
        <v>11</v>
      </c>
      <c r="H139" s="10">
        <v>1</v>
      </c>
      <c r="I139" s="43"/>
    </row>
    <row r="140" spans="1:9">
      <c r="A140" s="48" t="s">
        <v>1956</v>
      </c>
      <c r="B140" s="9" t="s">
        <v>239</v>
      </c>
      <c r="C140" s="9" t="str">
        <f t="shared" si="2"/>
        <v>物理A-應英一甲</v>
      </c>
      <c r="D140" s="9" t="s">
        <v>562</v>
      </c>
      <c r="E140" s="9" t="s">
        <v>563</v>
      </c>
      <c r="F140" s="10">
        <v>50</v>
      </c>
      <c r="G140" s="10" t="s">
        <v>11</v>
      </c>
      <c r="H140" s="10">
        <v>1</v>
      </c>
      <c r="I140" s="43"/>
    </row>
    <row r="141" spans="1:9">
      <c r="A141" s="48" t="s">
        <v>1956</v>
      </c>
      <c r="B141" s="9" t="s">
        <v>239</v>
      </c>
      <c r="C141" s="9" t="str">
        <f t="shared" si="2"/>
        <v>物理A-應英一甲</v>
      </c>
      <c r="D141" s="9" t="s">
        <v>240</v>
      </c>
      <c r="E141" s="9" t="s">
        <v>241</v>
      </c>
      <c r="F141" s="10">
        <v>46</v>
      </c>
      <c r="G141" s="10" t="s">
        <v>11</v>
      </c>
      <c r="H141" s="10">
        <v>1</v>
      </c>
      <c r="I141" s="43"/>
    </row>
    <row r="142" spans="1:9">
      <c r="A142" s="48" t="s">
        <v>1956</v>
      </c>
      <c r="B142" s="9" t="s">
        <v>239</v>
      </c>
      <c r="C142" s="9" t="str">
        <f t="shared" si="2"/>
        <v>物理A-應英一甲</v>
      </c>
      <c r="D142" s="9" t="s">
        <v>733</v>
      </c>
      <c r="E142" s="9" t="s">
        <v>734</v>
      </c>
      <c r="F142" s="10">
        <v>48</v>
      </c>
      <c r="G142" s="10" t="s">
        <v>11</v>
      </c>
      <c r="H142" s="10">
        <v>1</v>
      </c>
      <c r="I142" s="43"/>
    </row>
    <row r="143" spans="1:9">
      <c r="A143" s="48" t="s">
        <v>1956</v>
      </c>
      <c r="B143" s="9" t="s">
        <v>239</v>
      </c>
      <c r="C143" s="9" t="str">
        <f t="shared" si="2"/>
        <v>物理A-應英一甲</v>
      </c>
      <c r="D143" s="9" t="s">
        <v>735</v>
      </c>
      <c r="E143" s="9" t="s">
        <v>736</v>
      </c>
      <c r="F143" s="10">
        <v>44</v>
      </c>
      <c r="G143" s="10" t="s">
        <v>11</v>
      </c>
      <c r="H143" s="10">
        <v>1</v>
      </c>
      <c r="I143" s="43"/>
    </row>
    <row r="144" spans="1:9">
      <c r="A144" s="48" t="s">
        <v>1956</v>
      </c>
      <c r="B144" s="9" t="s">
        <v>239</v>
      </c>
      <c r="C144" s="9" t="str">
        <f t="shared" si="2"/>
        <v>物理A-應英一甲</v>
      </c>
      <c r="D144" s="9" t="s">
        <v>737</v>
      </c>
      <c r="E144" s="9" t="s">
        <v>738</v>
      </c>
      <c r="F144" s="10">
        <v>54</v>
      </c>
      <c r="G144" s="10" t="s">
        <v>11</v>
      </c>
      <c r="H144" s="10">
        <v>1</v>
      </c>
      <c r="I144" s="43"/>
    </row>
    <row r="145" spans="1:9">
      <c r="A145" s="48" t="s">
        <v>1956</v>
      </c>
      <c r="B145" s="9" t="s">
        <v>239</v>
      </c>
      <c r="C145" s="9" t="str">
        <f t="shared" si="2"/>
        <v>物理A-應英一甲</v>
      </c>
      <c r="D145" s="9" t="s">
        <v>739</v>
      </c>
      <c r="E145" s="9" t="s">
        <v>740</v>
      </c>
      <c r="F145" s="10">
        <v>50</v>
      </c>
      <c r="G145" s="10" t="s">
        <v>11</v>
      </c>
      <c r="H145" s="10">
        <v>1</v>
      </c>
      <c r="I145" s="43"/>
    </row>
    <row r="146" spans="1:9">
      <c r="A146" s="48" t="s">
        <v>1956</v>
      </c>
      <c r="B146" s="9" t="s">
        <v>239</v>
      </c>
      <c r="C146" s="9" t="str">
        <f t="shared" si="2"/>
        <v>物理A-應英一甲</v>
      </c>
      <c r="D146" s="9" t="s">
        <v>566</v>
      </c>
      <c r="E146" s="9" t="s">
        <v>567</v>
      </c>
      <c r="F146" s="10">
        <v>48</v>
      </c>
      <c r="G146" s="10" t="s">
        <v>11</v>
      </c>
      <c r="H146" s="10">
        <v>1</v>
      </c>
      <c r="I146" s="43"/>
    </row>
    <row r="147" spans="1:9">
      <c r="A147" s="48" t="s">
        <v>1890</v>
      </c>
      <c r="B147" s="9" t="s">
        <v>246</v>
      </c>
      <c r="C147" s="9" t="str">
        <f t="shared" si="2"/>
        <v>物理2-鑄造一乙</v>
      </c>
      <c r="D147" s="9" t="s">
        <v>249</v>
      </c>
      <c r="E147" s="9" t="s">
        <v>250</v>
      </c>
      <c r="F147" s="10">
        <v>40</v>
      </c>
      <c r="G147" s="10" t="s">
        <v>11</v>
      </c>
      <c r="H147" s="10">
        <v>2</v>
      </c>
      <c r="I147" s="43"/>
    </row>
    <row r="148" spans="1:9">
      <c r="A148" s="48" t="s">
        <v>1890</v>
      </c>
      <c r="B148" s="9" t="s">
        <v>246</v>
      </c>
      <c r="C148" s="9" t="str">
        <f t="shared" si="2"/>
        <v>物理2-鑄造一乙</v>
      </c>
      <c r="D148" s="9" t="s">
        <v>251</v>
      </c>
      <c r="E148" s="9" t="s">
        <v>252</v>
      </c>
      <c r="F148" s="10">
        <v>40</v>
      </c>
      <c r="G148" s="10" t="s">
        <v>11</v>
      </c>
      <c r="H148" s="10">
        <v>2</v>
      </c>
      <c r="I148" s="43"/>
    </row>
    <row r="149" spans="1:9">
      <c r="A149" s="48" t="s">
        <v>1890</v>
      </c>
      <c r="B149" s="9" t="s">
        <v>246</v>
      </c>
      <c r="C149" s="9" t="str">
        <f t="shared" si="2"/>
        <v>物理2-鑄造一乙</v>
      </c>
      <c r="D149" s="9" t="s">
        <v>253</v>
      </c>
      <c r="E149" s="9" t="s">
        <v>254</v>
      </c>
      <c r="F149" s="10">
        <v>40</v>
      </c>
      <c r="G149" s="10" t="s">
        <v>11</v>
      </c>
      <c r="H149" s="10">
        <v>2</v>
      </c>
      <c r="I149" s="43"/>
    </row>
    <row r="150" spans="1:9">
      <c r="A150" s="48" t="s">
        <v>1890</v>
      </c>
      <c r="B150" s="9" t="s">
        <v>246</v>
      </c>
      <c r="C150" s="9" t="str">
        <f t="shared" si="2"/>
        <v>物理2-鑄造一乙</v>
      </c>
      <c r="D150" s="9" t="s">
        <v>255</v>
      </c>
      <c r="E150" s="9" t="s">
        <v>256</v>
      </c>
      <c r="F150" s="10">
        <v>48</v>
      </c>
      <c r="G150" s="10" t="s">
        <v>11</v>
      </c>
      <c r="H150" s="10">
        <v>2</v>
      </c>
      <c r="I150" s="43"/>
    </row>
    <row r="151" spans="1:9">
      <c r="A151" s="48" t="s">
        <v>1890</v>
      </c>
      <c r="B151" s="9" t="s">
        <v>246</v>
      </c>
      <c r="C151" s="9" t="str">
        <f t="shared" si="2"/>
        <v>物理2-鑄造一乙</v>
      </c>
      <c r="D151" s="9" t="s">
        <v>259</v>
      </c>
      <c r="E151" s="9" t="s">
        <v>260</v>
      </c>
      <c r="F151" s="10">
        <v>40</v>
      </c>
      <c r="G151" s="10" t="s">
        <v>11</v>
      </c>
      <c r="H151" s="10">
        <v>2</v>
      </c>
      <c r="I151" s="43"/>
    </row>
    <row r="152" spans="1:9">
      <c r="A152" s="48" t="s">
        <v>1890</v>
      </c>
      <c r="B152" s="9" t="s">
        <v>246</v>
      </c>
      <c r="C152" s="9" t="str">
        <f t="shared" si="2"/>
        <v>物理2-鑄造一乙</v>
      </c>
      <c r="D152" s="9" t="s">
        <v>413</v>
      </c>
      <c r="E152" s="9" t="s">
        <v>414</v>
      </c>
      <c r="F152" s="10">
        <v>44</v>
      </c>
      <c r="G152" s="10" t="s">
        <v>11</v>
      </c>
      <c r="H152" s="10">
        <v>2</v>
      </c>
      <c r="I152" s="43"/>
    </row>
    <row r="153" spans="1:9">
      <c r="A153" s="48" t="s">
        <v>1890</v>
      </c>
      <c r="B153" s="9" t="s">
        <v>246</v>
      </c>
      <c r="C153" s="9" t="str">
        <f t="shared" si="2"/>
        <v>物理2-鑄造一乙</v>
      </c>
      <c r="D153" s="9" t="s">
        <v>267</v>
      </c>
      <c r="E153" s="9" t="s">
        <v>268</v>
      </c>
      <c r="F153" s="10">
        <v>40</v>
      </c>
      <c r="G153" s="10" t="s">
        <v>11</v>
      </c>
      <c r="H153" s="10">
        <v>2</v>
      </c>
      <c r="I153" s="43"/>
    </row>
    <row r="154" spans="1:9">
      <c r="A154" s="48" t="s">
        <v>1890</v>
      </c>
      <c r="B154" s="9" t="s">
        <v>246</v>
      </c>
      <c r="C154" s="9" t="str">
        <f t="shared" si="2"/>
        <v>物理2-鑄造一乙</v>
      </c>
      <c r="D154" s="9" t="s">
        <v>269</v>
      </c>
      <c r="E154" s="9" t="s">
        <v>270</v>
      </c>
      <c r="F154" s="10">
        <v>50</v>
      </c>
      <c r="G154" s="10" t="s">
        <v>11</v>
      </c>
      <c r="H154" s="10">
        <v>2</v>
      </c>
      <c r="I154" s="43"/>
    </row>
    <row r="155" spans="1:9">
      <c r="A155" s="48" t="s">
        <v>1890</v>
      </c>
      <c r="B155" s="9" t="s">
        <v>246</v>
      </c>
      <c r="C155" s="9" t="str">
        <f t="shared" si="2"/>
        <v>物理2-鑄造一乙</v>
      </c>
      <c r="D155" s="9" t="s">
        <v>271</v>
      </c>
      <c r="E155" s="9" t="s">
        <v>272</v>
      </c>
      <c r="F155" s="10">
        <v>44</v>
      </c>
      <c r="G155" s="10" t="s">
        <v>11</v>
      </c>
      <c r="H155" s="10">
        <v>2</v>
      </c>
      <c r="I155" s="43"/>
    </row>
    <row r="156" spans="1:9">
      <c r="A156" s="48" t="s">
        <v>1890</v>
      </c>
      <c r="B156" s="9" t="s">
        <v>246</v>
      </c>
      <c r="C156" s="9" t="str">
        <f t="shared" si="2"/>
        <v>物理2-鑄造一乙</v>
      </c>
      <c r="D156" s="9" t="s">
        <v>598</v>
      </c>
      <c r="E156" s="9" t="s">
        <v>599</v>
      </c>
      <c r="F156" s="10">
        <v>50</v>
      </c>
      <c r="G156" s="10" t="s">
        <v>11</v>
      </c>
      <c r="H156" s="10">
        <v>2</v>
      </c>
      <c r="I156" s="43"/>
    </row>
    <row r="157" spans="1:9">
      <c r="A157" s="48" t="s">
        <v>1890</v>
      </c>
      <c r="B157" s="9" t="s">
        <v>25</v>
      </c>
      <c r="C157" s="9" t="str">
        <f t="shared" si="2"/>
        <v>物理2-鑄造一甲</v>
      </c>
      <c r="D157" s="9" t="s">
        <v>710</v>
      </c>
      <c r="E157" s="9" t="s">
        <v>711</v>
      </c>
      <c r="F157" s="10">
        <v>31</v>
      </c>
      <c r="G157" s="10" t="s">
        <v>11</v>
      </c>
      <c r="H157" s="10">
        <v>2</v>
      </c>
      <c r="I157" s="43"/>
    </row>
    <row r="158" spans="1:9">
      <c r="A158" s="48" t="s">
        <v>1890</v>
      </c>
      <c r="B158" s="9" t="s">
        <v>25</v>
      </c>
      <c r="C158" s="9" t="str">
        <f t="shared" si="2"/>
        <v>物理2-鑄造一甲</v>
      </c>
      <c r="D158" s="9" t="s">
        <v>30</v>
      </c>
      <c r="E158" s="9" t="s">
        <v>31</v>
      </c>
      <c r="F158" s="10">
        <v>51</v>
      </c>
      <c r="G158" s="10" t="s">
        <v>11</v>
      </c>
      <c r="H158" s="10">
        <v>2</v>
      </c>
      <c r="I158" s="43"/>
    </row>
    <row r="159" spans="1:9">
      <c r="A159" s="48" t="s">
        <v>1890</v>
      </c>
      <c r="B159" s="9" t="s">
        <v>25</v>
      </c>
      <c r="C159" s="9" t="str">
        <f t="shared" si="2"/>
        <v>物理2-鑄造一甲</v>
      </c>
      <c r="D159" s="9" t="s">
        <v>713</v>
      </c>
      <c r="E159" s="9" t="s">
        <v>714</v>
      </c>
      <c r="F159" s="10">
        <v>40</v>
      </c>
      <c r="G159" s="10" t="s">
        <v>11</v>
      </c>
      <c r="H159" s="10">
        <v>2</v>
      </c>
      <c r="I159" s="43"/>
    </row>
    <row r="160" spans="1:9">
      <c r="A160" s="48" t="s">
        <v>1890</v>
      </c>
      <c r="B160" s="9" t="s">
        <v>25</v>
      </c>
      <c r="C160" s="9" t="str">
        <f t="shared" si="2"/>
        <v>物理2-鑄造一甲</v>
      </c>
      <c r="D160" s="9" t="s">
        <v>347</v>
      </c>
      <c r="E160" s="9" t="s">
        <v>348</v>
      </c>
      <c r="F160" s="10">
        <v>49</v>
      </c>
      <c r="G160" s="10" t="s">
        <v>11</v>
      </c>
      <c r="H160" s="10">
        <v>2</v>
      </c>
      <c r="I160" s="43"/>
    </row>
    <row r="161" spans="1:9">
      <c r="A161" s="48" t="s">
        <v>1890</v>
      </c>
      <c r="B161" s="9" t="s">
        <v>25</v>
      </c>
      <c r="C161" s="9" t="str">
        <f t="shared" si="2"/>
        <v>物理2-鑄造一甲</v>
      </c>
      <c r="D161" s="9" t="s">
        <v>671</v>
      </c>
      <c r="E161" s="9" t="s">
        <v>672</v>
      </c>
      <c r="F161" s="10">
        <v>45</v>
      </c>
      <c r="G161" s="10" t="s">
        <v>11</v>
      </c>
      <c r="H161" s="10">
        <v>2</v>
      </c>
      <c r="I161" s="43"/>
    </row>
    <row r="162" spans="1:9">
      <c r="A162" s="48" t="s">
        <v>1890</v>
      </c>
      <c r="B162" s="9" t="s">
        <v>25</v>
      </c>
      <c r="C162" s="9" t="str">
        <f t="shared" si="2"/>
        <v>物理2-鑄造一甲</v>
      </c>
      <c r="D162" s="9" t="s">
        <v>38</v>
      </c>
      <c r="E162" s="9" t="s">
        <v>39</v>
      </c>
      <c r="F162" s="10">
        <v>40</v>
      </c>
      <c r="G162" s="10" t="s">
        <v>11</v>
      </c>
      <c r="H162" s="10">
        <v>2</v>
      </c>
      <c r="I162" s="43"/>
    </row>
    <row r="163" spans="1:9">
      <c r="A163" s="48" t="s">
        <v>1890</v>
      </c>
      <c r="B163" s="9" t="s">
        <v>25</v>
      </c>
      <c r="C163" s="9" t="str">
        <f t="shared" si="2"/>
        <v>物理2-鑄造一甲</v>
      </c>
      <c r="D163" s="9" t="s">
        <v>703</v>
      </c>
      <c r="E163" s="9" t="s">
        <v>704</v>
      </c>
      <c r="F163" s="10">
        <v>50</v>
      </c>
      <c r="G163" s="10" t="s">
        <v>11</v>
      </c>
      <c r="H163" s="10">
        <v>2</v>
      </c>
      <c r="I163" s="43"/>
    </row>
    <row r="164" spans="1:9">
      <c r="A164" s="48" t="s">
        <v>1890</v>
      </c>
      <c r="B164" s="9" t="s">
        <v>25</v>
      </c>
      <c r="C164" s="9" t="str">
        <f t="shared" si="2"/>
        <v>物理2-鑄造一甲</v>
      </c>
      <c r="D164" s="9" t="s">
        <v>40</v>
      </c>
      <c r="E164" s="9" t="s">
        <v>41</v>
      </c>
      <c r="F164" s="10">
        <v>46</v>
      </c>
      <c r="G164" s="10" t="s">
        <v>11</v>
      </c>
      <c r="H164" s="10">
        <v>2</v>
      </c>
      <c r="I164" s="43"/>
    </row>
    <row r="165" spans="1:9">
      <c r="A165" s="48" t="s">
        <v>1890</v>
      </c>
      <c r="B165" s="9" t="s">
        <v>25</v>
      </c>
      <c r="C165" s="9" t="str">
        <f t="shared" si="2"/>
        <v>物理2-鑄造一甲</v>
      </c>
      <c r="D165" s="9" t="s">
        <v>42</v>
      </c>
      <c r="E165" s="9" t="s">
        <v>43</v>
      </c>
      <c r="F165" s="10">
        <v>51</v>
      </c>
      <c r="G165" s="10" t="s">
        <v>11</v>
      </c>
      <c r="H165" s="10">
        <v>2</v>
      </c>
      <c r="I165" s="43"/>
    </row>
    <row r="166" spans="1:9">
      <c r="A166" s="48" t="s">
        <v>1890</v>
      </c>
      <c r="B166" s="9" t="s">
        <v>25</v>
      </c>
      <c r="C166" s="9" t="str">
        <f t="shared" si="2"/>
        <v>物理2-鑄造一甲</v>
      </c>
      <c r="D166" s="9" t="s">
        <v>349</v>
      </c>
      <c r="E166" s="9" t="s">
        <v>350</v>
      </c>
      <c r="F166" s="10">
        <v>47</v>
      </c>
      <c r="G166" s="10" t="s">
        <v>11</v>
      </c>
      <c r="H166" s="10">
        <v>2</v>
      </c>
      <c r="I166" s="43"/>
    </row>
    <row r="167" spans="1:9">
      <c r="A167" s="48" t="s">
        <v>1886</v>
      </c>
      <c r="B167" s="9" t="s">
        <v>174</v>
      </c>
      <c r="C167" s="9" t="str">
        <f t="shared" si="2"/>
        <v>英語文2-汽車一乙</v>
      </c>
      <c r="D167" s="9" t="s">
        <v>491</v>
      </c>
      <c r="E167" s="9" t="s">
        <v>492</v>
      </c>
      <c r="F167" s="10">
        <v>43</v>
      </c>
      <c r="G167" s="10" t="s">
        <v>11</v>
      </c>
      <c r="H167" s="10">
        <v>2</v>
      </c>
      <c r="I167" s="43"/>
    </row>
    <row r="168" spans="1:9">
      <c r="A168" s="48" t="s">
        <v>1886</v>
      </c>
      <c r="B168" s="9" t="s">
        <v>174</v>
      </c>
      <c r="C168" s="9" t="str">
        <f t="shared" si="2"/>
        <v>英語文2-汽車一乙</v>
      </c>
      <c r="D168" s="9" t="s">
        <v>175</v>
      </c>
      <c r="E168" s="9" t="s">
        <v>176</v>
      </c>
      <c r="F168" s="10">
        <v>41</v>
      </c>
      <c r="G168" s="10" t="s">
        <v>11</v>
      </c>
      <c r="H168" s="10">
        <v>2</v>
      </c>
      <c r="I168" s="43"/>
    </row>
    <row r="169" spans="1:9">
      <c r="A169" s="48" t="s">
        <v>1886</v>
      </c>
      <c r="B169" s="9" t="s">
        <v>174</v>
      </c>
      <c r="C169" s="9" t="str">
        <f t="shared" si="2"/>
        <v>英語文2-汽車一乙</v>
      </c>
      <c r="D169" s="9" t="s">
        <v>493</v>
      </c>
      <c r="E169" s="9" t="s">
        <v>494</v>
      </c>
      <c r="F169" s="10">
        <v>49</v>
      </c>
      <c r="G169" s="10" t="s">
        <v>11</v>
      </c>
      <c r="H169" s="10">
        <v>2</v>
      </c>
      <c r="I169" s="43"/>
    </row>
    <row r="170" spans="1:9">
      <c r="A170" s="48" t="s">
        <v>1886</v>
      </c>
      <c r="B170" s="9" t="s">
        <v>174</v>
      </c>
      <c r="C170" s="9" t="str">
        <f t="shared" si="2"/>
        <v>英語文2-汽車一乙</v>
      </c>
      <c r="D170" s="9" t="s">
        <v>495</v>
      </c>
      <c r="E170" s="9" t="s">
        <v>496</v>
      </c>
      <c r="F170" s="10">
        <v>50</v>
      </c>
      <c r="G170" s="10" t="s">
        <v>11</v>
      </c>
      <c r="H170" s="10">
        <v>2</v>
      </c>
      <c r="I170" s="43"/>
    </row>
    <row r="171" spans="1:9">
      <c r="A171" s="48" t="s">
        <v>1886</v>
      </c>
      <c r="B171" s="9" t="s">
        <v>174</v>
      </c>
      <c r="C171" s="9" t="str">
        <f t="shared" si="2"/>
        <v>英語文2-汽車一乙</v>
      </c>
      <c r="D171" s="9" t="s">
        <v>497</v>
      </c>
      <c r="E171" s="9" t="s">
        <v>498</v>
      </c>
      <c r="F171" s="10">
        <v>48</v>
      </c>
      <c r="G171" s="10" t="s">
        <v>11</v>
      </c>
      <c r="H171" s="10">
        <v>2</v>
      </c>
      <c r="I171" s="43"/>
    </row>
    <row r="172" spans="1:9">
      <c r="A172" s="48" t="s">
        <v>1886</v>
      </c>
      <c r="B172" s="9" t="s">
        <v>174</v>
      </c>
      <c r="C172" s="9" t="str">
        <f t="shared" si="2"/>
        <v>英語文2-汽車一乙</v>
      </c>
      <c r="D172" s="9" t="s">
        <v>183</v>
      </c>
      <c r="E172" s="9" t="s">
        <v>184</v>
      </c>
      <c r="F172" s="10">
        <v>51</v>
      </c>
      <c r="G172" s="10" t="s">
        <v>11</v>
      </c>
      <c r="H172" s="10">
        <v>2</v>
      </c>
      <c r="I172" s="43"/>
    </row>
    <row r="173" spans="1:9">
      <c r="A173" s="48" t="s">
        <v>1886</v>
      </c>
      <c r="B173" s="9" t="s">
        <v>174</v>
      </c>
      <c r="C173" s="9" t="str">
        <f t="shared" si="2"/>
        <v>英語文2-汽車一乙</v>
      </c>
      <c r="D173" s="9" t="s">
        <v>187</v>
      </c>
      <c r="E173" s="9" t="s">
        <v>188</v>
      </c>
      <c r="F173" s="10">
        <v>50</v>
      </c>
      <c r="G173" s="10" t="s">
        <v>11</v>
      </c>
      <c r="H173" s="10">
        <v>2</v>
      </c>
      <c r="I173" s="43"/>
    </row>
    <row r="174" spans="1:9">
      <c r="A174" s="48" t="s">
        <v>1886</v>
      </c>
      <c r="B174" s="9" t="s">
        <v>174</v>
      </c>
      <c r="C174" s="9" t="str">
        <f t="shared" si="2"/>
        <v>英語文2-汽車一乙</v>
      </c>
      <c r="D174" s="9" t="s">
        <v>499</v>
      </c>
      <c r="E174" s="9" t="s">
        <v>500</v>
      </c>
      <c r="F174" s="10">
        <v>43</v>
      </c>
      <c r="G174" s="10" t="s">
        <v>11</v>
      </c>
      <c r="H174" s="10">
        <v>2</v>
      </c>
      <c r="I174" s="43"/>
    </row>
    <row r="175" spans="1:9">
      <c r="A175" s="48" t="s">
        <v>1886</v>
      </c>
      <c r="B175" s="9" t="s">
        <v>174</v>
      </c>
      <c r="C175" s="9" t="str">
        <f t="shared" si="2"/>
        <v>英語文2-汽車一乙</v>
      </c>
      <c r="D175" s="9" t="s">
        <v>189</v>
      </c>
      <c r="E175" s="9" t="s">
        <v>190</v>
      </c>
      <c r="F175" s="10">
        <v>54</v>
      </c>
      <c r="G175" s="10" t="s">
        <v>11</v>
      </c>
      <c r="H175" s="10">
        <v>2</v>
      </c>
      <c r="I175" s="43"/>
    </row>
    <row r="176" spans="1:9">
      <c r="A176" s="48" t="s">
        <v>1886</v>
      </c>
      <c r="B176" s="9" t="s">
        <v>174</v>
      </c>
      <c r="C176" s="9" t="str">
        <f t="shared" si="2"/>
        <v>英語文2-汽車一乙</v>
      </c>
      <c r="D176" s="9" t="s">
        <v>191</v>
      </c>
      <c r="E176" s="9" t="s">
        <v>151</v>
      </c>
      <c r="F176" s="10">
        <v>42</v>
      </c>
      <c r="G176" s="10" t="s">
        <v>11</v>
      </c>
      <c r="H176" s="10">
        <v>2</v>
      </c>
      <c r="I176" s="43"/>
    </row>
    <row r="177" spans="1:9">
      <c r="A177" s="48" t="s">
        <v>1886</v>
      </c>
      <c r="B177" s="9" t="s">
        <v>174</v>
      </c>
      <c r="C177" s="9" t="str">
        <f t="shared" si="2"/>
        <v>英語文2-汽車一乙</v>
      </c>
      <c r="D177" s="9" t="s">
        <v>192</v>
      </c>
      <c r="E177" s="9" t="s">
        <v>193</v>
      </c>
      <c r="F177" s="10">
        <v>40</v>
      </c>
      <c r="G177" s="10" t="s">
        <v>11</v>
      </c>
      <c r="H177" s="10">
        <v>2</v>
      </c>
      <c r="I177" s="43"/>
    </row>
    <row r="178" spans="1:9">
      <c r="A178" s="48" t="s">
        <v>1886</v>
      </c>
      <c r="B178" s="9" t="s">
        <v>174</v>
      </c>
      <c r="C178" s="9" t="str">
        <f t="shared" si="2"/>
        <v>英語文2-汽車一乙</v>
      </c>
      <c r="D178" s="9" t="s">
        <v>501</v>
      </c>
      <c r="E178" s="9" t="s">
        <v>502</v>
      </c>
      <c r="F178" s="10">
        <v>40</v>
      </c>
      <c r="G178" s="10" t="s">
        <v>11</v>
      </c>
      <c r="H178" s="10">
        <v>2</v>
      </c>
      <c r="I178" s="43"/>
    </row>
    <row r="179" spans="1:9">
      <c r="A179" s="48" t="s">
        <v>1886</v>
      </c>
      <c r="B179" s="9" t="s">
        <v>174</v>
      </c>
      <c r="C179" s="9" t="str">
        <f t="shared" si="2"/>
        <v>英語文2-汽車一乙</v>
      </c>
      <c r="D179" s="9" t="s">
        <v>503</v>
      </c>
      <c r="E179" s="9" t="s">
        <v>504</v>
      </c>
      <c r="F179" s="10">
        <v>41</v>
      </c>
      <c r="G179" s="10" t="s">
        <v>11</v>
      </c>
      <c r="H179" s="10">
        <v>2</v>
      </c>
      <c r="I179" s="43"/>
    </row>
    <row r="180" spans="1:9">
      <c r="A180" s="48" t="s">
        <v>1886</v>
      </c>
      <c r="B180" s="9" t="s">
        <v>174</v>
      </c>
      <c r="C180" s="9" t="str">
        <f t="shared" si="2"/>
        <v>英語文2-汽車一乙</v>
      </c>
      <c r="D180" s="9" t="s">
        <v>505</v>
      </c>
      <c r="E180" s="9" t="s">
        <v>506</v>
      </c>
      <c r="F180" s="10">
        <v>49</v>
      </c>
      <c r="G180" s="10" t="s">
        <v>11</v>
      </c>
      <c r="H180" s="10">
        <v>2</v>
      </c>
      <c r="I180" s="43"/>
    </row>
    <row r="181" spans="1:9">
      <c r="A181" s="48" t="s">
        <v>1886</v>
      </c>
      <c r="B181" s="9" t="s">
        <v>279</v>
      </c>
      <c r="C181" s="9" t="str">
        <f t="shared" si="2"/>
        <v>英語文2-汽車一甲</v>
      </c>
      <c r="D181" s="9" t="s">
        <v>280</v>
      </c>
      <c r="E181" s="9" t="s">
        <v>281</v>
      </c>
      <c r="F181" s="10">
        <v>45</v>
      </c>
      <c r="G181" s="10" t="s">
        <v>11</v>
      </c>
      <c r="H181" s="10">
        <v>2</v>
      </c>
      <c r="I181" s="43"/>
    </row>
    <row r="182" spans="1:9">
      <c r="A182" s="48" t="s">
        <v>1886</v>
      </c>
      <c r="B182" s="9" t="s">
        <v>279</v>
      </c>
      <c r="C182" s="9" t="str">
        <f t="shared" si="2"/>
        <v>英語文2-汽車一甲</v>
      </c>
      <c r="D182" s="9" t="s">
        <v>282</v>
      </c>
      <c r="E182" s="9" t="s">
        <v>283</v>
      </c>
      <c r="F182" s="10">
        <v>40</v>
      </c>
      <c r="G182" s="10" t="s">
        <v>11</v>
      </c>
      <c r="H182" s="10">
        <v>2</v>
      </c>
      <c r="I182" s="43"/>
    </row>
    <row r="183" spans="1:9">
      <c r="A183" s="48" t="s">
        <v>1886</v>
      </c>
      <c r="B183" s="9" t="s">
        <v>279</v>
      </c>
      <c r="C183" s="9" t="str">
        <f t="shared" si="2"/>
        <v>英語文2-汽車一甲</v>
      </c>
      <c r="D183" s="9" t="s">
        <v>353</v>
      </c>
      <c r="E183" s="9" t="s">
        <v>354</v>
      </c>
      <c r="F183" s="10">
        <v>44</v>
      </c>
      <c r="G183" s="10" t="s">
        <v>11</v>
      </c>
      <c r="H183" s="10">
        <v>2</v>
      </c>
      <c r="I183" s="43"/>
    </row>
    <row r="184" spans="1:9">
      <c r="A184" s="48" t="s">
        <v>1886</v>
      </c>
      <c r="B184" s="9" t="s">
        <v>279</v>
      </c>
      <c r="C184" s="9" t="str">
        <f t="shared" si="2"/>
        <v>英語文2-汽車一甲</v>
      </c>
      <c r="D184" s="9" t="s">
        <v>355</v>
      </c>
      <c r="E184" s="9" t="s">
        <v>356</v>
      </c>
      <c r="F184" s="10">
        <v>45</v>
      </c>
      <c r="G184" s="10" t="s">
        <v>11</v>
      </c>
      <c r="H184" s="10">
        <v>2</v>
      </c>
      <c r="I184" s="43"/>
    </row>
    <row r="185" spans="1:9">
      <c r="A185" s="48" t="s">
        <v>1886</v>
      </c>
      <c r="B185" s="9" t="s">
        <v>279</v>
      </c>
      <c r="C185" s="9" t="str">
        <f t="shared" si="2"/>
        <v>英語文2-汽車一甲</v>
      </c>
      <c r="D185" s="9" t="s">
        <v>286</v>
      </c>
      <c r="E185" s="9" t="s">
        <v>287</v>
      </c>
      <c r="F185" s="10">
        <v>47</v>
      </c>
      <c r="G185" s="10" t="s">
        <v>11</v>
      </c>
      <c r="H185" s="10">
        <v>2</v>
      </c>
      <c r="I185" s="43"/>
    </row>
    <row r="186" spans="1:9">
      <c r="A186" s="48" t="s">
        <v>1886</v>
      </c>
      <c r="B186" s="9" t="s">
        <v>279</v>
      </c>
      <c r="C186" s="9" t="str">
        <f t="shared" si="2"/>
        <v>英語文2-汽車一甲</v>
      </c>
      <c r="D186" s="9" t="s">
        <v>357</v>
      </c>
      <c r="E186" s="9" t="s">
        <v>358</v>
      </c>
      <c r="F186" s="10">
        <v>55</v>
      </c>
      <c r="G186" s="10" t="s">
        <v>11</v>
      </c>
      <c r="H186" s="10">
        <v>2</v>
      </c>
      <c r="I186" s="43"/>
    </row>
    <row r="187" spans="1:9">
      <c r="A187" s="48" t="s">
        <v>1886</v>
      </c>
      <c r="B187" s="9" t="s">
        <v>279</v>
      </c>
      <c r="C187" s="9" t="str">
        <f t="shared" si="2"/>
        <v>英語文2-汽車一甲</v>
      </c>
      <c r="D187" s="9" t="s">
        <v>359</v>
      </c>
      <c r="E187" s="9" t="s">
        <v>360</v>
      </c>
      <c r="F187" s="10">
        <v>46</v>
      </c>
      <c r="G187" s="10" t="s">
        <v>11</v>
      </c>
      <c r="H187" s="10">
        <v>2</v>
      </c>
      <c r="I187" s="43"/>
    </row>
    <row r="188" spans="1:9">
      <c r="A188" s="48" t="s">
        <v>1886</v>
      </c>
      <c r="B188" s="9" t="s">
        <v>279</v>
      </c>
      <c r="C188" s="9" t="str">
        <f t="shared" si="2"/>
        <v>英語文2-汽車一甲</v>
      </c>
      <c r="D188" s="9" t="s">
        <v>288</v>
      </c>
      <c r="E188" s="9" t="s">
        <v>289</v>
      </c>
      <c r="F188" s="10">
        <v>54</v>
      </c>
      <c r="G188" s="10" t="s">
        <v>11</v>
      </c>
      <c r="H188" s="10">
        <v>2</v>
      </c>
      <c r="I188" s="43"/>
    </row>
    <row r="189" spans="1:9">
      <c r="A189" s="48" t="s">
        <v>1886</v>
      </c>
      <c r="B189" s="9" t="s">
        <v>279</v>
      </c>
      <c r="C189" s="9" t="str">
        <f t="shared" si="2"/>
        <v>英語文2-汽車一甲</v>
      </c>
      <c r="D189" s="9" t="s">
        <v>290</v>
      </c>
      <c r="E189" s="9" t="s">
        <v>291</v>
      </c>
      <c r="F189" s="10">
        <v>52</v>
      </c>
      <c r="G189" s="10" t="s">
        <v>11</v>
      </c>
      <c r="H189" s="10">
        <v>2</v>
      </c>
      <c r="I189" s="43"/>
    </row>
    <row r="190" spans="1:9">
      <c r="A190" s="48" t="s">
        <v>1886</v>
      </c>
      <c r="B190" s="9" t="s">
        <v>279</v>
      </c>
      <c r="C190" s="9" t="str">
        <f t="shared" si="2"/>
        <v>英語文2-汽車一甲</v>
      </c>
      <c r="D190" s="9" t="s">
        <v>361</v>
      </c>
      <c r="E190" s="9" t="s">
        <v>362</v>
      </c>
      <c r="F190" s="10">
        <v>49</v>
      </c>
      <c r="G190" s="10" t="s">
        <v>11</v>
      </c>
      <c r="H190" s="10">
        <v>2</v>
      </c>
      <c r="I190" s="43"/>
    </row>
    <row r="191" spans="1:9">
      <c r="A191" s="48" t="s">
        <v>1886</v>
      </c>
      <c r="B191" s="9" t="s">
        <v>279</v>
      </c>
      <c r="C191" s="9" t="str">
        <f t="shared" si="2"/>
        <v>英語文2-汽車一甲</v>
      </c>
      <c r="D191" s="9" t="s">
        <v>363</v>
      </c>
      <c r="E191" s="9" t="s">
        <v>364</v>
      </c>
      <c r="F191" s="10">
        <v>50</v>
      </c>
      <c r="G191" s="10" t="s">
        <v>11</v>
      </c>
      <c r="H191" s="10">
        <v>2</v>
      </c>
      <c r="I191" s="43"/>
    </row>
    <row r="192" spans="1:9">
      <c r="A192" s="48" t="s">
        <v>1886</v>
      </c>
      <c r="B192" s="9" t="s">
        <v>279</v>
      </c>
      <c r="C192" s="9" t="str">
        <f t="shared" si="2"/>
        <v>英語文2-汽車一甲</v>
      </c>
      <c r="D192" s="9" t="s">
        <v>365</v>
      </c>
      <c r="E192" s="9" t="s">
        <v>366</v>
      </c>
      <c r="F192" s="10">
        <v>49</v>
      </c>
      <c r="G192" s="10" t="s">
        <v>11</v>
      </c>
      <c r="H192" s="10">
        <v>2</v>
      </c>
      <c r="I192" s="43"/>
    </row>
    <row r="193" spans="1:9">
      <c r="A193" s="48" t="s">
        <v>1886</v>
      </c>
      <c r="B193" s="9" t="s">
        <v>279</v>
      </c>
      <c r="C193" s="9" t="str">
        <f t="shared" si="2"/>
        <v>英語文2-汽車一甲</v>
      </c>
      <c r="D193" s="9" t="s">
        <v>292</v>
      </c>
      <c r="E193" s="9" t="s">
        <v>293</v>
      </c>
      <c r="F193" s="10">
        <v>49</v>
      </c>
      <c r="G193" s="10" t="s">
        <v>11</v>
      </c>
      <c r="H193" s="10">
        <v>2</v>
      </c>
      <c r="I193" s="43"/>
    </row>
    <row r="194" spans="1:9">
      <c r="A194" s="48" t="s">
        <v>1886</v>
      </c>
      <c r="B194" s="9" t="s">
        <v>294</v>
      </c>
      <c r="C194" s="9" t="str">
        <f t="shared" si="2"/>
        <v>英語文2-資訊一乙</v>
      </c>
      <c r="D194" s="9" t="s">
        <v>417</v>
      </c>
      <c r="E194" s="9" t="s">
        <v>418</v>
      </c>
      <c r="F194" s="10">
        <v>56</v>
      </c>
      <c r="G194" s="10" t="s">
        <v>11</v>
      </c>
      <c r="H194" s="10">
        <v>2</v>
      </c>
      <c r="I194" s="43"/>
    </row>
    <row r="195" spans="1:9">
      <c r="A195" s="48" t="s">
        <v>1886</v>
      </c>
      <c r="B195" s="9" t="s">
        <v>294</v>
      </c>
      <c r="C195" s="9" t="str">
        <f t="shared" ref="C195:C258" si="3">A195&amp;"-"&amp;B195</f>
        <v>英語文2-資訊一乙</v>
      </c>
      <c r="D195" s="9" t="s">
        <v>419</v>
      </c>
      <c r="E195" s="9" t="s">
        <v>420</v>
      </c>
      <c r="F195" s="10">
        <v>48</v>
      </c>
      <c r="G195" s="10" t="s">
        <v>11</v>
      </c>
      <c r="H195" s="10">
        <v>2</v>
      </c>
      <c r="I195" s="43"/>
    </row>
    <row r="196" spans="1:9">
      <c r="A196" s="48" t="s">
        <v>1886</v>
      </c>
      <c r="B196" s="9" t="s">
        <v>294</v>
      </c>
      <c r="C196" s="9" t="str">
        <f t="shared" si="3"/>
        <v>英語文2-資訊一乙</v>
      </c>
      <c r="D196" s="9" t="s">
        <v>297</v>
      </c>
      <c r="E196" s="9" t="s">
        <v>298</v>
      </c>
      <c r="F196" s="10">
        <v>52</v>
      </c>
      <c r="G196" s="10" t="s">
        <v>11</v>
      </c>
      <c r="H196" s="10">
        <v>2</v>
      </c>
      <c r="I196" s="43"/>
    </row>
    <row r="197" spans="1:9">
      <c r="A197" s="48" t="s">
        <v>1886</v>
      </c>
      <c r="B197" s="9" t="s">
        <v>294</v>
      </c>
      <c r="C197" s="9" t="str">
        <f t="shared" si="3"/>
        <v>英語文2-資訊一乙</v>
      </c>
      <c r="D197" s="9" t="s">
        <v>421</v>
      </c>
      <c r="E197" s="9" t="s">
        <v>422</v>
      </c>
      <c r="F197" s="10">
        <v>48</v>
      </c>
      <c r="G197" s="10" t="s">
        <v>11</v>
      </c>
      <c r="H197" s="10">
        <v>2</v>
      </c>
      <c r="I197" s="43"/>
    </row>
    <row r="198" spans="1:9">
      <c r="A198" s="48" t="s">
        <v>1886</v>
      </c>
      <c r="B198" s="9" t="s">
        <v>294</v>
      </c>
      <c r="C198" s="9" t="str">
        <f t="shared" si="3"/>
        <v>英語文2-資訊一乙</v>
      </c>
      <c r="D198" s="9" t="s">
        <v>423</v>
      </c>
      <c r="E198" s="9" t="s">
        <v>424</v>
      </c>
      <c r="F198" s="10">
        <v>56</v>
      </c>
      <c r="G198" s="10" t="s">
        <v>11</v>
      </c>
      <c r="H198" s="10">
        <v>2</v>
      </c>
      <c r="I198" s="43"/>
    </row>
    <row r="199" spans="1:9">
      <c r="A199" s="48" t="s">
        <v>1886</v>
      </c>
      <c r="B199" s="9" t="s">
        <v>294</v>
      </c>
      <c r="C199" s="9" t="str">
        <f t="shared" si="3"/>
        <v>英語文2-資訊一乙</v>
      </c>
      <c r="D199" s="9" t="s">
        <v>425</v>
      </c>
      <c r="E199" s="9" t="s">
        <v>426</v>
      </c>
      <c r="F199" s="10">
        <v>56</v>
      </c>
      <c r="G199" s="10" t="s">
        <v>11</v>
      </c>
      <c r="H199" s="10">
        <v>2</v>
      </c>
      <c r="I199" s="43"/>
    </row>
    <row r="200" spans="1:9">
      <c r="A200" s="48" t="s">
        <v>1886</v>
      </c>
      <c r="B200" s="9" t="s">
        <v>294</v>
      </c>
      <c r="C200" s="9" t="str">
        <f t="shared" si="3"/>
        <v>英語文2-資訊一乙</v>
      </c>
      <c r="D200" s="9" t="s">
        <v>427</v>
      </c>
      <c r="E200" s="9" t="s">
        <v>428</v>
      </c>
      <c r="F200" s="10">
        <v>53</v>
      </c>
      <c r="G200" s="10" t="s">
        <v>11</v>
      </c>
      <c r="H200" s="10">
        <v>2</v>
      </c>
      <c r="I200" s="43"/>
    </row>
    <row r="201" spans="1:9">
      <c r="A201" s="48" t="s">
        <v>1886</v>
      </c>
      <c r="B201" s="9" t="s">
        <v>294</v>
      </c>
      <c r="C201" s="9" t="str">
        <f t="shared" si="3"/>
        <v>英語文2-資訊一乙</v>
      </c>
      <c r="D201" s="9" t="s">
        <v>429</v>
      </c>
      <c r="E201" s="9" t="s">
        <v>430</v>
      </c>
      <c r="F201" s="10">
        <v>56</v>
      </c>
      <c r="G201" s="10" t="s">
        <v>11</v>
      </c>
      <c r="H201" s="10">
        <v>2</v>
      </c>
      <c r="I201" s="43"/>
    </row>
    <row r="202" spans="1:9">
      <c r="A202" s="48" t="s">
        <v>1886</v>
      </c>
      <c r="B202" s="9" t="s">
        <v>65</v>
      </c>
      <c r="C202" s="9" t="str">
        <f t="shared" si="3"/>
        <v>英語文2-資訊一甲</v>
      </c>
      <c r="D202" s="9" t="s">
        <v>66</v>
      </c>
      <c r="E202" s="9" t="s">
        <v>67</v>
      </c>
      <c r="F202" s="10">
        <v>47</v>
      </c>
      <c r="G202" s="10" t="s">
        <v>11</v>
      </c>
      <c r="H202" s="10">
        <v>2</v>
      </c>
      <c r="I202" s="43"/>
    </row>
    <row r="203" spans="1:9">
      <c r="A203" s="48" t="s">
        <v>1886</v>
      </c>
      <c r="B203" s="9" t="s">
        <v>65</v>
      </c>
      <c r="C203" s="9" t="str">
        <f t="shared" si="3"/>
        <v>英語文2-資訊一甲</v>
      </c>
      <c r="D203" s="9" t="s">
        <v>74</v>
      </c>
      <c r="E203" s="9" t="s">
        <v>75</v>
      </c>
      <c r="F203" s="10">
        <v>57</v>
      </c>
      <c r="G203" s="10" t="s">
        <v>11</v>
      </c>
      <c r="H203" s="10">
        <v>2</v>
      </c>
      <c r="I203" s="43"/>
    </row>
    <row r="204" spans="1:9">
      <c r="A204" s="48" t="s">
        <v>1886</v>
      </c>
      <c r="B204" s="9" t="s">
        <v>65</v>
      </c>
      <c r="C204" s="9" t="str">
        <f t="shared" si="3"/>
        <v>英語文2-資訊一甲</v>
      </c>
      <c r="D204" s="9" t="s">
        <v>489</v>
      </c>
      <c r="E204" s="9" t="s">
        <v>490</v>
      </c>
      <c r="F204" s="10">
        <v>47</v>
      </c>
      <c r="G204" s="10" t="s">
        <v>11</v>
      </c>
      <c r="H204" s="10">
        <v>2</v>
      </c>
      <c r="I204" s="43"/>
    </row>
    <row r="205" spans="1:9">
      <c r="A205" s="48" t="s">
        <v>1886</v>
      </c>
      <c r="B205" s="9" t="s">
        <v>335</v>
      </c>
      <c r="C205" s="9" t="str">
        <f t="shared" si="3"/>
        <v>英語文2-資處一乙</v>
      </c>
      <c r="D205" s="9" t="s">
        <v>387</v>
      </c>
      <c r="E205" s="9" t="s">
        <v>388</v>
      </c>
      <c r="F205" s="10">
        <v>56</v>
      </c>
      <c r="G205" s="10" t="s">
        <v>11</v>
      </c>
      <c r="H205" s="10">
        <v>2</v>
      </c>
      <c r="I205" s="43"/>
    </row>
    <row r="206" spans="1:9">
      <c r="A206" s="48" t="s">
        <v>1886</v>
      </c>
      <c r="B206" s="9" t="s">
        <v>335</v>
      </c>
      <c r="C206" s="9" t="str">
        <f t="shared" si="3"/>
        <v>英語文2-資處一乙</v>
      </c>
      <c r="D206" s="9" t="s">
        <v>389</v>
      </c>
      <c r="E206" s="9" t="s">
        <v>390</v>
      </c>
      <c r="F206" s="10">
        <v>55</v>
      </c>
      <c r="G206" s="10" t="s">
        <v>11</v>
      </c>
      <c r="H206" s="10">
        <v>2</v>
      </c>
      <c r="I206" s="43"/>
    </row>
    <row r="207" spans="1:9">
      <c r="A207" s="48" t="s">
        <v>1886</v>
      </c>
      <c r="B207" s="9" t="s">
        <v>335</v>
      </c>
      <c r="C207" s="9" t="str">
        <f t="shared" si="3"/>
        <v>英語文2-資處一乙</v>
      </c>
      <c r="D207" s="9" t="s">
        <v>391</v>
      </c>
      <c r="E207" s="9" t="s">
        <v>392</v>
      </c>
      <c r="F207" s="10">
        <v>43</v>
      </c>
      <c r="G207" s="10" t="s">
        <v>11</v>
      </c>
      <c r="H207" s="10">
        <v>2</v>
      </c>
      <c r="I207" s="43"/>
    </row>
    <row r="208" spans="1:9">
      <c r="A208" s="48" t="s">
        <v>1886</v>
      </c>
      <c r="B208" s="9" t="s">
        <v>335</v>
      </c>
      <c r="C208" s="9" t="str">
        <f t="shared" si="3"/>
        <v>英語文2-資處一乙</v>
      </c>
      <c r="D208" s="9" t="s">
        <v>393</v>
      </c>
      <c r="E208" s="9" t="s">
        <v>394</v>
      </c>
      <c r="F208" s="10">
        <v>51</v>
      </c>
      <c r="G208" s="10" t="s">
        <v>11</v>
      </c>
      <c r="H208" s="10">
        <v>2</v>
      </c>
      <c r="I208" s="43"/>
    </row>
    <row r="209" spans="1:9">
      <c r="A209" s="48" t="s">
        <v>1886</v>
      </c>
      <c r="B209" s="9" t="s">
        <v>335</v>
      </c>
      <c r="C209" s="9" t="str">
        <f t="shared" si="3"/>
        <v>英語文2-資處一乙</v>
      </c>
      <c r="D209" s="9" t="s">
        <v>395</v>
      </c>
      <c r="E209" s="9" t="s">
        <v>396</v>
      </c>
      <c r="F209" s="10">
        <v>40</v>
      </c>
      <c r="G209" s="10" t="s">
        <v>11</v>
      </c>
      <c r="H209" s="10">
        <v>2</v>
      </c>
      <c r="I209" s="43"/>
    </row>
    <row r="210" spans="1:9">
      <c r="A210" s="48" t="s">
        <v>1886</v>
      </c>
      <c r="B210" s="9" t="s">
        <v>335</v>
      </c>
      <c r="C210" s="9" t="str">
        <f t="shared" si="3"/>
        <v>英語文2-資處一乙</v>
      </c>
      <c r="D210" s="9" t="s">
        <v>397</v>
      </c>
      <c r="E210" s="9" t="s">
        <v>398</v>
      </c>
      <c r="F210" s="10">
        <v>55</v>
      </c>
      <c r="G210" s="10" t="s">
        <v>11</v>
      </c>
      <c r="H210" s="10">
        <v>2</v>
      </c>
      <c r="I210" s="43"/>
    </row>
    <row r="211" spans="1:9">
      <c r="A211" s="48" t="s">
        <v>1886</v>
      </c>
      <c r="B211" s="9" t="s">
        <v>335</v>
      </c>
      <c r="C211" s="9" t="str">
        <f t="shared" si="3"/>
        <v>英語文2-資處一乙</v>
      </c>
      <c r="D211" s="9" t="s">
        <v>399</v>
      </c>
      <c r="E211" s="9" t="s">
        <v>400</v>
      </c>
      <c r="F211" s="10">
        <v>54</v>
      </c>
      <c r="G211" s="10" t="s">
        <v>11</v>
      </c>
      <c r="H211" s="10">
        <v>2</v>
      </c>
      <c r="I211" s="43"/>
    </row>
    <row r="212" spans="1:9">
      <c r="A212" s="48" t="s">
        <v>1886</v>
      </c>
      <c r="B212" s="9" t="s">
        <v>335</v>
      </c>
      <c r="C212" s="9" t="str">
        <f t="shared" si="3"/>
        <v>英語文2-資處一乙</v>
      </c>
      <c r="D212" s="9" t="s">
        <v>401</v>
      </c>
      <c r="E212" s="9" t="s">
        <v>402</v>
      </c>
      <c r="F212" s="10">
        <v>40</v>
      </c>
      <c r="G212" s="10" t="s">
        <v>11</v>
      </c>
      <c r="H212" s="10">
        <v>2</v>
      </c>
      <c r="I212" s="43"/>
    </row>
    <row r="213" spans="1:9">
      <c r="A213" s="48" t="s">
        <v>1886</v>
      </c>
      <c r="B213" s="9" t="s">
        <v>335</v>
      </c>
      <c r="C213" s="9" t="str">
        <f t="shared" si="3"/>
        <v>英語文2-資處一乙</v>
      </c>
      <c r="D213" s="9" t="s">
        <v>403</v>
      </c>
      <c r="E213" s="9" t="s">
        <v>404</v>
      </c>
      <c r="F213" s="10">
        <v>40</v>
      </c>
      <c r="G213" s="10" t="s">
        <v>11</v>
      </c>
      <c r="H213" s="10">
        <v>2</v>
      </c>
      <c r="I213" s="43"/>
    </row>
    <row r="214" spans="1:9">
      <c r="A214" s="48" t="s">
        <v>1886</v>
      </c>
      <c r="B214" s="9" t="s">
        <v>335</v>
      </c>
      <c r="C214" s="9" t="str">
        <f t="shared" si="3"/>
        <v>英語文2-資處一乙</v>
      </c>
      <c r="D214" s="9" t="s">
        <v>405</v>
      </c>
      <c r="E214" s="9" t="s">
        <v>406</v>
      </c>
      <c r="F214" s="10">
        <v>40</v>
      </c>
      <c r="G214" s="10" t="s">
        <v>11</v>
      </c>
      <c r="H214" s="10">
        <v>2</v>
      </c>
      <c r="I214" s="43"/>
    </row>
    <row r="215" spans="1:9">
      <c r="A215" s="48" t="s">
        <v>1886</v>
      </c>
      <c r="B215" s="9" t="s">
        <v>335</v>
      </c>
      <c r="C215" s="9" t="str">
        <f t="shared" si="3"/>
        <v>英語文2-資處一乙</v>
      </c>
      <c r="D215" s="9" t="s">
        <v>407</v>
      </c>
      <c r="E215" s="9" t="s">
        <v>408</v>
      </c>
      <c r="F215" s="10">
        <v>55</v>
      </c>
      <c r="G215" s="10" t="s">
        <v>11</v>
      </c>
      <c r="H215" s="10">
        <v>2</v>
      </c>
      <c r="I215" s="43"/>
    </row>
    <row r="216" spans="1:9">
      <c r="A216" s="48" t="s">
        <v>1886</v>
      </c>
      <c r="B216" s="9" t="s">
        <v>335</v>
      </c>
      <c r="C216" s="9" t="str">
        <f t="shared" si="3"/>
        <v>英語文2-資處一乙</v>
      </c>
      <c r="D216" s="9" t="s">
        <v>409</v>
      </c>
      <c r="E216" s="9" t="s">
        <v>410</v>
      </c>
      <c r="F216" s="10">
        <v>48</v>
      </c>
      <c r="G216" s="10" t="s">
        <v>11</v>
      </c>
      <c r="H216" s="10">
        <v>2</v>
      </c>
      <c r="I216" s="43"/>
    </row>
    <row r="217" spans="1:9">
      <c r="A217" s="48" t="s">
        <v>1886</v>
      </c>
      <c r="B217" s="9" t="s">
        <v>335</v>
      </c>
      <c r="C217" s="9" t="str">
        <f t="shared" si="3"/>
        <v>英語文2-資處一乙</v>
      </c>
      <c r="D217" s="9" t="s">
        <v>336</v>
      </c>
      <c r="E217" s="9" t="s">
        <v>337</v>
      </c>
      <c r="F217" s="10">
        <v>46</v>
      </c>
      <c r="G217" s="10" t="s">
        <v>11</v>
      </c>
      <c r="H217" s="10">
        <v>2</v>
      </c>
      <c r="I217" s="43"/>
    </row>
    <row r="218" spans="1:9">
      <c r="A218" s="48" t="s">
        <v>1886</v>
      </c>
      <c r="B218" s="9" t="s">
        <v>234</v>
      </c>
      <c r="C218" s="9" t="str">
        <f t="shared" si="3"/>
        <v>英語文2-資處一甲</v>
      </c>
      <c r="D218" s="9" t="s">
        <v>235</v>
      </c>
      <c r="E218" s="9" t="s">
        <v>236</v>
      </c>
      <c r="F218" s="10">
        <v>55</v>
      </c>
      <c r="G218" s="10" t="s">
        <v>11</v>
      </c>
      <c r="H218" s="10">
        <v>2</v>
      </c>
      <c r="I218" s="43"/>
    </row>
    <row r="219" spans="1:9">
      <c r="A219" s="48" t="s">
        <v>1886</v>
      </c>
      <c r="B219" s="9" t="s">
        <v>234</v>
      </c>
      <c r="C219" s="9" t="str">
        <f t="shared" si="3"/>
        <v>英語文2-資處一甲</v>
      </c>
      <c r="D219" s="9" t="s">
        <v>237</v>
      </c>
      <c r="E219" s="9" t="s">
        <v>238</v>
      </c>
      <c r="F219" s="10">
        <v>53</v>
      </c>
      <c r="G219" s="10" t="s">
        <v>11</v>
      </c>
      <c r="H219" s="10">
        <v>2</v>
      </c>
      <c r="I219" s="43"/>
    </row>
    <row r="220" spans="1:9">
      <c r="A220" s="48" t="s">
        <v>1886</v>
      </c>
      <c r="B220" s="9" t="s">
        <v>234</v>
      </c>
      <c r="C220" s="9" t="str">
        <f t="shared" si="3"/>
        <v>英語文2-資處一甲</v>
      </c>
      <c r="D220" s="9" t="s">
        <v>479</v>
      </c>
      <c r="E220" s="9" t="s">
        <v>480</v>
      </c>
      <c r="F220" s="10">
        <v>41</v>
      </c>
      <c r="G220" s="10" t="s">
        <v>11</v>
      </c>
      <c r="H220" s="10">
        <v>2</v>
      </c>
      <c r="I220" s="43"/>
    </row>
    <row r="221" spans="1:9">
      <c r="A221" s="48" t="s">
        <v>1886</v>
      </c>
      <c r="B221" s="9" t="s">
        <v>158</v>
      </c>
      <c r="C221" s="9" t="str">
        <f t="shared" si="3"/>
        <v>英語文2-電機一乙</v>
      </c>
      <c r="D221" s="9" t="s">
        <v>507</v>
      </c>
      <c r="E221" s="9" t="s">
        <v>508</v>
      </c>
      <c r="F221" s="10">
        <v>43</v>
      </c>
      <c r="G221" s="10" t="s">
        <v>11</v>
      </c>
      <c r="H221" s="10">
        <v>2</v>
      </c>
      <c r="I221" s="43"/>
    </row>
    <row r="222" spans="1:9">
      <c r="A222" s="48" t="s">
        <v>1886</v>
      </c>
      <c r="B222" s="9" t="s">
        <v>158</v>
      </c>
      <c r="C222" s="9" t="str">
        <f t="shared" si="3"/>
        <v>英語文2-電機一乙</v>
      </c>
      <c r="D222" s="9" t="s">
        <v>509</v>
      </c>
      <c r="E222" s="9" t="s">
        <v>510</v>
      </c>
      <c r="F222" s="10">
        <v>53</v>
      </c>
      <c r="G222" s="10" t="s">
        <v>11</v>
      </c>
      <c r="H222" s="10">
        <v>2</v>
      </c>
      <c r="I222" s="43"/>
    </row>
    <row r="223" spans="1:9">
      <c r="A223" s="48" t="s">
        <v>1886</v>
      </c>
      <c r="B223" s="9" t="s">
        <v>158</v>
      </c>
      <c r="C223" s="9" t="str">
        <f t="shared" si="3"/>
        <v>英語文2-電機一乙</v>
      </c>
      <c r="D223" s="9" t="s">
        <v>159</v>
      </c>
      <c r="E223" s="9" t="s">
        <v>160</v>
      </c>
      <c r="F223" s="10">
        <v>52</v>
      </c>
      <c r="G223" s="10" t="s">
        <v>11</v>
      </c>
      <c r="H223" s="10">
        <v>2</v>
      </c>
      <c r="I223" s="43"/>
    </row>
    <row r="224" spans="1:9">
      <c r="A224" s="48" t="s">
        <v>1886</v>
      </c>
      <c r="B224" s="9" t="s">
        <v>158</v>
      </c>
      <c r="C224" s="9" t="str">
        <f t="shared" si="3"/>
        <v>英語文2-電機一乙</v>
      </c>
      <c r="D224" s="9" t="s">
        <v>511</v>
      </c>
      <c r="E224" s="9" t="s">
        <v>512</v>
      </c>
      <c r="F224" s="10">
        <v>48</v>
      </c>
      <c r="G224" s="10" t="s">
        <v>11</v>
      </c>
      <c r="H224" s="10">
        <v>2</v>
      </c>
      <c r="I224" s="43"/>
    </row>
    <row r="225" spans="1:9">
      <c r="A225" s="48" t="s">
        <v>1886</v>
      </c>
      <c r="B225" s="9" t="s">
        <v>158</v>
      </c>
      <c r="C225" s="9" t="str">
        <f t="shared" si="3"/>
        <v>英語文2-電機一乙</v>
      </c>
      <c r="D225" s="9" t="s">
        <v>165</v>
      </c>
      <c r="E225" s="9" t="s">
        <v>166</v>
      </c>
      <c r="F225" s="10">
        <v>53</v>
      </c>
      <c r="G225" s="10" t="s">
        <v>11</v>
      </c>
      <c r="H225" s="10">
        <v>2</v>
      </c>
      <c r="I225" s="43"/>
    </row>
    <row r="226" spans="1:9">
      <c r="A226" s="48" t="s">
        <v>1886</v>
      </c>
      <c r="B226" s="9" t="s">
        <v>158</v>
      </c>
      <c r="C226" s="9" t="str">
        <f t="shared" si="3"/>
        <v>英語文2-電機一乙</v>
      </c>
      <c r="D226" s="9" t="s">
        <v>513</v>
      </c>
      <c r="E226" s="9" t="s">
        <v>514</v>
      </c>
      <c r="F226" s="10">
        <v>52</v>
      </c>
      <c r="G226" s="10" t="s">
        <v>11</v>
      </c>
      <c r="H226" s="10">
        <v>2</v>
      </c>
      <c r="I226" s="43"/>
    </row>
    <row r="227" spans="1:9">
      <c r="A227" s="48" t="s">
        <v>1886</v>
      </c>
      <c r="B227" s="9" t="s">
        <v>158</v>
      </c>
      <c r="C227" s="9" t="str">
        <f t="shared" si="3"/>
        <v>英語文2-電機一乙</v>
      </c>
      <c r="D227" s="9" t="s">
        <v>515</v>
      </c>
      <c r="E227" s="9" t="s">
        <v>516</v>
      </c>
      <c r="F227" s="10">
        <v>56</v>
      </c>
      <c r="G227" s="10" t="s">
        <v>11</v>
      </c>
      <c r="H227" s="10">
        <v>2</v>
      </c>
      <c r="I227" s="43"/>
    </row>
    <row r="228" spans="1:9">
      <c r="A228" s="48" t="s">
        <v>1886</v>
      </c>
      <c r="B228" s="9" t="s">
        <v>158</v>
      </c>
      <c r="C228" s="9" t="str">
        <f t="shared" si="3"/>
        <v>英語文2-電機一乙</v>
      </c>
      <c r="D228" s="9" t="s">
        <v>517</v>
      </c>
      <c r="E228" s="9" t="s">
        <v>518</v>
      </c>
      <c r="F228" s="10">
        <v>50</v>
      </c>
      <c r="G228" s="10" t="s">
        <v>11</v>
      </c>
      <c r="H228" s="10">
        <v>2</v>
      </c>
      <c r="I228" s="43"/>
    </row>
    <row r="229" spans="1:9">
      <c r="A229" s="48" t="s">
        <v>1886</v>
      </c>
      <c r="B229" s="9" t="s">
        <v>97</v>
      </c>
      <c r="C229" s="9" t="str">
        <f t="shared" si="3"/>
        <v>英語文2-電機一丙</v>
      </c>
      <c r="D229" s="9" t="s">
        <v>98</v>
      </c>
      <c r="E229" s="9" t="s">
        <v>99</v>
      </c>
      <c r="F229" s="10">
        <v>46</v>
      </c>
      <c r="G229" s="10" t="s">
        <v>11</v>
      </c>
      <c r="H229" s="10">
        <v>2</v>
      </c>
      <c r="I229" s="43"/>
    </row>
    <row r="230" spans="1:9">
      <c r="A230" s="48" t="s">
        <v>1886</v>
      </c>
      <c r="B230" s="9" t="s">
        <v>97</v>
      </c>
      <c r="C230" s="9" t="str">
        <f t="shared" si="3"/>
        <v>英語文2-電機一丙</v>
      </c>
      <c r="D230" s="9" t="s">
        <v>110</v>
      </c>
      <c r="E230" s="9" t="s">
        <v>111</v>
      </c>
      <c r="F230" s="10">
        <v>33</v>
      </c>
      <c r="G230" s="10" t="s">
        <v>11</v>
      </c>
      <c r="H230" s="10">
        <v>2</v>
      </c>
      <c r="I230" s="43"/>
    </row>
    <row r="231" spans="1:9">
      <c r="A231" s="48" t="s">
        <v>1886</v>
      </c>
      <c r="B231" s="9" t="s">
        <v>97</v>
      </c>
      <c r="C231" s="9" t="str">
        <f t="shared" si="3"/>
        <v>英語文2-電機一丙</v>
      </c>
      <c r="D231" s="9" t="s">
        <v>112</v>
      </c>
      <c r="E231" s="9" t="s">
        <v>113</v>
      </c>
      <c r="F231" s="10">
        <v>46</v>
      </c>
      <c r="G231" s="10" t="s">
        <v>11</v>
      </c>
      <c r="H231" s="10">
        <v>2</v>
      </c>
      <c r="I231" s="43"/>
    </row>
    <row r="232" spans="1:9">
      <c r="A232" s="48" t="s">
        <v>1886</v>
      </c>
      <c r="B232" s="9" t="s">
        <v>97</v>
      </c>
      <c r="C232" s="9" t="str">
        <f t="shared" si="3"/>
        <v>英語文2-電機一丙</v>
      </c>
      <c r="D232" s="9" t="s">
        <v>519</v>
      </c>
      <c r="E232" s="9" t="s">
        <v>520</v>
      </c>
      <c r="F232" s="10">
        <v>45</v>
      </c>
      <c r="G232" s="10" t="s">
        <v>11</v>
      </c>
      <c r="H232" s="10">
        <v>2</v>
      </c>
      <c r="I232" s="43"/>
    </row>
    <row r="233" spans="1:9">
      <c r="A233" s="48" t="s">
        <v>1886</v>
      </c>
      <c r="B233" s="9" t="s">
        <v>97</v>
      </c>
      <c r="C233" s="9" t="str">
        <f t="shared" si="3"/>
        <v>英語文2-電機一丙</v>
      </c>
      <c r="D233" s="9" t="s">
        <v>116</v>
      </c>
      <c r="E233" s="9" t="s">
        <v>117</v>
      </c>
      <c r="F233" s="10">
        <v>44</v>
      </c>
      <c r="G233" s="10" t="s">
        <v>11</v>
      </c>
      <c r="H233" s="10">
        <v>2</v>
      </c>
      <c r="I233" s="43"/>
    </row>
    <row r="234" spans="1:9">
      <c r="A234" s="48" t="s">
        <v>1886</v>
      </c>
      <c r="B234" s="9" t="s">
        <v>97</v>
      </c>
      <c r="C234" s="9" t="str">
        <f t="shared" si="3"/>
        <v>英語文2-電機一丙</v>
      </c>
      <c r="D234" s="9" t="s">
        <v>118</v>
      </c>
      <c r="E234" s="9" t="s">
        <v>119</v>
      </c>
      <c r="F234" s="10">
        <v>48</v>
      </c>
      <c r="G234" s="10" t="s">
        <v>11</v>
      </c>
      <c r="H234" s="10">
        <v>2</v>
      </c>
      <c r="I234" s="43"/>
    </row>
    <row r="235" spans="1:9">
      <c r="A235" s="48" t="s">
        <v>1886</v>
      </c>
      <c r="B235" s="9" t="s">
        <v>97</v>
      </c>
      <c r="C235" s="9" t="str">
        <f t="shared" si="3"/>
        <v>英語文2-電機一丙</v>
      </c>
      <c r="D235" s="9" t="s">
        <v>521</v>
      </c>
      <c r="E235" s="9" t="s">
        <v>522</v>
      </c>
      <c r="F235" s="10">
        <v>53</v>
      </c>
      <c r="G235" s="10" t="s">
        <v>11</v>
      </c>
      <c r="H235" s="10">
        <v>2</v>
      </c>
      <c r="I235" s="43"/>
    </row>
    <row r="236" spans="1:9">
      <c r="A236" s="48" t="s">
        <v>1886</v>
      </c>
      <c r="B236" s="9" t="s">
        <v>44</v>
      </c>
      <c r="C236" s="9" t="str">
        <f t="shared" si="3"/>
        <v>英語文2-電機一甲</v>
      </c>
      <c r="D236" s="9" t="s">
        <v>449</v>
      </c>
      <c r="E236" s="9" t="s">
        <v>450</v>
      </c>
      <c r="F236" s="10">
        <v>46</v>
      </c>
      <c r="G236" s="10" t="s">
        <v>11</v>
      </c>
      <c r="H236" s="10">
        <v>2</v>
      </c>
      <c r="I236" s="43"/>
    </row>
    <row r="237" spans="1:9">
      <c r="A237" s="48" t="s">
        <v>1886</v>
      </c>
      <c r="B237" s="9" t="s">
        <v>44</v>
      </c>
      <c r="C237" s="9" t="str">
        <f t="shared" si="3"/>
        <v>英語文2-電機一甲</v>
      </c>
      <c r="D237" s="9" t="s">
        <v>45</v>
      </c>
      <c r="E237" s="9" t="s">
        <v>46</v>
      </c>
      <c r="F237" s="10">
        <v>52</v>
      </c>
      <c r="G237" s="10" t="s">
        <v>11</v>
      </c>
      <c r="H237" s="10">
        <v>2</v>
      </c>
      <c r="I237" s="43"/>
    </row>
    <row r="238" spans="1:9">
      <c r="A238" s="48" t="s">
        <v>1886</v>
      </c>
      <c r="B238" s="9" t="s">
        <v>44</v>
      </c>
      <c r="C238" s="9" t="str">
        <f t="shared" si="3"/>
        <v>英語文2-電機一甲</v>
      </c>
      <c r="D238" s="9" t="s">
        <v>451</v>
      </c>
      <c r="E238" s="9" t="s">
        <v>452</v>
      </c>
      <c r="F238" s="10">
        <v>49</v>
      </c>
      <c r="G238" s="10" t="s">
        <v>11</v>
      </c>
      <c r="H238" s="10">
        <v>2</v>
      </c>
      <c r="I238" s="43"/>
    </row>
    <row r="239" spans="1:9">
      <c r="A239" s="48" t="s">
        <v>1886</v>
      </c>
      <c r="B239" s="9" t="s">
        <v>44</v>
      </c>
      <c r="C239" s="9" t="str">
        <f t="shared" si="3"/>
        <v>英語文2-電機一甲</v>
      </c>
      <c r="D239" s="9" t="s">
        <v>53</v>
      </c>
      <c r="E239" s="9" t="s">
        <v>54</v>
      </c>
      <c r="F239" s="10">
        <v>44</v>
      </c>
      <c r="G239" s="10" t="s">
        <v>11</v>
      </c>
      <c r="H239" s="10">
        <v>2</v>
      </c>
      <c r="I239" s="43"/>
    </row>
    <row r="240" spans="1:9">
      <c r="A240" s="48" t="s">
        <v>1886</v>
      </c>
      <c r="B240" s="9" t="s">
        <v>44</v>
      </c>
      <c r="C240" s="9" t="str">
        <f t="shared" si="3"/>
        <v>英語文2-電機一甲</v>
      </c>
      <c r="D240" s="9" t="s">
        <v>453</v>
      </c>
      <c r="E240" s="9" t="s">
        <v>454</v>
      </c>
      <c r="F240" s="10">
        <v>53</v>
      </c>
      <c r="G240" s="10" t="s">
        <v>11</v>
      </c>
      <c r="H240" s="10">
        <v>2</v>
      </c>
      <c r="I240" s="43"/>
    </row>
    <row r="241" spans="1:9">
      <c r="A241" s="48" t="s">
        <v>1886</v>
      </c>
      <c r="B241" s="9" t="s">
        <v>44</v>
      </c>
      <c r="C241" s="9" t="str">
        <f t="shared" si="3"/>
        <v>英語文2-電機一甲</v>
      </c>
      <c r="D241" s="9" t="s">
        <v>455</v>
      </c>
      <c r="E241" s="9" t="s">
        <v>456</v>
      </c>
      <c r="F241" s="10">
        <v>52</v>
      </c>
      <c r="G241" s="10" t="s">
        <v>11</v>
      </c>
      <c r="H241" s="10">
        <v>2</v>
      </c>
      <c r="I241" s="43"/>
    </row>
    <row r="242" spans="1:9">
      <c r="A242" s="48" t="s">
        <v>1886</v>
      </c>
      <c r="B242" s="9" t="s">
        <v>44</v>
      </c>
      <c r="C242" s="9" t="str">
        <f t="shared" si="3"/>
        <v>英語文2-電機一甲</v>
      </c>
      <c r="D242" s="9" t="s">
        <v>457</v>
      </c>
      <c r="E242" s="9" t="s">
        <v>458</v>
      </c>
      <c r="F242" s="10">
        <v>56</v>
      </c>
      <c r="G242" s="10" t="s">
        <v>11</v>
      </c>
      <c r="H242" s="10">
        <v>2</v>
      </c>
      <c r="I242" s="43"/>
    </row>
    <row r="243" spans="1:9">
      <c r="A243" s="48" t="s">
        <v>1886</v>
      </c>
      <c r="B243" s="9" t="s">
        <v>44</v>
      </c>
      <c r="C243" s="9" t="str">
        <f t="shared" si="3"/>
        <v>英語文2-電機一甲</v>
      </c>
      <c r="D243" s="9" t="s">
        <v>459</v>
      </c>
      <c r="E243" s="9" t="s">
        <v>460</v>
      </c>
      <c r="F243" s="10">
        <v>55</v>
      </c>
      <c r="G243" s="10" t="s">
        <v>11</v>
      </c>
      <c r="H243" s="10">
        <v>2</v>
      </c>
      <c r="I243" s="43"/>
    </row>
    <row r="244" spans="1:9">
      <c r="A244" s="48" t="s">
        <v>1886</v>
      </c>
      <c r="B244" s="9" t="s">
        <v>44</v>
      </c>
      <c r="C244" s="9" t="str">
        <f t="shared" si="3"/>
        <v>英語文2-電機一甲</v>
      </c>
      <c r="D244" s="9" t="s">
        <v>59</v>
      </c>
      <c r="E244" s="9" t="s">
        <v>60</v>
      </c>
      <c r="F244" s="10">
        <v>54</v>
      </c>
      <c r="G244" s="10" t="s">
        <v>11</v>
      </c>
      <c r="H244" s="10">
        <v>2</v>
      </c>
      <c r="I244" s="43"/>
    </row>
    <row r="245" spans="1:9">
      <c r="A245" s="48" t="s">
        <v>1886</v>
      </c>
      <c r="B245" s="9" t="s">
        <v>44</v>
      </c>
      <c r="C245" s="9" t="str">
        <f t="shared" si="3"/>
        <v>英語文2-電機一甲</v>
      </c>
      <c r="D245" s="9" t="s">
        <v>461</v>
      </c>
      <c r="E245" s="9" t="s">
        <v>462</v>
      </c>
      <c r="F245" s="10">
        <v>52</v>
      </c>
      <c r="G245" s="10" t="s">
        <v>11</v>
      </c>
      <c r="H245" s="10">
        <v>2</v>
      </c>
      <c r="I245" s="43"/>
    </row>
    <row r="246" spans="1:9">
      <c r="A246" s="48" t="s">
        <v>1886</v>
      </c>
      <c r="B246" s="9" t="s">
        <v>217</v>
      </c>
      <c r="C246" s="9" t="str">
        <f t="shared" si="3"/>
        <v>英語文2-製圖一乙</v>
      </c>
      <c r="D246" s="9" t="s">
        <v>367</v>
      </c>
      <c r="E246" s="9" t="s">
        <v>368</v>
      </c>
      <c r="F246" s="10">
        <v>48</v>
      </c>
      <c r="G246" s="10" t="s">
        <v>11</v>
      </c>
      <c r="H246" s="10">
        <v>2</v>
      </c>
      <c r="I246" s="43"/>
    </row>
    <row r="247" spans="1:9">
      <c r="A247" s="48" t="s">
        <v>1886</v>
      </c>
      <c r="B247" s="9" t="s">
        <v>217</v>
      </c>
      <c r="C247" s="9" t="str">
        <f t="shared" si="3"/>
        <v>英語文2-製圖一乙</v>
      </c>
      <c r="D247" s="9" t="s">
        <v>369</v>
      </c>
      <c r="E247" s="9" t="s">
        <v>370</v>
      </c>
      <c r="F247" s="10">
        <v>56</v>
      </c>
      <c r="G247" s="10" t="s">
        <v>11</v>
      </c>
      <c r="H247" s="10">
        <v>2</v>
      </c>
      <c r="I247" s="43"/>
    </row>
    <row r="248" spans="1:9">
      <c r="A248" s="48" t="s">
        <v>1886</v>
      </c>
      <c r="B248" s="9" t="s">
        <v>217</v>
      </c>
      <c r="C248" s="9" t="str">
        <f t="shared" si="3"/>
        <v>英語文2-製圖一乙</v>
      </c>
      <c r="D248" s="9" t="s">
        <v>220</v>
      </c>
      <c r="E248" s="9" t="s">
        <v>221</v>
      </c>
      <c r="F248" s="10">
        <v>40</v>
      </c>
      <c r="G248" s="10" t="s">
        <v>11</v>
      </c>
      <c r="H248" s="10">
        <v>2</v>
      </c>
      <c r="I248" s="43"/>
    </row>
    <row r="249" spans="1:9">
      <c r="A249" s="48" t="s">
        <v>1886</v>
      </c>
      <c r="B249" s="9" t="s">
        <v>217</v>
      </c>
      <c r="C249" s="9" t="str">
        <f t="shared" si="3"/>
        <v>英語文2-製圖一乙</v>
      </c>
      <c r="D249" s="9" t="s">
        <v>371</v>
      </c>
      <c r="E249" s="9" t="s">
        <v>372</v>
      </c>
      <c r="F249" s="10">
        <v>46</v>
      </c>
      <c r="G249" s="10" t="s">
        <v>11</v>
      </c>
      <c r="H249" s="10">
        <v>2</v>
      </c>
      <c r="I249" s="43"/>
    </row>
    <row r="250" spans="1:9">
      <c r="A250" s="48" t="s">
        <v>1886</v>
      </c>
      <c r="B250" s="9" t="s">
        <v>217</v>
      </c>
      <c r="C250" s="9" t="str">
        <f t="shared" si="3"/>
        <v>英語文2-製圖一乙</v>
      </c>
      <c r="D250" s="9" t="s">
        <v>373</v>
      </c>
      <c r="E250" s="9" t="s">
        <v>374</v>
      </c>
      <c r="F250" s="10">
        <v>40</v>
      </c>
      <c r="G250" s="10" t="s">
        <v>11</v>
      </c>
      <c r="H250" s="10">
        <v>2</v>
      </c>
      <c r="I250" s="43"/>
    </row>
    <row r="251" spans="1:9">
      <c r="A251" s="48" t="s">
        <v>1886</v>
      </c>
      <c r="B251" s="9" t="s">
        <v>217</v>
      </c>
      <c r="C251" s="9" t="str">
        <f t="shared" si="3"/>
        <v>英語文2-製圖一乙</v>
      </c>
      <c r="D251" s="9" t="s">
        <v>375</v>
      </c>
      <c r="E251" s="9" t="s">
        <v>376</v>
      </c>
      <c r="F251" s="10">
        <v>52</v>
      </c>
      <c r="G251" s="10" t="s">
        <v>11</v>
      </c>
      <c r="H251" s="10">
        <v>2</v>
      </c>
      <c r="I251" s="43"/>
    </row>
    <row r="252" spans="1:9">
      <c r="A252" s="48" t="s">
        <v>1886</v>
      </c>
      <c r="B252" s="9" t="s">
        <v>217</v>
      </c>
      <c r="C252" s="9" t="str">
        <f t="shared" si="3"/>
        <v>英語文2-製圖一乙</v>
      </c>
      <c r="D252" s="9" t="s">
        <v>377</v>
      </c>
      <c r="E252" s="9" t="s">
        <v>378</v>
      </c>
      <c r="F252" s="10">
        <v>49</v>
      </c>
      <c r="G252" s="10" t="s">
        <v>11</v>
      </c>
      <c r="H252" s="10">
        <v>2</v>
      </c>
      <c r="I252" s="43"/>
    </row>
    <row r="253" spans="1:9">
      <c r="A253" s="48" t="s">
        <v>1886</v>
      </c>
      <c r="B253" s="9" t="s">
        <v>217</v>
      </c>
      <c r="C253" s="9" t="str">
        <f t="shared" si="3"/>
        <v>英語文2-製圖一乙</v>
      </c>
      <c r="D253" s="9" t="s">
        <v>379</v>
      </c>
      <c r="E253" s="9" t="s">
        <v>380</v>
      </c>
      <c r="F253" s="10">
        <v>42</v>
      </c>
      <c r="G253" s="10" t="s">
        <v>11</v>
      </c>
      <c r="H253" s="10">
        <v>2</v>
      </c>
      <c r="I253" s="43"/>
    </row>
    <row r="254" spans="1:9">
      <c r="A254" s="48" t="s">
        <v>1886</v>
      </c>
      <c r="B254" s="9" t="s">
        <v>217</v>
      </c>
      <c r="C254" s="9" t="str">
        <f t="shared" si="3"/>
        <v>英語文2-製圖一乙</v>
      </c>
      <c r="D254" s="9" t="s">
        <v>222</v>
      </c>
      <c r="E254" s="9" t="s">
        <v>223</v>
      </c>
      <c r="F254" s="10">
        <v>56</v>
      </c>
      <c r="G254" s="10" t="s">
        <v>11</v>
      </c>
      <c r="H254" s="10">
        <v>2</v>
      </c>
      <c r="I254" s="43"/>
    </row>
    <row r="255" spans="1:9">
      <c r="A255" s="48" t="s">
        <v>1886</v>
      </c>
      <c r="B255" s="9" t="s">
        <v>217</v>
      </c>
      <c r="C255" s="9" t="str">
        <f t="shared" si="3"/>
        <v>英語文2-製圖一乙</v>
      </c>
      <c r="D255" s="9" t="s">
        <v>224</v>
      </c>
      <c r="E255" s="9" t="s">
        <v>225</v>
      </c>
      <c r="F255" s="10">
        <v>48</v>
      </c>
      <c r="G255" s="10" t="s">
        <v>11</v>
      </c>
      <c r="H255" s="10">
        <v>2</v>
      </c>
      <c r="I255" s="43"/>
    </row>
    <row r="256" spans="1:9">
      <c r="A256" s="48" t="s">
        <v>1886</v>
      </c>
      <c r="B256" s="9" t="s">
        <v>217</v>
      </c>
      <c r="C256" s="9" t="str">
        <f t="shared" si="3"/>
        <v>英語文2-製圖一乙</v>
      </c>
      <c r="D256" s="9" t="s">
        <v>381</v>
      </c>
      <c r="E256" s="9" t="s">
        <v>382</v>
      </c>
      <c r="F256" s="10">
        <v>55</v>
      </c>
      <c r="G256" s="10" t="s">
        <v>11</v>
      </c>
      <c r="H256" s="10">
        <v>2</v>
      </c>
      <c r="I256" s="43"/>
    </row>
    <row r="257" spans="1:9">
      <c r="A257" s="48" t="s">
        <v>1886</v>
      </c>
      <c r="B257" s="9" t="s">
        <v>217</v>
      </c>
      <c r="C257" s="9" t="str">
        <f t="shared" si="3"/>
        <v>英語文2-製圖一乙</v>
      </c>
      <c r="D257" s="9" t="s">
        <v>383</v>
      </c>
      <c r="E257" s="9" t="s">
        <v>384</v>
      </c>
      <c r="F257" s="10">
        <v>48</v>
      </c>
      <c r="G257" s="10" t="s">
        <v>11</v>
      </c>
      <c r="H257" s="10">
        <v>2</v>
      </c>
      <c r="I257" s="43"/>
    </row>
    <row r="258" spans="1:9">
      <c r="A258" s="48" t="s">
        <v>1886</v>
      </c>
      <c r="B258" s="9" t="s">
        <v>217</v>
      </c>
      <c r="C258" s="9" t="str">
        <f t="shared" si="3"/>
        <v>英語文2-製圖一乙</v>
      </c>
      <c r="D258" s="9" t="s">
        <v>385</v>
      </c>
      <c r="E258" s="9" t="s">
        <v>386</v>
      </c>
      <c r="F258" s="10">
        <v>50</v>
      </c>
      <c r="G258" s="10" t="s">
        <v>11</v>
      </c>
      <c r="H258" s="10">
        <v>2</v>
      </c>
      <c r="I258" s="43"/>
    </row>
    <row r="259" spans="1:9">
      <c r="A259" s="48" t="s">
        <v>1886</v>
      </c>
      <c r="B259" s="9" t="s">
        <v>122</v>
      </c>
      <c r="C259" s="9" t="str">
        <f t="shared" ref="C259:C322" si="4">A259&amp;"-"&amp;B259</f>
        <v>英語文2-製圖一丙</v>
      </c>
      <c r="D259" s="9" t="s">
        <v>431</v>
      </c>
      <c r="E259" s="9" t="s">
        <v>432</v>
      </c>
      <c r="F259" s="10">
        <v>56</v>
      </c>
      <c r="G259" s="10" t="s">
        <v>11</v>
      </c>
      <c r="H259" s="10">
        <v>2</v>
      </c>
      <c r="I259" s="43"/>
    </row>
    <row r="260" spans="1:9">
      <c r="A260" s="48" t="s">
        <v>1886</v>
      </c>
      <c r="B260" s="9" t="s">
        <v>122</v>
      </c>
      <c r="C260" s="9" t="str">
        <f t="shared" si="4"/>
        <v>英語文2-製圖一丙</v>
      </c>
      <c r="D260" s="9" t="s">
        <v>125</v>
      </c>
      <c r="E260" s="9" t="s">
        <v>126</v>
      </c>
      <c r="F260" s="10">
        <v>56</v>
      </c>
      <c r="G260" s="10" t="s">
        <v>11</v>
      </c>
      <c r="H260" s="10">
        <v>2</v>
      </c>
      <c r="I260" s="43"/>
    </row>
    <row r="261" spans="1:9">
      <c r="A261" s="48" t="s">
        <v>1886</v>
      </c>
      <c r="B261" s="9" t="s">
        <v>122</v>
      </c>
      <c r="C261" s="9" t="str">
        <f t="shared" si="4"/>
        <v>英語文2-製圖一丙</v>
      </c>
      <c r="D261" s="9" t="s">
        <v>433</v>
      </c>
      <c r="E261" s="9" t="s">
        <v>434</v>
      </c>
      <c r="F261" s="10">
        <v>47</v>
      </c>
      <c r="G261" s="10" t="s">
        <v>11</v>
      </c>
      <c r="H261" s="10">
        <v>2</v>
      </c>
      <c r="I261" s="43"/>
    </row>
    <row r="262" spans="1:9">
      <c r="A262" s="48" t="s">
        <v>1886</v>
      </c>
      <c r="B262" s="9" t="s">
        <v>122</v>
      </c>
      <c r="C262" s="9" t="str">
        <f t="shared" si="4"/>
        <v>英語文2-製圖一丙</v>
      </c>
      <c r="D262" s="9" t="s">
        <v>127</v>
      </c>
      <c r="E262" s="9" t="s">
        <v>128</v>
      </c>
      <c r="F262" s="10">
        <v>47</v>
      </c>
      <c r="G262" s="10" t="s">
        <v>11</v>
      </c>
      <c r="H262" s="10">
        <v>2</v>
      </c>
      <c r="I262" s="43"/>
    </row>
    <row r="263" spans="1:9">
      <c r="A263" s="48" t="s">
        <v>1886</v>
      </c>
      <c r="B263" s="9" t="s">
        <v>122</v>
      </c>
      <c r="C263" s="9" t="str">
        <f t="shared" si="4"/>
        <v>英語文2-製圖一丙</v>
      </c>
      <c r="D263" s="9" t="s">
        <v>435</v>
      </c>
      <c r="E263" s="9" t="s">
        <v>436</v>
      </c>
      <c r="F263" s="10">
        <v>49</v>
      </c>
      <c r="G263" s="10" t="s">
        <v>11</v>
      </c>
      <c r="H263" s="10">
        <v>2</v>
      </c>
      <c r="I263" s="43"/>
    </row>
    <row r="264" spans="1:9">
      <c r="A264" s="48" t="s">
        <v>1886</v>
      </c>
      <c r="B264" s="9" t="s">
        <v>122</v>
      </c>
      <c r="C264" s="9" t="str">
        <f t="shared" si="4"/>
        <v>英語文2-製圖一丙</v>
      </c>
      <c r="D264" s="9" t="s">
        <v>437</v>
      </c>
      <c r="E264" s="9" t="s">
        <v>438</v>
      </c>
      <c r="F264" s="10">
        <v>56</v>
      </c>
      <c r="G264" s="10" t="s">
        <v>11</v>
      </c>
      <c r="H264" s="10">
        <v>2</v>
      </c>
      <c r="I264" s="43"/>
    </row>
    <row r="265" spans="1:9">
      <c r="A265" s="48" t="s">
        <v>1886</v>
      </c>
      <c r="B265" s="9" t="s">
        <v>122</v>
      </c>
      <c r="C265" s="9" t="str">
        <f t="shared" si="4"/>
        <v>英語文2-製圖一丙</v>
      </c>
      <c r="D265" s="9" t="s">
        <v>439</v>
      </c>
      <c r="E265" s="9" t="s">
        <v>440</v>
      </c>
      <c r="F265" s="10">
        <v>51</v>
      </c>
      <c r="G265" s="10" t="s">
        <v>11</v>
      </c>
      <c r="H265" s="10">
        <v>2</v>
      </c>
      <c r="I265" s="43"/>
    </row>
    <row r="266" spans="1:9">
      <c r="A266" s="48" t="s">
        <v>1886</v>
      </c>
      <c r="B266" s="9" t="s">
        <v>122</v>
      </c>
      <c r="C266" s="9" t="str">
        <f t="shared" si="4"/>
        <v>英語文2-製圖一丙</v>
      </c>
      <c r="D266" s="9" t="s">
        <v>137</v>
      </c>
      <c r="E266" s="9" t="s">
        <v>138</v>
      </c>
      <c r="F266" s="10">
        <v>48</v>
      </c>
      <c r="G266" s="10" t="s">
        <v>11</v>
      </c>
      <c r="H266" s="10">
        <v>2</v>
      </c>
      <c r="I266" s="43"/>
    </row>
    <row r="267" spans="1:9">
      <c r="A267" s="48" t="s">
        <v>1886</v>
      </c>
      <c r="B267" s="9" t="s">
        <v>122</v>
      </c>
      <c r="C267" s="9" t="str">
        <f t="shared" si="4"/>
        <v>英語文2-製圖一丙</v>
      </c>
      <c r="D267" s="9" t="s">
        <v>139</v>
      </c>
      <c r="E267" s="9" t="s">
        <v>140</v>
      </c>
      <c r="F267" s="10">
        <v>56</v>
      </c>
      <c r="G267" s="10" t="s">
        <v>11</v>
      </c>
      <c r="H267" s="10">
        <v>2</v>
      </c>
      <c r="I267" s="43"/>
    </row>
    <row r="268" spans="1:9">
      <c r="A268" s="48" t="s">
        <v>1886</v>
      </c>
      <c r="B268" s="9" t="s">
        <v>322</v>
      </c>
      <c r="C268" s="9" t="str">
        <f t="shared" si="4"/>
        <v>英語文2-製圖一甲</v>
      </c>
      <c r="D268" s="9" t="s">
        <v>537</v>
      </c>
      <c r="E268" s="9" t="s">
        <v>538</v>
      </c>
      <c r="F268" s="10">
        <v>40</v>
      </c>
      <c r="G268" s="10" t="s">
        <v>11</v>
      </c>
      <c r="H268" s="10">
        <v>2</v>
      </c>
      <c r="I268" s="43"/>
    </row>
    <row r="269" spans="1:9">
      <c r="A269" s="48" t="s">
        <v>1886</v>
      </c>
      <c r="B269" s="9" t="s">
        <v>322</v>
      </c>
      <c r="C269" s="9" t="str">
        <f t="shared" si="4"/>
        <v>英語文2-製圖一甲</v>
      </c>
      <c r="D269" s="9" t="s">
        <v>539</v>
      </c>
      <c r="E269" s="9" t="s">
        <v>540</v>
      </c>
      <c r="F269" s="10">
        <v>42</v>
      </c>
      <c r="G269" s="10" t="s">
        <v>11</v>
      </c>
      <c r="H269" s="10">
        <v>2</v>
      </c>
      <c r="I269" s="43"/>
    </row>
    <row r="270" spans="1:9">
      <c r="A270" s="48" t="s">
        <v>1886</v>
      </c>
      <c r="B270" s="9" t="s">
        <v>322</v>
      </c>
      <c r="C270" s="9" t="str">
        <f t="shared" si="4"/>
        <v>英語文2-製圖一甲</v>
      </c>
      <c r="D270" s="9" t="s">
        <v>325</v>
      </c>
      <c r="E270" s="9" t="s">
        <v>326</v>
      </c>
      <c r="F270" s="10">
        <v>40</v>
      </c>
      <c r="G270" s="10" t="s">
        <v>11</v>
      </c>
      <c r="H270" s="10">
        <v>2</v>
      </c>
      <c r="I270" s="43"/>
    </row>
    <row r="271" spans="1:9">
      <c r="A271" s="48" t="s">
        <v>1886</v>
      </c>
      <c r="B271" s="9" t="s">
        <v>322</v>
      </c>
      <c r="C271" s="9" t="str">
        <f t="shared" si="4"/>
        <v>英語文2-製圖一甲</v>
      </c>
      <c r="D271" s="9" t="s">
        <v>329</v>
      </c>
      <c r="E271" s="9" t="s">
        <v>330</v>
      </c>
      <c r="F271" s="10">
        <v>45</v>
      </c>
      <c r="G271" s="10" t="s">
        <v>11</v>
      </c>
      <c r="H271" s="10">
        <v>2</v>
      </c>
      <c r="I271" s="43"/>
    </row>
    <row r="272" spans="1:9">
      <c r="A272" s="48" t="s">
        <v>1886</v>
      </c>
      <c r="B272" s="9" t="s">
        <v>194</v>
      </c>
      <c r="C272" s="9" t="str">
        <f t="shared" si="4"/>
        <v>英語文2-模具一乙</v>
      </c>
      <c r="D272" s="9" t="s">
        <v>523</v>
      </c>
      <c r="E272" s="9" t="s">
        <v>524</v>
      </c>
      <c r="F272" s="10">
        <v>46</v>
      </c>
      <c r="G272" s="10" t="s">
        <v>11</v>
      </c>
      <c r="H272" s="10">
        <v>2</v>
      </c>
      <c r="I272" s="43"/>
    </row>
    <row r="273" spans="1:9">
      <c r="A273" s="48" t="s">
        <v>1886</v>
      </c>
      <c r="B273" s="9" t="s">
        <v>194</v>
      </c>
      <c r="C273" s="9" t="str">
        <f t="shared" si="4"/>
        <v>英語文2-模具一乙</v>
      </c>
      <c r="D273" s="9" t="s">
        <v>197</v>
      </c>
      <c r="E273" s="9" t="s">
        <v>198</v>
      </c>
      <c r="F273" s="10">
        <v>44</v>
      </c>
      <c r="G273" s="10" t="s">
        <v>11</v>
      </c>
      <c r="H273" s="10">
        <v>2</v>
      </c>
      <c r="I273" s="43"/>
    </row>
    <row r="274" spans="1:9">
      <c r="A274" s="48" t="s">
        <v>1886</v>
      </c>
      <c r="B274" s="9" t="s">
        <v>194</v>
      </c>
      <c r="C274" s="9" t="str">
        <f t="shared" si="4"/>
        <v>英語文2-模具一乙</v>
      </c>
      <c r="D274" s="9" t="s">
        <v>203</v>
      </c>
      <c r="E274" s="9" t="s">
        <v>204</v>
      </c>
      <c r="F274" s="10">
        <v>41</v>
      </c>
      <c r="G274" s="10" t="s">
        <v>11</v>
      </c>
      <c r="H274" s="10">
        <v>2</v>
      </c>
      <c r="I274" s="43"/>
    </row>
    <row r="275" spans="1:9">
      <c r="A275" s="48" t="s">
        <v>1886</v>
      </c>
      <c r="B275" s="9" t="s">
        <v>194</v>
      </c>
      <c r="C275" s="9" t="str">
        <f t="shared" si="4"/>
        <v>英語文2-模具一乙</v>
      </c>
      <c r="D275" s="9" t="s">
        <v>525</v>
      </c>
      <c r="E275" s="9" t="s">
        <v>526</v>
      </c>
      <c r="F275" s="10">
        <v>46</v>
      </c>
      <c r="G275" s="10" t="s">
        <v>11</v>
      </c>
      <c r="H275" s="10">
        <v>2</v>
      </c>
      <c r="I275" s="43"/>
    </row>
    <row r="276" spans="1:9">
      <c r="A276" s="48" t="s">
        <v>1886</v>
      </c>
      <c r="B276" s="9" t="s">
        <v>194</v>
      </c>
      <c r="C276" s="9" t="str">
        <f t="shared" si="4"/>
        <v>英語文2-模具一乙</v>
      </c>
      <c r="D276" s="9" t="s">
        <v>527</v>
      </c>
      <c r="E276" s="9" t="s">
        <v>528</v>
      </c>
      <c r="F276" s="10">
        <v>42</v>
      </c>
      <c r="G276" s="10" t="s">
        <v>11</v>
      </c>
      <c r="H276" s="10">
        <v>2</v>
      </c>
      <c r="I276" s="43"/>
    </row>
    <row r="277" spans="1:9">
      <c r="A277" s="48" t="s">
        <v>1886</v>
      </c>
      <c r="B277" s="9" t="s">
        <v>194</v>
      </c>
      <c r="C277" s="9" t="str">
        <f t="shared" si="4"/>
        <v>英語文2-模具一乙</v>
      </c>
      <c r="D277" s="9" t="s">
        <v>529</v>
      </c>
      <c r="E277" s="9" t="s">
        <v>530</v>
      </c>
      <c r="F277" s="10">
        <v>42</v>
      </c>
      <c r="G277" s="10" t="s">
        <v>11</v>
      </c>
      <c r="H277" s="10">
        <v>2</v>
      </c>
      <c r="I277" s="43"/>
    </row>
    <row r="278" spans="1:9">
      <c r="A278" s="48" t="s">
        <v>1886</v>
      </c>
      <c r="B278" s="9" t="s">
        <v>194</v>
      </c>
      <c r="C278" s="9" t="str">
        <f t="shared" si="4"/>
        <v>英語文2-模具一乙</v>
      </c>
      <c r="D278" s="9" t="s">
        <v>531</v>
      </c>
      <c r="E278" s="9" t="s">
        <v>532</v>
      </c>
      <c r="F278" s="10">
        <v>46</v>
      </c>
      <c r="G278" s="10" t="s">
        <v>11</v>
      </c>
      <c r="H278" s="10">
        <v>2</v>
      </c>
      <c r="I278" s="43"/>
    </row>
    <row r="279" spans="1:9">
      <c r="A279" s="48" t="s">
        <v>1886</v>
      </c>
      <c r="B279" s="9" t="s">
        <v>194</v>
      </c>
      <c r="C279" s="9" t="str">
        <f t="shared" si="4"/>
        <v>英語文2-模具一乙</v>
      </c>
      <c r="D279" s="9" t="s">
        <v>533</v>
      </c>
      <c r="E279" s="9" t="s">
        <v>534</v>
      </c>
      <c r="F279" s="10">
        <v>42</v>
      </c>
      <c r="G279" s="10" t="s">
        <v>11</v>
      </c>
      <c r="H279" s="10">
        <v>2</v>
      </c>
      <c r="I279" s="43"/>
    </row>
    <row r="280" spans="1:9">
      <c r="A280" s="48" t="s">
        <v>1886</v>
      </c>
      <c r="B280" s="9" t="s">
        <v>194</v>
      </c>
      <c r="C280" s="9" t="str">
        <f t="shared" si="4"/>
        <v>英語文2-模具一乙</v>
      </c>
      <c r="D280" s="9" t="s">
        <v>213</v>
      </c>
      <c r="E280" s="9" t="s">
        <v>214</v>
      </c>
      <c r="F280" s="10">
        <v>44</v>
      </c>
      <c r="G280" s="10" t="s">
        <v>11</v>
      </c>
      <c r="H280" s="10">
        <v>2</v>
      </c>
      <c r="I280" s="43"/>
    </row>
    <row r="281" spans="1:9">
      <c r="A281" s="48" t="s">
        <v>1886</v>
      </c>
      <c r="B281" s="9" t="s">
        <v>194</v>
      </c>
      <c r="C281" s="9" t="str">
        <f t="shared" si="4"/>
        <v>英語文2-模具一乙</v>
      </c>
      <c r="D281" s="9" t="s">
        <v>535</v>
      </c>
      <c r="E281" s="9" t="s">
        <v>536</v>
      </c>
      <c r="F281" s="10">
        <v>48</v>
      </c>
      <c r="G281" s="10" t="s">
        <v>11</v>
      </c>
      <c r="H281" s="10">
        <v>2</v>
      </c>
      <c r="I281" s="43"/>
    </row>
    <row r="282" spans="1:9">
      <c r="A282" s="48" t="s">
        <v>1886</v>
      </c>
      <c r="B282" s="9" t="s">
        <v>301</v>
      </c>
      <c r="C282" s="9" t="str">
        <f t="shared" si="4"/>
        <v>英語文2-模具一甲</v>
      </c>
      <c r="D282" s="9" t="s">
        <v>302</v>
      </c>
      <c r="E282" s="9" t="s">
        <v>303</v>
      </c>
      <c r="F282" s="10">
        <v>50</v>
      </c>
      <c r="G282" s="10" t="s">
        <v>11</v>
      </c>
      <c r="H282" s="10">
        <v>2</v>
      </c>
      <c r="I282" s="43"/>
    </row>
    <row r="283" spans="1:9">
      <c r="A283" s="48" t="s">
        <v>1886</v>
      </c>
      <c r="B283" s="9" t="s">
        <v>301</v>
      </c>
      <c r="C283" s="9" t="str">
        <f t="shared" si="4"/>
        <v>英語文2-模具一甲</v>
      </c>
      <c r="D283" s="9" t="s">
        <v>463</v>
      </c>
      <c r="E283" s="9" t="s">
        <v>464</v>
      </c>
      <c r="F283" s="10">
        <v>44</v>
      </c>
      <c r="G283" s="10" t="s">
        <v>11</v>
      </c>
      <c r="H283" s="10">
        <v>2</v>
      </c>
      <c r="I283" s="43"/>
    </row>
    <row r="284" spans="1:9">
      <c r="A284" s="48" t="s">
        <v>1886</v>
      </c>
      <c r="B284" s="9" t="s">
        <v>301</v>
      </c>
      <c r="C284" s="9" t="str">
        <f t="shared" si="4"/>
        <v>英語文2-模具一甲</v>
      </c>
      <c r="D284" s="9" t="s">
        <v>465</v>
      </c>
      <c r="E284" s="9" t="s">
        <v>466</v>
      </c>
      <c r="F284" s="10">
        <v>53</v>
      </c>
      <c r="G284" s="10" t="s">
        <v>11</v>
      </c>
      <c r="H284" s="10">
        <v>2</v>
      </c>
      <c r="I284" s="43"/>
    </row>
    <row r="285" spans="1:9">
      <c r="A285" s="48" t="s">
        <v>1886</v>
      </c>
      <c r="B285" s="9" t="s">
        <v>301</v>
      </c>
      <c r="C285" s="9" t="str">
        <f t="shared" si="4"/>
        <v>英語文2-模具一甲</v>
      </c>
      <c r="D285" s="9" t="s">
        <v>306</v>
      </c>
      <c r="E285" s="9" t="s">
        <v>307</v>
      </c>
      <c r="F285" s="10">
        <v>56</v>
      </c>
      <c r="G285" s="10" t="s">
        <v>11</v>
      </c>
      <c r="H285" s="10">
        <v>2</v>
      </c>
      <c r="I285" s="43"/>
    </row>
    <row r="286" spans="1:9">
      <c r="A286" s="48" t="s">
        <v>1886</v>
      </c>
      <c r="B286" s="9" t="s">
        <v>301</v>
      </c>
      <c r="C286" s="9" t="str">
        <f t="shared" si="4"/>
        <v>英語文2-模具一甲</v>
      </c>
      <c r="D286" s="9" t="s">
        <v>310</v>
      </c>
      <c r="E286" s="9" t="s">
        <v>311</v>
      </c>
      <c r="F286" s="10">
        <v>55</v>
      </c>
      <c r="G286" s="10" t="s">
        <v>11</v>
      </c>
      <c r="H286" s="10">
        <v>2</v>
      </c>
      <c r="I286" s="43"/>
    </row>
    <row r="287" spans="1:9">
      <c r="A287" s="48" t="s">
        <v>1886</v>
      </c>
      <c r="B287" s="9" t="s">
        <v>301</v>
      </c>
      <c r="C287" s="9" t="str">
        <f t="shared" si="4"/>
        <v>英語文2-模具一甲</v>
      </c>
      <c r="D287" s="9" t="s">
        <v>467</v>
      </c>
      <c r="E287" s="9" t="s">
        <v>468</v>
      </c>
      <c r="F287" s="10">
        <v>49</v>
      </c>
      <c r="G287" s="10" t="s">
        <v>11</v>
      </c>
      <c r="H287" s="10">
        <v>2</v>
      </c>
      <c r="I287" s="43"/>
    </row>
    <row r="288" spans="1:9">
      <c r="A288" s="48" t="s">
        <v>1886</v>
      </c>
      <c r="B288" s="9" t="s">
        <v>301</v>
      </c>
      <c r="C288" s="9" t="str">
        <f t="shared" si="4"/>
        <v>英語文2-模具一甲</v>
      </c>
      <c r="D288" s="9" t="s">
        <v>318</v>
      </c>
      <c r="E288" s="9" t="s">
        <v>319</v>
      </c>
      <c r="F288" s="10">
        <v>44</v>
      </c>
      <c r="G288" s="10" t="s">
        <v>11</v>
      </c>
      <c r="H288" s="10">
        <v>2</v>
      </c>
      <c r="I288" s="43"/>
    </row>
    <row r="289" spans="1:9">
      <c r="A289" s="48" t="s">
        <v>1886</v>
      </c>
      <c r="B289" s="9" t="s">
        <v>301</v>
      </c>
      <c r="C289" s="9" t="str">
        <f t="shared" si="4"/>
        <v>英語文2-模具一甲</v>
      </c>
      <c r="D289" s="9" t="s">
        <v>469</v>
      </c>
      <c r="E289" s="9" t="s">
        <v>470</v>
      </c>
      <c r="F289" s="10">
        <v>47</v>
      </c>
      <c r="G289" s="10" t="s">
        <v>11</v>
      </c>
      <c r="H289" s="10">
        <v>2</v>
      </c>
      <c r="I289" s="43"/>
    </row>
    <row r="290" spans="1:9">
      <c r="A290" s="48" t="s">
        <v>1886</v>
      </c>
      <c r="B290" s="9" t="s">
        <v>301</v>
      </c>
      <c r="C290" s="9" t="str">
        <f t="shared" si="4"/>
        <v>英語文2-模具一甲</v>
      </c>
      <c r="D290" s="9" t="s">
        <v>471</v>
      </c>
      <c r="E290" s="9" t="s">
        <v>472</v>
      </c>
      <c r="F290" s="10">
        <v>55</v>
      </c>
      <c r="G290" s="10" t="s">
        <v>11</v>
      </c>
      <c r="H290" s="10">
        <v>2</v>
      </c>
      <c r="I290" s="43"/>
    </row>
    <row r="291" spans="1:9">
      <c r="A291" s="48" t="s">
        <v>1886</v>
      </c>
      <c r="B291" s="9" t="s">
        <v>301</v>
      </c>
      <c r="C291" s="9" t="str">
        <f t="shared" si="4"/>
        <v>英語文2-模具一甲</v>
      </c>
      <c r="D291" s="9" t="s">
        <v>473</v>
      </c>
      <c r="E291" s="9" t="s">
        <v>474</v>
      </c>
      <c r="F291" s="10">
        <v>40</v>
      </c>
      <c r="G291" s="10" t="s">
        <v>11</v>
      </c>
      <c r="H291" s="10">
        <v>2</v>
      </c>
      <c r="I291" s="43"/>
    </row>
    <row r="292" spans="1:9">
      <c r="A292" s="48" t="s">
        <v>1886</v>
      </c>
      <c r="B292" s="9" t="s">
        <v>301</v>
      </c>
      <c r="C292" s="9" t="str">
        <f t="shared" si="4"/>
        <v>英語文2-模具一甲</v>
      </c>
      <c r="D292" s="9" t="s">
        <v>475</v>
      </c>
      <c r="E292" s="9" t="s">
        <v>476</v>
      </c>
      <c r="F292" s="10">
        <v>49</v>
      </c>
      <c r="G292" s="10" t="s">
        <v>11</v>
      </c>
      <c r="H292" s="10">
        <v>2</v>
      </c>
      <c r="I292" s="43"/>
    </row>
    <row r="293" spans="1:9">
      <c r="A293" s="48" t="s">
        <v>1886</v>
      </c>
      <c r="B293" s="9" t="s">
        <v>301</v>
      </c>
      <c r="C293" s="9" t="str">
        <f t="shared" si="4"/>
        <v>英語文2-模具一甲</v>
      </c>
      <c r="D293" s="9" t="s">
        <v>477</v>
      </c>
      <c r="E293" s="9" t="s">
        <v>478</v>
      </c>
      <c r="F293" s="10">
        <v>55</v>
      </c>
      <c r="G293" s="10" t="s">
        <v>11</v>
      </c>
      <c r="H293" s="10">
        <v>2</v>
      </c>
      <c r="I293" s="43"/>
    </row>
    <row r="294" spans="1:9">
      <c r="A294" s="48" t="s">
        <v>1886</v>
      </c>
      <c r="B294" s="9" t="s">
        <v>84</v>
      </c>
      <c r="C294" s="9" t="str">
        <f t="shared" si="4"/>
        <v>英語文2-機械一乙</v>
      </c>
      <c r="D294" s="9" t="s">
        <v>441</v>
      </c>
      <c r="E294" s="9" t="s">
        <v>442</v>
      </c>
      <c r="F294" s="10">
        <v>54</v>
      </c>
      <c r="G294" s="10" t="s">
        <v>11</v>
      </c>
      <c r="H294" s="10">
        <v>2</v>
      </c>
      <c r="I294" s="43"/>
    </row>
    <row r="295" spans="1:9">
      <c r="A295" s="48" t="s">
        <v>1886</v>
      </c>
      <c r="B295" s="9" t="s">
        <v>84</v>
      </c>
      <c r="C295" s="9" t="str">
        <f t="shared" si="4"/>
        <v>英語文2-機械一乙</v>
      </c>
      <c r="D295" s="9" t="s">
        <v>89</v>
      </c>
      <c r="E295" s="9" t="s">
        <v>90</v>
      </c>
      <c r="F295" s="10">
        <v>40</v>
      </c>
      <c r="G295" s="10" t="s">
        <v>11</v>
      </c>
      <c r="H295" s="10">
        <v>2</v>
      </c>
      <c r="I295" s="43"/>
    </row>
    <row r="296" spans="1:9">
      <c r="A296" s="48" t="s">
        <v>1886</v>
      </c>
      <c r="B296" s="9" t="s">
        <v>84</v>
      </c>
      <c r="C296" s="9" t="str">
        <f t="shared" si="4"/>
        <v>英語文2-機械一乙</v>
      </c>
      <c r="D296" s="9" t="s">
        <v>443</v>
      </c>
      <c r="E296" s="9" t="s">
        <v>444</v>
      </c>
      <c r="F296" s="10">
        <v>49</v>
      </c>
      <c r="G296" s="10" t="s">
        <v>11</v>
      </c>
      <c r="H296" s="10">
        <v>2</v>
      </c>
      <c r="I296" s="43"/>
    </row>
    <row r="297" spans="1:9">
      <c r="A297" s="48" t="s">
        <v>1886</v>
      </c>
      <c r="B297" s="9" t="s">
        <v>84</v>
      </c>
      <c r="C297" s="9" t="str">
        <f t="shared" si="4"/>
        <v>英語文2-機械一乙</v>
      </c>
      <c r="D297" s="9" t="s">
        <v>91</v>
      </c>
      <c r="E297" s="9" t="s">
        <v>92</v>
      </c>
      <c r="F297" s="10">
        <v>40</v>
      </c>
      <c r="G297" s="10" t="s">
        <v>11</v>
      </c>
      <c r="H297" s="10">
        <v>2</v>
      </c>
      <c r="I297" s="43"/>
    </row>
    <row r="298" spans="1:9">
      <c r="A298" s="48" t="s">
        <v>1886</v>
      </c>
      <c r="B298" s="9" t="s">
        <v>84</v>
      </c>
      <c r="C298" s="9" t="str">
        <f t="shared" si="4"/>
        <v>英語文2-機械一乙</v>
      </c>
      <c r="D298" s="9" t="s">
        <v>445</v>
      </c>
      <c r="E298" s="9" t="s">
        <v>446</v>
      </c>
      <c r="F298" s="10">
        <v>41</v>
      </c>
      <c r="G298" s="10" t="s">
        <v>11</v>
      </c>
      <c r="H298" s="10">
        <v>2</v>
      </c>
      <c r="I298" s="43"/>
    </row>
    <row r="299" spans="1:9">
      <c r="A299" s="48" t="s">
        <v>1886</v>
      </c>
      <c r="B299" s="9" t="s">
        <v>84</v>
      </c>
      <c r="C299" s="9" t="str">
        <f t="shared" si="4"/>
        <v>英語文2-機械一乙</v>
      </c>
      <c r="D299" s="9" t="s">
        <v>447</v>
      </c>
      <c r="E299" s="9" t="s">
        <v>448</v>
      </c>
      <c r="F299" s="10">
        <v>40</v>
      </c>
      <c r="G299" s="10" t="s">
        <v>11</v>
      </c>
      <c r="H299" s="10">
        <v>2</v>
      </c>
      <c r="I299" s="43"/>
    </row>
    <row r="300" spans="1:9">
      <c r="A300" s="48" t="s">
        <v>1886</v>
      </c>
      <c r="B300" s="9" t="s">
        <v>7</v>
      </c>
      <c r="C300" s="9" t="str">
        <f t="shared" si="4"/>
        <v>英語文2-機械一甲</v>
      </c>
      <c r="D300" s="9" t="s">
        <v>8</v>
      </c>
      <c r="E300" s="9" t="s">
        <v>9</v>
      </c>
      <c r="F300" s="10">
        <v>40</v>
      </c>
      <c r="G300" s="10" t="s">
        <v>11</v>
      </c>
      <c r="H300" s="10">
        <v>2</v>
      </c>
      <c r="I300" s="43"/>
    </row>
    <row r="301" spans="1:9">
      <c r="A301" s="48" t="s">
        <v>1886</v>
      </c>
      <c r="B301" s="9" t="s">
        <v>7</v>
      </c>
      <c r="C301" s="9" t="str">
        <f t="shared" si="4"/>
        <v>英語文2-機械一甲</v>
      </c>
      <c r="D301" s="9" t="s">
        <v>13</v>
      </c>
      <c r="E301" s="9" t="s">
        <v>14</v>
      </c>
      <c r="F301" s="10">
        <v>56</v>
      </c>
      <c r="G301" s="10" t="s">
        <v>11</v>
      </c>
      <c r="H301" s="10">
        <v>2</v>
      </c>
      <c r="I301" s="43"/>
    </row>
    <row r="302" spans="1:9">
      <c r="A302" s="48" t="s">
        <v>1886</v>
      </c>
      <c r="B302" s="9" t="s">
        <v>7</v>
      </c>
      <c r="C302" s="9" t="str">
        <f t="shared" si="4"/>
        <v>英語文2-機械一甲</v>
      </c>
      <c r="D302" s="9" t="s">
        <v>541</v>
      </c>
      <c r="E302" s="9" t="s">
        <v>542</v>
      </c>
      <c r="F302" s="10">
        <v>56</v>
      </c>
      <c r="G302" s="10" t="s">
        <v>11</v>
      </c>
      <c r="H302" s="10">
        <v>2</v>
      </c>
      <c r="I302" s="43"/>
    </row>
    <row r="303" spans="1:9">
      <c r="A303" s="48" t="s">
        <v>1886</v>
      </c>
      <c r="B303" s="9" t="s">
        <v>7</v>
      </c>
      <c r="C303" s="9" t="str">
        <f t="shared" si="4"/>
        <v>英語文2-機械一甲</v>
      </c>
      <c r="D303" s="9" t="s">
        <v>543</v>
      </c>
      <c r="E303" s="9" t="s">
        <v>71</v>
      </c>
      <c r="F303" s="10">
        <v>55</v>
      </c>
      <c r="G303" s="10" t="s">
        <v>11</v>
      </c>
      <c r="H303" s="10">
        <v>2</v>
      </c>
      <c r="I303" s="43"/>
    </row>
    <row r="304" spans="1:9">
      <c r="A304" s="48" t="s">
        <v>1886</v>
      </c>
      <c r="B304" s="9" t="s">
        <v>7</v>
      </c>
      <c r="C304" s="9" t="str">
        <f t="shared" si="4"/>
        <v>英語文2-機械一甲</v>
      </c>
      <c r="D304" s="9" t="s">
        <v>17</v>
      </c>
      <c r="E304" s="9" t="s">
        <v>18</v>
      </c>
      <c r="F304" s="10">
        <v>42</v>
      </c>
      <c r="G304" s="10" t="s">
        <v>11</v>
      </c>
      <c r="H304" s="10">
        <v>2</v>
      </c>
      <c r="I304" s="43"/>
    </row>
    <row r="305" spans="1:9">
      <c r="A305" s="48" t="s">
        <v>1886</v>
      </c>
      <c r="B305" s="9" t="s">
        <v>7</v>
      </c>
      <c r="C305" s="9" t="str">
        <f t="shared" si="4"/>
        <v>英語文2-機械一甲</v>
      </c>
      <c r="D305" s="9" t="s">
        <v>544</v>
      </c>
      <c r="E305" s="9" t="s">
        <v>545</v>
      </c>
      <c r="F305" s="10">
        <v>53</v>
      </c>
      <c r="G305" s="10" t="s">
        <v>11</v>
      </c>
      <c r="H305" s="10">
        <v>2</v>
      </c>
      <c r="I305" s="43"/>
    </row>
    <row r="306" spans="1:9">
      <c r="A306" s="48" t="s">
        <v>1886</v>
      </c>
      <c r="B306" s="9" t="s">
        <v>7</v>
      </c>
      <c r="C306" s="9" t="str">
        <f t="shared" si="4"/>
        <v>英語文2-機械一甲</v>
      </c>
      <c r="D306" s="9" t="s">
        <v>546</v>
      </c>
      <c r="E306" s="9" t="s">
        <v>547</v>
      </c>
      <c r="F306" s="10">
        <v>40</v>
      </c>
      <c r="G306" s="10" t="s">
        <v>11</v>
      </c>
      <c r="H306" s="10">
        <v>2</v>
      </c>
      <c r="I306" s="43"/>
    </row>
    <row r="307" spans="1:9">
      <c r="A307" s="48" t="s">
        <v>1886</v>
      </c>
      <c r="B307" s="9" t="s">
        <v>7</v>
      </c>
      <c r="C307" s="9" t="str">
        <f t="shared" si="4"/>
        <v>英語文2-機械一甲</v>
      </c>
      <c r="D307" s="9" t="s">
        <v>548</v>
      </c>
      <c r="E307" s="9" t="s">
        <v>549</v>
      </c>
      <c r="F307" s="10">
        <v>54</v>
      </c>
      <c r="G307" s="10" t="s">
        <v>11</v>
      </c>
      <c r="H307" s="10">
        <v>2</v>
      </c>
      <c r="I307" s="43"/>
    </row>
    <row r="308" spans="1:9">
      <c r="A308" s="48" t="s">
        <v>1886</v>
      </c>
      <c r="B308" s="9" t="s">
        <v>7</v>
      </c>
      <c r="C308" s="9" t="str">
        <f t="shared" si="4"/>
        <v>英語文2-機械一甲</v>
      </c>
      <c r="D308" s="9" t="s">
        <v>550</v>
      </c>
      <c r="E308" s="9" t="s">
        <v>551</v>
      </c>
      <c r="F308" s="10">
        <v>40</v>
      </c>
      <c r="G308" s="10" t="s">
        <v>11</v>
      </c>
      <c r="H308" s="10">
        <v>2</v>
      </c>
      <c r="I308" s="43"/>
    </row>
    <row r="309" spans="1:9">
      <c r="A309" s="48" t="s">
        <v>1886</v>
      </c>
      <c r="B309" s="9" t="s">
        <v>7</v>
      </c>
      <c r="C309" s="9" t="str">
        <f t="shared" si="4"/>
        <v>英語文2-機械一甲</v>
      </c>
      <c r="D309" s="9" t="s">
        <v>552</v>
      </c>
      <c r="E309" s="9" t="s">
        <v>553</v>
      </c>
      <c r="F309" s="10">
        <v>55</v>
      </c>
      <c r="G309" s="10" t="s">
        <v>11</v>
      </c>
      <c r="H309" s="10">
        <v>2</v>
      </c>
      <c r="I309" s="43"/>
    </row>
    <row r="310" spans="1:9">
      <c r="A310" s="48" t="s">
        <v>1886</v>
      </c>
      <c r="B310" s="9" t="s">
        <v>7</v>
      </c>
      <c r="C310" s="9" t="str">
        <f t="shared" si="4"/>
        <v>英語文2-機械一甲</v>
      </c>
      <c r="D310" s="9" t="s">
        <v>554</v>
      </c>
      <c r="E310" s="9" t="s">
        <v>555</v>
      </c>
      <c r="F310" s="10">
        <v>54</v>
      </c>
      <c r="G310" s="10" t="s">
        <v>11</v>
      </c>
      <c r="H310" s="10">
        <v>2</v>
      </c>
      <c r="I310" s="43"/>
    </row>
    <row r="311" spans="1:9">
      <c r="A311" s="48" t="s">
        <v>1886</v>
      </c>
      <c r="B311" s="9" t="s">
        <v>7</v>
      </c>
      <c r="C311" s="9" t="str">
        <f t="shared" si="4"/>
        <v>英語文2-機械一甲</v>
      </c>
      <c r="D311" s="9" t="s">
        <v>556</v>
      </c>
      <c r="E311" s="9" t="s">
        <v>557</v>
      </c>
      <c r="F311" s="10">
        <v>40</v>
      </c>
      <c r="G311" s="10" t="s">
        <v>11</v>
      </c>
      <c r="H311" s="10">
        <v>2</v>
      </c>
      <c r="I311" s="43"/>
    </row>
    <row r="312" spans="1:9">
      <c r="A312" s="48" t="s">
        <v>1965</v>
      </c>
      <c r="B312" s="9" t="s">
        <v>141</v>
      </c>
      <c r="C312" s="9" t="str">
        <f t="shared" si="4"/>
        <v>英語文2B-應英一乙</v>
      </c>
      <c r="D312" s="9" t="s">
        <v>568</v>
      </c>
      <c r="E312" s="9" t="s">
        <v>569</v>
      </c>
      <c r="F312" s="10">
        <v>54</v>
      </c>
      <c r="G312" s="10" t="s">
        <v>11</v>
      </c>
      <c r="H312" s="10">
        <v>2</v>
      </c>
      <c r="I312" s="43"/>
    </row>
    <row r="313" spans="1:9">
      <c r="A313" s="48" t="s">
        <v>1965</v>
      </c>
      <c r="B313" s="9" t="s">
        <v>141</v>
      </c>
      <c r="C313" s="9" t="str">
        <f t="shared" si="4"/>
        <v>英語文2B-應英一乙</v>
      </c>
      <c r="D313" s="9" t="s">
        <v>570</v>
      </c>
      <c r="E313" s="9" t="s">
        <v>571</v>
      </c>
      <c r="F313" s="10">
        <v>47</v>
      </c>
      <c r="G313" s="10" t="s">
        <v>11</v>
      </c>
      <c r="H313" s="10">
        <v>2</v>
      </c>
      <c r="I313" s="43"/>
    </row>
    <row r="314" spans="1:9">
      <c r="A314" s="48" t="s">
        <v>1965</v>
      </c>
      <c r="B314" s="9" t="s">
        <v>141</v>
      </c>
      <c r="C314" s="9" t="str">
        <f t="shared" si="4"/>
        <v>英語文2B-應英一乙</v>
      </c>
      <c r="D314" s="9" t="s">
        <v>572</v>
      </c>
      <c r="E314" s="9" t="s">
        <v>573</v>
      </c>
      <c r="F314" s="10">
        <v>46</v>
      </c>
      <c r="G314" s="10" t="s">
        <v>11</v>
      </c>
      <c r="H314" s="10">
        <v>2</v>
      </c>
      <c r="I314" s="43"/>
    </row>
    <row r="315" spans="1:9">
      <c r="A315" s="48" t="s">
        <v>1965</v>
      </c>
      <c r="B315" s="9" t="s">
        <v>141</v>
      </c>
      <c r="C315" s="9" t="str">
        <f t="shared" si="4"/>
        <v>英語文2B-應英一乙</v>
      </c>
      <c r="D315" s="9" t="s">
        <v>574</v>
      </c>
      <c r="E315" s="9" t="s">
        <v>575</v>
      </c>
      <c r="F315" s="10">
        <v>51</v>
      </c>
      <c r="G315" s="10" t="s">
        <v>11</v>
      </c>
      <c r="H315" s="10">
        <v>2</v>
      </c>
      <c r="I315" s="43"/>
    </row>
    <row r="316" spans="1:9">
      <c r="A316" s="48" t="s">
        <v>1965</v>
      </c>
      <c r="B316" s="9" t="s">
        <v>141</v>
      </c>
      <c r="C316" s="9" t="str">
        <f t="shared" si="4"/>
        <v>英語文2B-應英一乙</v>
      </c>
      <c r="D316" s="9" t="s">
        <v>144</v>
      </c>
      <c r="E316" s="9" t="s">
        <v>145</v>
      </c>
      <c r="F316" s="10">
        <v>52</v>
      </c>
      <c r="G316" s="10" t="s">
        <v>11</v>
      </c>
      <c r="H316" s="10">
        <v>2</v>
      </c>
      <c r="I316" s="43"/>
    </row>
    <row r="317" spans="1:9">
      <c r="A317" s="48" t="s">
        <v>1965</v>
      </c>
      <c r="B317" s="9" t="s">
        <v>141</v>
      </c>
      <c r="C317" s="9" t="str">
        <f t="shared" si="4"/>
        <v>英語文2B-應英一乙</v>
      </c>
      <c r="D317" s="9" t="s">
        <v>148</v>
      </c>
      <c r="E317" s="9" t="s">
        <v>149</v>
      </c>
      <c r="F317" s="10">
        <v>49</v>
      </c>
      <c r="G317" s="10" t="s">
        <v>11</v>
      </c>
      <c r="H317" s="10">
        <v>2</v>
      </c>
      <c r="I317" s="43"/>
    </row>
    <row r="318" spans="1:9">
      <c r="A318" s="48" t="s">
        <v>1965</v>
      </c>
      <c r="B318" s="9" t="s">
        <v>141</v>
      </c>
      <c r="C318" s="9" t="str">
        <f t="shared" si="4"/>
        <v>英語文2B-應英一乙</v>
      </c>
      <c r="D318" s="9" t="s">
        <v>576</v>
      </c>
      <c r="E318" s="9" t="s">
        <v>577</v>
      </c>
      <c r="F318" s="10">
        <v>47</v>
      </c>
      <c r="G318" s="10" t="s">
        <v>11</v>
      </c>
      <c r="H318" s="10">
        <v>2</v>
      </c>
      <c r="I318" s="43"/>
    </row>
    <row r="319" spans="1:9">
      <c r="A319" s="48" t="s">
        <v>1965</v>
      </c>
      <c r="B319" s="9" t="s">
        <v>141</v>
      </c>
      <c r="C319" s="9" t="str">
        <f t="shared" si="4"/>
        <v>英語文2B-應英一乙</v>
      </c>
      <c r="D319" s="9" t="s">
        <v>578</v>
      </c>
      <c r="E319" s="9" t="s">
        <v>579</v>
      </c>
      <c r="F319" s="10">
        <v>51</v>
      </c>
      <c r="G319" s="10" t="s">
        <v>11</v>
      </c>
      <c r="H319" s="10">
        <v>2</v>
      </c>
      <c r="I319" s="43"/>
    </row>
    <row r="320" spans="1:9">
      <c r="A320" s="48" t="s">
        <v>1965</v>
      </c>
      <c r="B320" s="9" t="s">
        <v>141</v>
      </c>
      <c r="C320" s="9" t="str">
        <f t="shared" si="4"/>
        <v>英語文2B-應英一乙</v>
      </c>
      <c r="D320" s="9" t="s">
        <v>580</v>
      </c>
      <c r="E320" s="9" t="s">
        <v>581</v>
      </c>
      <c r="F320" s="10">
        <v>50</v>
      </c>
      <c r="G320" s="10" t="s">
        <v>11</v>
      </c>
      <c r="H320" s="10">
        <v>2</v>
      </c>
      <c r="I320" s="43"/>
    </row>
    <row r="321" spans="1:9">
      <c r="A321" s="48" t="s">
        <v>1965</v>
      </c>
      <c r="B321" s="9" t="s">
        <v>141</v>
      </c>
      <c r="C321" s="9" t="str">
        <f t="shared" si="4"/>
        <v>英語文2B-應英一乙</v>
      </c>
      <c r="D321" s="9" t="s">
        <v>154</v>
      </c>
      <c r="E321" s="9" t="s">
        <v>155</v>
      </c>
      <c r="F321" s="10">
        <v>47</v>
      </c>
      <c r="G321" s="10" t="s">
        <v>11</v>
      </c>
      <c r="H321" s="10">
        <v>2</v>
      </c>
      <c r="I321" s="43"/>
    </row>
    <row r="322" spans="1:9">
      <c r="A322" s="48" t="s">
        <v>1957</v>
      </c>
      <c r="B322" s="9" t="s">
        <v>239</v>
      </c>
      <c r="C322" s="9" t="str">
        <f t="shared" si="4"/>
        <v>英語文2B-應英一甲</v>
      </c>
      <c r="D322" s="9" t="s">
        <v>558</v>
      </c>
      <c r="E322" s="9" t="s">
        <v>559</v>
      </c>
      <c r="F322" s="10">
        <v>45</v>
      </c>
      <c r="G322" s="10" t="s">
        <v>11</v>
      </c>
      <c r="H322" s="10">
        <v>2</v>
      </c>
      <c r="I322" s="43"/>
    </row>
    <row r="323" spans="1:9">
      <c r="A323" s="48" t="s">
        <v>1957</v>
      </c>
      <c r="B323" s="9" t="s">
        <v>239</v>
      </c>
      <c r="C323" s="9" t="str">
        <f t="shared" ref="C323:C386" si="5">A323&amp;"-"&amp;B323</f>
        <v>英語文2B-應英一甲</v>
      </c>
      <c r="D323" s="9" t="s">
        <v>560</v>
      </c>
      <c r="E323" s="9" t="s">
        <v>561</v>
      </c>
      <c r="F323" s="10">
        <v>52</v>
      </c>
      <c r="G323" s="10" t="s">
        <v>11</v>
      </c>
      <c r="H323" s="10">
        <v>2</v>
      </c>
      <c r="I323" s="43"/>
    </row>
    <row r="324" spans="1:9">
      <c r="A324" s="48" t="s">
        <v>1957</v>
      </c>
      <c r="B324" s="9" t="s">
        <v>239</v>
      </c>
      <c r="C324" s="9" t="str">
        <f t="shared" si="5"/>
        <v>英語文2B-應英一甲</v>
      </c>
      <c r="D324" s="9" t="s">
        <v>562</v>
      </c>
      <c r="E324" s="9" t="s">
        <v>563</v>
      </c>
      <c r="F324" s="10">
        <v>45</v>
      </c>
      <c r="G324" s="10" t="s">
        <v>11</v>
      </c>
      <c r="H324" s="10">
        <v>2</v>
      </c>
      <c r="I324" s="43"/>
    </row>
    <row r="325" spans="1:9">
      <c r="A325" s="48" t="s">
        <v>1957</v>
      </c>
      <c r="B325" s="9" t="s">
        <v>239</v>
      </c>
      <c r="C325" s="9" t="str">
        <f t="shared" si="5"/>
        <v>英語文2B-應英一甲</v>
      </c>
      <c r="D325" s="9" t="s">
        <v>564</v>
      </c>
      <c r="E325" s="9" t="s">
        <v>565</v>
      </c>
      <c r="F325" s="10">
        <v>55</v>
      </c>
      <c r="G325" s="10" t="s">
        <v>11</v>
      </c>
      <c r="H325" s="10">
        <v>2</v>
      </c>
      <c r="I325" s="43"/>
    </row>
    <row r="326" spans="1:9">
      <c r="A326" s="48" t="s">
        <v>1957</v>
      </c>
      <c r="B326" s="9" t="s">
        <v>239</v>
      </c>
      <c r="C326" s="9" t="str">
        <f t="shared" si="5"/>
        <v>英語文2B-應英一甲</v>
      </c>
      <c r="D326" s="9" t="s">
        <v>240</v>
      </c>
      <c r="E326" s="9" t="s">
        <v>241</v>
      </c>
      <c r="F326" s="10">
        <v>56</v>
      </c>
      <c r="G326" s="10" t="s">
        <v>11</v>
      </c>
      <c r="H326" s="10">
        <v>2</v>
      </c>
      <c r="I326" s="43"/>
    </row>
    <row r="327" spans="1:9">
      <c r="A327" s="48" t="s">
        <v>1957</v>
      </c>
      <c r="B327" s="9" t="s">
        <v>239</v>
      </c>
      <c r="C327" s="9" t="str">
        <f t="shared" si="5"/>
        <v>英語文2B-應英一甲</v>
      </c>
      <c r="D327" s="9" t="s">
        <v>242</v>
      </c>
      <c r="E327" s="9" t="s">
        <v>243</v>
      </c>
      <c r="F327" s="10">
        <v>57</v>
      </c>
      <c r="G327" s="10" t="s">
        <v>11</v>
      </c>
      <c r="H327" s="10">
        <v>2</v>
      </c>
      <c r="I327" s="43"/>
    </row>
    <row r="328" spans="1:9">
      <c r="A328" s="48" t="s">
        <v>1957</v>
      </c>
      <c r="B328" s="9" t="s">
        <v>239</v>
      </c>
      <c r="C328" s="9" t="str">
        <f t="shared" si="5"/>
        <v>英語文2B-應英一甲</v>
      </c>
      <c r="D328" s="9" t="s">
        <v>566</v>
      </c>
      <c r="E328" s="9" t="s">
        <v>567</v>
      </c>
      <c r="F328" s="10">
        <v>48</v>
      </c>
      <c r="G328" s="10" t="s">
        <v>11</v>
      </c>
      <c r="H328" s="10">
        <v>2</v>
      </c>
      <c r="I328" s="43"/>
    </row>
    <row r="329" spans="1:9">
      <c r="A329" s="48" t="s">
        <v>1886</v>
      </c>
      <c r="B329" s="9" t="s">
        <v>246</v>
      </c>
      <c r="C329" s="9" t="str">
        <f t="shared" si="5"/>
        <v>英語文2-鑄造一乙</v>
      </c>
      <c r="D329" s="9" t="s">
        <v>247</v>
      </c>
      <c r="E329" s="9" t="s">
        <v>248</v>
      </c>
      <c r="F329" s="10">
        <v>47</v>
      </c>
      <c r="G329" s="10" t="s">
        <v>11</v>
      </c>
      <c r="H329" s="10">
        <v>2</v>
      </c>
      <c r="I329" s="43"/>
    </row>
    <row r="330" spans="1:9">
      <c r="A330" s="48" t="s">
        <v>1886</v>
      </c>
      <c r="B330" s="9" t="s">
        <v>246</v>
      </c>
      <c r="C330" s="9" t="str">
        <f t="shared" si="5"/>
        <v>英語文2-鑄造一乙</v>
      </c>
      <c r="D330" s="9" t="s">
        <v>251</v>
      </c>
      <c r="E330" s="9" t="s">
        <v>252</v>
      </c>
      <c r="F330" s="10">
        <v>52</v>
      </c>
      <c r="G330" s="10" t="s">
        <v>11</v>
      </c>
      <c r="H330" s="10">
        <v>2</v>
      </c>
      <c r="I330" s="43"/>
    </row>
    <row r="331" spans="1:9">
      <c r="A331" s="48" t="s">
        <v>1886</v>
      </c>
      <c r="B331" s="9" t="s">
        <v>246</v>
      </c>
      <c r="C331" s="9" t="str">
        <f t="shared" si="5"/>
        <v>英語文2-鑄造一乙</v>
      </c>
      <c r="D331" s="9" t="s">
        <v>253</v>
      </c>
      <c r="E331" s="9" t="s">
        <v>254</v>
      </c>
      <c r="F331" s="10">
        <v>47</v>
      </c>
      <c r="G331" s="10" t="s">
        <v>11</v>
      </c>
      <c r="H331" s="10">
        <v>2</v>
      </c>
      <c r="I331" s="43"/>
    </row>
    <row r="332" spans="1:9">
      <c r="A332" s="48" t="s">
        <v>1886</v>
      </c>
      <c r="B332" s="9" t="s">
        <v>246</v>
      </c>
      <c r="C332" s="9" t="str">
        <f t="shared" si="5"/>
        <v>英語文2-鑄造一乙</v>
      </c>
      <c r="D332" s="9" t="s">
        <v>255</v>
      </c>
      <c r="E332" s="9" t="s">
        <v>256</v>
      </c>
      <c r="F332" s="10">
        <v>50</v>
      </c>
      <c r="G332" s="10" t="s">
        <v>11</v>
      </c>
      <c r="H332" s="10">
        <v>2</v>
      </c>
      <c r="I332" s="43"/>
    </row>
    <row r="333" spans="1:9">
      <c r="A333" s="48" t="s">
        <v>1886</v>
      </c>
      <c r="B333" s="9" t="s">
        <v>246</v>
      </c>
      <c r="C333" s="9" t="str">
        <f t="shared" si="5"/>
        <v>英語文2-鑄造一乙</v>
      </c>
      <c r="D333" s="9" t="s">
        <v>411</v>
      </c>
      <c r="E333" s="9" t="s">
        <v>412</v>
      </c>
      <c r="F333" s="10">
        <v>49</v>
      </c>
      <c r="G333" s="10" t="s">
        <v>11</v>
      </c>
      <c r="H333" s="10">
        <v>2</v>
      </c>
      <c r="I333" s="43"/>
    </row>
    <row r="334" spans="1:9">
      <c r="A334" s="48" t="s">
        <v>1886</v>
      </c>
      <c r="B334" s="9" t="s">
        <v>246</v>
      </c>
      <c r="C334" s="9" t="str">
        <f t="shared" si="5"/>
        <v>英語文2-鑄造一乙</v>
      </c>
      <c r="D334" s="9" t="s">
        <v>259</v>
      </c>
      <c r="E334" s="9" t="s">
        <v>260</v>
      </c>
      <c r="F334" s="10">
        <v>47</v>
      </c>
      <c r="G334" s="10" t="s">
        <v>11</v>
      </c>
      <c r="H334" s="10">
        <v>2</v>
      </c>
      <c r="I334" s="43"/>
    </row>
    <row r="335" spans="1:9">
      <c r="A335" s="48" t="s">
        <v>1886</v>
      </c>
      <c r="B335" s="9" t="s">
        <v>246</v>
      </c>
      <c r="C335" s="9" t="str">
        <f t="shared" si="5"/>
        <v>英語文2-鑄造一乙</v>
      </c>
      <c r="D335" s="9" t="s">
        <v>413</v>
      </c>
      <c r="E335" s="9" t="s">
        <v>414</v>
      </c>
      <c r="F335" s="10">
        <v>54</v>
      </c>
      <c r="G335" s="10" t="s">
        <v>11</v>
      </c>
      <c r="H335" s="10">
        <v>2</v>
      </c>
      <c r="I335" s="43"/>
    </row>
    <row r="336" spans="1:9">
      <c r="A336" s="48" t="s">
        <v>1886</v>
      </c>
      <c r="B336" s="9" t="s">
        <v>246</v>
      </c>
      <c r="C336" s="9" t="str">
        <f t="shared" si="5"/>
        <v>英語文2-鑄造一乙</v>
      </c>
      <c r="D336" s="9" t="s">
        <v>263</v>
      </c>
      <c r="E336" s="9" t="s">
        <v>264</v>
      </c>
      <c r="F336" s="10">
        <v>52</v>
      </c>
      <c r="G336" s="10" t="s">
        <v>11</v>
      </c>
      <c r="H336" s="10">
        <v>2</v>
      </c>
      <c r="I336" s="43"/>
    </row>
    <row r="337" spans="1:9">
      <c r="A337" s="48" t="s">
        <v>1886</v>
      </c>
      <c r="B337" s="9" t="s">
        <v>246</v>
      </c>
      <c r="C337" s="9" t="str">
        <f t="shared" si="5"/>
        <v>英語文2-鑄造一乙</v>
      </c>
      <c r="D337" s="9" t="s">
        <v>267</v>
      </c>
      <c r="E337" s="9" t="s">
        <v>268</v>
      </c>
      <c r="F337" s="10">
        <v>47</v>
      </c>
      <c r="G337" s="10" t="s">
        <v>11</v>
      </c>
      <c r="H337" s="10">
        <v>2</v>
      </c>
      <c r="I337" s="43"/>
    </row>
    <row r="338" spans="1:9">
      <c r="A338" s="48" t="s">
        <v>1886</v>
      </c>
      <c r="B338" s="9" t="s">
        <v>246</v>
      </c>
      <c r="C338" s="9" t="str">
        <f t="shared" si="5"/>
        <v>英語文2-鑄造一乙</v>
      </c>
      <c r="D338" s="9" t="s">
        <v>415</v>
      </c>
      <c r="E338" s="9" t="s">
        <v>416</v>
      </c>
      <c r="F338" s="10">
        <v>50</v>
      </c>
      <c r="G338" s="10" t="s">
        <v>11</v>
      </c>
      <c r="H338" s="10">
        <v>2</v>
      </c>
      <c r="I338" s="43"/>
    </row>
    <row r="339" spans="1:9">
      <c r="A339" s="48" t="s">
        <v>1886</v>
      </c>
      <c r="B339" s="9" t="s">
        <v>25</v>
      </c>
      <c r="C339" s="9" t="str">
        <f t="shared" si="5"/>
        <v>英語文2-鑄造一甲</v>
      </c>
      <c r="D339" s="9" t="s">
        <v>338</v>
      </c>
      <c r="E339" s="9" t="s">
        <v>339</v>
      </c>
      <c r="F339" s="10">
        <v>40</v>
      </c>
      <c r="G339" s="10" t="s">
        <v>11</v>
      </c>
      <c r="H339" s="10">
        <v>2</v>
      </c>
      <c r="I339" s="43"/>
    </row>
    <row r="340" spans="1:9">
      <c r="A340" s="48" t="s">
        <v>1886</v>
      </c>
      <c r="B340" s="9" t="s">
        <v>25</v>
      </c>
      <c r="C340" s="9" t="str">
        <f t="shared" si="5"/>
        <v>英語文2-鑄造一甲</v>
      </c>
      <c r="D340" s="9" t="s">
        <v>30</v>
      </c>
      <c r="E340" s="9" t="s">
        <v>31</v>
      </c>
      <c r="F340" s="10">
        <v>40</v>
      </c>
      <c r="G340" s="10" t="s">
        <v>11</v>
      </c>
      <c r="H340" s="10">
        <v>2</v>
      </c>
      <c r="I340" s="43"/>
    </row>
    <row r="341" spans="1:9">
      <c r="A341" s="48" t="s">
        <v>1886</v>
      </c>
      <c r="B341" s="9" t="s">
        <v>25</v>
      </c>
      <c r="C341" s="9" t="str">
        <f t="shared" si="5"/>
        <v>英語文2-鑄造一甲</v>
      </c>
      <c r="D341" s="9" t="s">
        <v>341</v>
      </c>
      <c r="E341" s="9" t="s">
        <v>342</v>
      </c>
      <c r="F341" s="10">
        <v>49</v>
      </c>
      <c r="G341" s="10" t="s">
        <v>11</v>
      </c>
      <c r="H341" s="10">
        <v>2</v>
      </c>
      <c r="I341" s="43"/>
    </row>
    <row r="342" spans="1:9">
      <c r="A342" s="48" t="s">
        <v>1886</v>
      </c>
      <c r="B342" s="9" t="s">
        <v>25</v>
      </c>
      <c r="C342" s="9" t="str">
        <f t="shared" si="5"/>
        <v>英語文2-鑄造一甲</v>
      </c>
      <c r="D342" s="9" t="s">
        <v>343</v>
      </c>
      <c r="E342" s="9" t="s">
        <v>344</v>
      </c>
      <c r="F342" s="10">
        <v>51</v>
      </c>
      <c r="G342" s="10" t="s">
        <v>11</v>
      </c>
      <c r="H342" s="10">
        <v>2</v>
      </c>
      <c r="I342" s="43"/>
    </row>
    <row r="343" spans="1:9">
      <c r="A343" s="48" t="s">
        <v>1886</v>
      </c>
      <c r="B343" s="9" t="s">
        <v>25</v>
      </c>
      <c r="C343" s="9" t="str">
        <f t="shared" si="5"/>
        <v>英語文2-鑄造一甲</v>
      </c>
      <c r="D343" s="9" t="s">
        <v>345</v>
      </c>
      <c r="E343" s="9" t="s">
        <v>346</v>
      </c>
      <c r="F343" s="10">
        <v>46</v>
      </c>
      <c r="G343" s="10" t="s">
        <v>11</v>
      </c>
      <c r="H343" s="10">
        <v>2</v>
      </c>
      <c r="I343" s="43"/>
    </row>
    <row r="344" spans="1:9">
      <c r="A344" s="48" t="s">
        <v>1886</v>
      </c>
      <c r="B344" s="9" t="s">
        <v>25</v>
      </c>
      <c r="C344" s="9" t="str">
        <f t="shared" si="5"/>
        <v>英語文2-鑄造一甲</v>
      </c>
      <c r="D344" s="9" t="s">
        <v>347</v>
      </c>
      <c r="E344" s="9" t="s">
        <v>348</v>
      </c>
      <c r="F344" s="10">
        <v>54</v>
      </c>
      <c r="G344" s="10" t="s">
        <v>11</v>
      </c>
      <c r="H344" s="10">
        <v>2</v>
      </c>
      <c r="I344" s="43"/>
    </row>
    <row r="345" spans="1:9">
      <c r="A345" s="48" t="s">
        <v>1886</v>
      </c>
      <c r="B345" s="9" t="s">
        <v>25</v>
      </c>
      <c r="C345" s="9" t="str">
        <f t="shared" si="5"/>
        <v>英語文2-鑄造一甲</v>
      </c>
      <c r="D345" s="9" t="s">
        <v>32</v>
      </c>
      <c r="E345" s="9" t="s">
        <v>33</v>
      </c>
      <c r="F345" s="10">
        <v>40</v>
      </c>
      <c r="G345" s="10" t="s">
        <v>11</v>
      </c>
      <c r="H345" s="10">
        <v>2</v>
      </c>
      <c r="I345" s="43"/>
    </row>
    <row r="346" spans="1:9">
      <c r="A346" s="48" t="s">
        <v>1886</v>
      </c>
      <c r="B346" s="9" t="s">
        <v>25</v>
      </c>
      <c r="C346" s="9" t="str">
        <f t="shared" si="5"/>
        <v>英語文2-鑄造一甲</v>
      </c>
      <c r="D346" s="9" t="s">
        <v>34</v>
      </c>
      <c r="E346" s="9" t="s">
        <v>35</v>
      </c>
      <c r="F346" s="10">
        <v>47</v>
      </c>
      <c r="G346" s="10" t="s">
        <v>11</v>
      </c>
      <c r="H346" s="10">
        <v>2</v>
      </c>
      <c r="I346" s="43"/>
    </row>
    <row r="347" spans="1:9">
      <c r="A347" s="48" t="s">
        <v>1886</v>
      </c>
      <c r="B347" s="9" t="s">
        <v>25</v>
      </c>
      <c r="C347" s="9" t="str">
        <f t="shared" si="5"/>
        <v>英語文2-鑄造一甲</v>
      </c>
      <c r="D347" s="9" t="s">
        <v>38</v>
      </c>
      <c r="E347" s="9" t="s">
        <v>39</v>
      </c>
      <c r="F347" s="10">
        <v>56</v>
      </c>
      <c r="G347" s="10" t="s">
        <v>11</v>
      </c>
      <c r="H347" s="10">
        <v>2</v>
      </c>
      <c r="I347" s="43"/>
    </row>
    <row r="348" spans="1:9">
      <c r="A348" s="48" t="s">
        <v>1886</v>
      </c>
      <c r="B348" s="9" t="s">
        <v>25</v>
      </c>
      <c r="C348" s="9" t="str">
        <f t="shared" si="5"/>
        <v>英語文2-鑄造一甲</v>
      </c>
      <c r="D348" s="9" t="s">
        <v>349</v>
      </c>
      <c r="E348" s="9" t="s">
        <v>350</v>
      </c>
      <c r="F348" s="10">
        <v>40</v>
      </c>
      <c r="G348" s="10" t="s">
        <v>11</v>
      </c>
      <c r="H348" s="10">
        <v>2</v>
      </c>
      <c r="I348" s="43"/>
    </row>
    <row r="349" spans="1:9">
      <c r="A349" s="48" t="s">
        <v>1886</v>
      </c>
      <c r="B349" s="9" t="s">
        <v>25</v>
      </c>
      <c r="C349" s="9" t="str">
        <f t="shared" si="5"/>
        <v>英語文2-鑄造一甲</v>
      </c>
      <c r="D349" s="9" t="s">
        <v>351</v>
      </c>
      <c r="E349" s="9" t="s">
        <v>352</v>
      </c>
      <c r="F349" s="10">
        <v>40</v>
      </c>
      <c r="G349" s="10" t="s">
        <v>11</v>
      </c>
      <c r="H349" s="10">
        <v>2</v>
      </c>
      <c r="I349" s="43"/>
    </row>
    <row r="350" spans="1:9">
      <c r="A350" s="48" t="s">
        <v>1892</v>
      </c>
      <c r="B350" s="9" t="s">
        <v>171</v>
      </c>
      <c r="C350" s="9" t="str">
        <f t="shared" si="5"/>
        <v>英語文5-體育一甲</v>
      </c>
      <c r="D350" s="9" t="s">
        <v>481</v>
      </c>
      <c r="E350" s="9" t="s">
        <v>482</v>
      </c>
      <c r="F350" s="10">
        <v>35</v>
      </c>
      <c r="G350" s="10" t="s">
        <v>11</v>
      </c>
      <c r="H350" s="10">
        <v>2</v>
      </c>
      <c r="I350" s="43"/>
    </row>
    <row r="351" spans="1:9">
      <c r="A351" s="48" t="s">
        <v>1892</v>
      </c>
      <c r="B351" s="9" t="s">
        <v>171</v>
      </c>
      <c r="C351" s="9" t="str">
        <f t="shared" si="5"/>
        <v>英語文5-體育一甲</v>
      </c>
      <c r="D351" s="9" t="s">
        <v>483</v>
      </c>
      <c r="E351" s="9" t="s">
        <v>484</v>
      </c>
      <c r="F351" s="10">
        <v>42</v>
      </c>
      <c r="G351" s="10" t="s">
        <v>11</v>
      </c>
      <c r="H351" s="10">
        <v>2</v>
      </c>
      <c r="I351" s="43"/>
    </row>
    <row r="352" spans="1:9">
      <c r="A352" s="48" t="s">
        <v>1892</v>
      </c>
      <c r="B352" s="9" t="s">
        <v>171</v>
      </c>
      <c r="C352" s="9" t="str">
        <f t="shared" si="5"/>
        <v>英語文5-體育一甲</v>
      </c>
      <c r="D352" s="9" t="s">
        <v>172</v>
      </c>
      <c r="E352" s="9" t="s">
        <v>173</v>
      </c>
      <c r="F352" s="10">
        <v>58</v>
      </c>
      <c r="G352" s="10" t="s">
        <v>11</v>
      </c>
      <c r="H352" s="10">
        <v>2</v>
      </c>
      <c r="I352" s="43"/>
    </row>
    <row r="353" spans="1:9">
      <c r="A353" s="48" t="s">
        <v>1892</v>
      </c>
      <c r="B353" s="9" t="s">
        <v>171</v>
      </c>
      <c r="C353" s="9" t="str">
        <f t="shared" si="5"/>
        <v>英語文5-體育一甲</v>
      </c>
      <c r="D353" s="9" t="s">
        <v>485</v>
      </c>
      <c r="E353" s="9" t="s">
        <v>486</v>
      </c>
      <c r="F353" s="10">
        <v>56</v>
      </c>
      <c r="G353" s="10" t="s">
        <v>11</v>
      </c>
      <c r="H353" s="10">
        <v>2</v>
      </c>
      <c r="I353" s="43"/>
    </row>
    <row r="354" spans="1:9">
      <c r="A354" s="48" t="s">
        <v>1892</v>
      </c>
      <c r="B354" s="9" t="s">
        <v>171</v>
      </c>
      <c r="C354" s="9" t="str">
        <f t="shared" si="5"/>
        <v>英語文5-體育一甲</v>
      </c>
      <c r="D354" s="9" t="s">
        <v>487</v>
      </c>
      <c r="E354" s="9" t="s">
        <v>488</v>
      </c>
      <c r="F354" s="10">
        <v>52</v>
      </c>
      <c r="G354" s="10" t="s">
        <v>11</v>
      </c>
      <c r="H354" s="10">
        <v>2</v>
      </c>
      <c r="I354" s="43"/>
    </row>
    <row r="355" spans="1:9">
      <c r="A355" s="42" t="s">
        <v>828</v>
      </c>
      <c r="B355" s="9" t="s">
        <v>174</v>
      </c>
      <c r="C355" s="9" t="str">
        <f t="shared" si="5"/>
        <v>健康與護理-汽車一乙</v>
      </c>
      <c r="D355" s="9" t="s">
        <v>831</v>
      </c>
      <c r="E355" s="9" t="s">
        <v>832</v>
      </c>
      <c r="F355" s="10">
        <v>40</v>
      </c>
      <c r="G355" s="10" t="s">
        <v>11</v>
      </c>
      <c r="H355" s="10">
        <v>1</v>
      </c>
      <c r="I355" s="43"/>
    </row>
    <row r="356" spans="1:9">
      <c r="A356" s="42" t="s">
        <v>828</v>
      </c>
      <c r="B356" s="9" t="s">
        <v>65</v>
      </c>
      <c r="C356" s="9" t="str">
        <f t="shared" si="5"/>
        <v>健康與護理-資訊一甲</v>
      </c>
      <c r="D356" s="9" t="s">
        <v>80</v>
      </c>
      <c r="E356" s="9" t="s">
        <v>81</v>
      </c>
      <c r="F356" s="10">
        <v>52</v>
      </c>
      <c r="G356" s="10" t="s">
        <v>11</v>
      </c>
      <c r="H356" s="10">
        <v>1</v>
      </c>
      <c r="I356" s="43"/>
    </row>
    <row r="357" spans="1:9">
      <c r="A357" s="42" t="s">
        <v>828</v>
      </c>
      <c r="B357" s="9" t="s">
        <v>44</v>
      </c>
      <c r="C357" s="9" t="str">
        <f t="shared" si="5"/>
        <v>健康與護理-電機一甲</v>
      </c>
      <c r="D357" s="9" t="s">
        <v>51</v>
      </c>
      <c r="E357" s="9" t="s">
        <v>52</v>
      </c>
      <c r="F357" s="10">
        <v>47</v>
      </c>
      <c r="G357" s="10" t="s">
        <v>11</v>
      </c>
      <c r="H357" s="10">
        <v>1</v>
      </c>
      <c r="I357" s="43"/>
    </row>
    <row r="358" spans="1:9">
      <c r="A358" s="42" t="s">
        <v>828</v>
      </c>
      <c r="B358" s="9" t="s">
        <v>122</v>
      </c>
      <c r="C358" s="9" t="str">
        <f t="shared" si="5"/>
        <v>健康與護理-製圖一丙</v>
      </c>
      <c r="D358" s="9" t="s">
        <v>131</v>
      </c>
      <c r="E358" s="9" t="s">
        <v>132</v>
      </c>
      <c r="F358" s="10">
        <v>43</v>
      </c>
      <c r="G358" s="10" t="s">
        <v>11</v>
      </c>
      <c r="H358" s="10">
        <v>1</v>
      </c>
      <c r="I358" s="43"/>
    </row>
    <row r="359" spans="1:9">
      <c r="A359" s="42" t="s">
        <v>828</v>
      </c>
      <c r="B359" s="9" t="s">
        <v>194</v>
      </c>
      <c r="C359" s="9" t="str">
        <f t="shared" si="5"/>
        <v>健康與護理-模具一乙</v>
      </c>
      <c r="D359" s="9" t="s">
        <v>761</v>
      </c>
      <c r="E359" s="9" t="s">
        <v>762</v>
      </c>
      <c r="F359" s="10">
        <v>40</v>
      </c>
      <c r="G359" s="10" t="s">
        <v>11</v>
      </c>
      <c r="H359" s="10">
        <v>1</v>
      </c>
      <c r="I359" s="43"/>
    </row>
    <row r="360" spans="1:9">
      <c r="A360" s="42" t="s">
        <v>828</v>
      </c>
      <c r="B360" s="9" t="s">
        <v>301</v>
      </c>
      <c r="C360" s="9" t="str">
        <f t="shared" si="5"/>
        <v>健康與護理-模具一甲</v>
      </c>
      <c r="D360" s="9" t="s">
        <v>304</v>
      </c>
      <c r="E360" s="9" t="s">
        <v>305</v>
      </c>
      <c r="F360" s="10">
        <v>50</v>
      </c>
      <c r="G360" s="10" t="s">
        <v>11</v>
      </c>
      <c r="H360" s="10">
        <v>1</v>
      </c>
      <c r="I360" s="43"/>
    </row>
    <row r="361" spans="1:9">
      <c r="A361" s="42" t="s">
        <v>828</v>
      </c>
      <c r="B361" s="9" t="s">
        <v>301</v>
      </c>
      <c r="C361" s="9" t="str">
        <f t="shared" si="5"/>
        <v>健康與護理-模具一甲</v>
      </c>
      <c r="D361" s="9" t="s">
        <v>314</v>
      </c>
      <c r="E361" s="9" t="s">
        <v>315</v>
      </c>
      <c r="F361" s="10">
        <v>54</v>
      </c>
      <c r="G361" s="10" t="s">
        <v>11</v>
      </c>
      <c r="H361" s="10">
        <v>1</v>
      </c>
      <c r="I361" s="43"/>
    </row>
    <row r="362" spans="1:9">
      <c r="A362" s="42" t="s">
        <v>828</v>
      </c>
      <c r="B362" s="9" t="s">
        <v>301</v>
      </c>
      <c r="C362" s="9" t="str">
        <f t="shared" si="5"/>
        <v>健康與護理-模具一甲</v>
      </c>
      <c r="D362" s="9" t="s">
        <v>705</v>
      </c>
      <c r="E362" s="9" t="s">
        <v>706</v>
      </c>
      <c r="F362" s="10">
        <v>43</v>
      </c>
      <c r="G362" s="10" t="s">
        <v>11</v>
      </c>
      <c r="H362" s="10">
        <v>1</v>
      </c>
      <c r="I362" s="43"/>
    </row>
    <row r="363" spans="1:9">
      <c r="A363" s="42" t="s">
        <v>828</v>
      </c>
      <c r="B363" s="9" t="s">
        <v>7</v>
      </c>
      <c r="C363" s="9" t="str">
        <f t="shared" si="5"/>
        <v>健康與護理-機械一甲</v>
      </c>
      <c r="D363" s="9" t="s">
        <v>745</v>
      </c>
      <c r="E363" s="9" t="s">
        <v>746</v>
      </c>
      <c r="F363" s="10">
        <v>50</v>
      </c>
      <c r="G363" s="10" t="s">
        <v>11</v>
      </c>
      <c r="H363" s="10">
        <v>1</v>
      </c>
      <c r="I363" s="43"/>
    </row>
    <row r="364" spans="1:9">
      <c r="A364" s="42" t="s">
        <v>828</v>
      </c>
      <c r="B364" s="9" t="s">
        <v>246</v>
      </c>
      <c r="C364" s="9" t="str">
        <f t="shared" si="5"/>
        <v>健康與護理-鑄造一乙</v>
      </c>
      <c r="D364" s="9" t="s">
        <v>590</v>
      </c>
      <c r="E364" s="9" t="s">
        <v>591</v>
      </c>
      <c r="F364" s="10">
        <v>40</v>
      </c>
      <c r="G364" s="10" t="s">
        <v>11</v>
      </c>
      <c r="H364" s="10">
        <v>1</v>
      </c>
      <c r="I364" s="43"/>
    </row>
    <row r="365" spans="1:9">
      <c r="A365" s="42" t="s">
        <v>828</v>
      </c>
      <c r="B365" s="9" t="s">
        <v>246</v>
      </c>
      <c r="C365" s="9" t="str">
        <f t="shared" si="5"/>
        <v>健康與護理-鑄造一乙</v>
      </c>
      <c r="D365" s="9" t="s">
        <v>263</v>
      </c>
      <c r="E365" s="9" t="s">
        <v>264</v>
      </c>
      <c r="F365" s="10">
        <v>56</v>
      </c>
      <c r="G365" s="10" t="s">
        <v>11</v>
      </c>
      <c r="H365" s="10">
        <v>1</v>
      </c>
      <c r="I365" s="43"/>
    </row>
    <row r="366" spans="1:9">
      <c r="A366" s="42" t="s">
        <v>828</v>
      </c>
      <c r="B366" s="9" t="s">
        <v>246</v>
      </c>
      <c r="C366" s="9" t="str">
        <f t="shared" si="5"/>
        <v>健康與護理-鑄造一乙</v>
      </c>
      <c r="D366" s="9" t="s">
        <v>265</v>
      </c>
      <c r="E366" s="9" t="s">
        <v>266</v>
      </c>
      <c r="F366" s="10">
        <v>40</v>
      </c>
      <c r="G366" s="10" t="s">
        <v>11</v>
      </c>
      <c r="H366" s="10">
        <v>1</v>
      </c>
      <c r="I366" s="43"/>
    </row>
    <row r="367" spans="1:9">
      <c r="A367" s="42" t="s">
        <v>828</v>
      </c>
      <c r="B367" s="9" t="s">
        <v>246</v>
      </c>
      <c r="C367" s="9" t="str">
        <f t="shared" si="5"/>
        <v>健康與護理-鑄造一乙</v>
      </c>
      <c r="D367" s="9" t="s">
        <v>829</v>
      </c>
      <c r="E367" s="9" t="s">
        <v>830</v>
      </c>
      <c r="F367" s="10">
        <v>40</v>
      </c>
      <c r="G367" s="10" t="s">
        <v>11</v>
      </c>
      <c r="H367" s="10">
        <v>1</v>
      </c>
      <c r="I367" s="43"/>
    </row>
    <row r="368" spans="1:9">
      <c r="A368" s="42" t="s">
        <v>828</v>
      </c>
      <c r="B368" s="9" t="s">
        <v>246</v>
      </c>
      <c r="C368" s="9" t="str">
        <f t="shared" si="5"/>
        <v>健康與護理-鑄造一乙</v>
      </c>
      <c r="D368" s="9" t="s">
        <v>269</v>
      </c>
      <c r="E368" s="9" t="s">
        <v>270</v>
      </c>
      <c r="F368" s="10">
        <v>53</v>
      </c>
      <c r="G368" s="10" t="s">
        <v>11</v>
      </c>
      <c r="H368" s="10">
        <v>1</v>
      </c>
      <c r="I368" s="43"/>
    </row>
    <row r="369" spans="1:9">
      <c r="A369" s="42" t="s">
        <v>828</v>
      </c>
      <c r="B369" s="9" t="s">
        <v>246</v>
      </c>
      <c r="C369" s="9" t="str">
        <f t="shared" si="5"/>
        <v>健康與護理-鑄造一乙</v>
      </c>
      <c r="D369" s="9" t="s">
        <v>596</v>
      </c>
      <c r="E369" s="9" t="s">
        <v>597</v>
      </c>
      <c r="F369" s="10">
        <v>42</v>
      </c>
      <c r="G369" s="10" t="s">
        <v>11</v>
      </c>
      <c r="H369" s="10">
        <v>1</v>
      </c>
      <c r="I369" s="43"/>
    </row>
    <row r="370" spans="1:9">
      <c r="A370" s="42" t="s">
        <v>828</v>
      </c>
      <c r="B370" s="9" t="s">
        <v>25</v>
      </c>
      <c r="C370" s="9" t="str">
        <f t="shared" si="5"/>
        <v>健康與護理-鑄造一甲</v>
      </c>
      <c r="D370" s="9" t="s">
        <v>713</v>
      </c>
      <c r="E370" s="9" t="s">
        <v>714</v>
      </c>
      <c r="F370" s="10">
        <v>47</v>
      </c>
      <c r="G370" s="10" t="s">
        <v>11</v>
      </c>
      <c r="H370" s="10">
        <v>1</v>
      </c>
      <c r="I370" s="43"/>
    </row>
    <row r="371" spans="1:9">
      <c r="A371" s="48" t="s">
        <v>1958</v>
      </c>
      <c r="B371" s="9" t="s">
        <v>171</v>
      </c>
      <c r="C371" s="9" t="str">
        <f t="shared" si="5"/>
        <v>健康與護理5-體育一甲</v>
      </c>
      <c r="D371" s="9" t="s">
        <v>797</v>
      </c>
      <c r="E371" s="9" t="s">
        <v>798</v>
      </c>
      <c r="F371" s="10">
        <v>40</v>
      </c>
      <c r="G371" s="10" t="s">
        <v>11</v>
      </c>
      <c r="H371" s="10">
        <v>1</v>
      </c>
      <c r="I371" s="43"/>
    </row>
    <row r="372" spans="1:9">
      <c r="A372" s="42" t="s">
        <v>10</v>
      </c>
      <c r="B372" s="9" t="s">
        <v>174</v>
      </c>
      <c r="C372" s="9" t="str">
        <f t="shared" si="5"/>
        <v>國語文-汽車一乙</v>
      </c>
      <c r="D372" s="9" t="s">
        <v>175</v>
      </c>
      <c r="E372" s="9" t="s">
        <v>176</v>
      </c>
      <c r="F372" s="10">
        <v>40</v>
      </c>
      <c r="G372" s="10" t="s">
        <v>11</v>
      </c>
      <c r="H372" s="10">
        <v>3</v>
      </c>
      <c r="I372" s="43"/>
    </row>
    <row r="373" spans="1:9">
      <c r="A373" s="42" t="s">
        <v>10</v>
      </c>
      <c r="B373" s="9" t="s">
        <v>174</v>
      </c>
      <c r="C373" s="9" t="str">
        <f t="shared" si="5"/>
        <v>國語文-汽車一乙</v>
      </c>
      <c r="D373" s="9" t="s">
        <v>177</v>
      </c>
      <c r="E373" s="9" t="s">
        <v>178</v>
      </c>
      <c r="F373" s="10">
        <v>45</v>
      </c>
      <c r="G373" s="10" t="s">
        <v>11</v>
      </c>
      <c r="H373" s="10">
        <v>3</v>
      </c>
      <c r="I373" s="43"/>
    </row>
    <row r="374" spans="1:9">
      <c r="A374" s="42" t="s">
        <v>10</v>
      </c>
      <c r="B374" s="9" t="s">
        <v>174</v>
      </c>
      <c r="C374" s="9" t="str">
        <f t="shared" si="5"/>
        <v>國語文-汽車一乙</v>
      </c>
      <c r="D374" s="9" t="s">
        <v>179</v>
      </c>
      <c r="E374" s="9" t="s">
        <v>180</v>
      </c>
      <c r="F374" s="10">
        <v>54</v>
      </c>
      <c r="G374" s="10" t="s">
        <v>11</v>
      </c>
      <c r="H374" s="10">
        <v>3</v>
      </c>
      <c r="I374" s="43"/>
    </row>
    <row r="375" spans="1:9">
      <c r="A375" s="42" t="s">
        <v>10</v>
      </c>
      <c r="B375" s="9" t="s">
        <v>174</v>
      </c>
      <c r="C375" s="9" t="str">
        <f t="shared" si="5"/>
        <v>國語文-汽車一乙</v>
      </c>
      <c r="D375" s="9" t="s">
        <v>181</v>
      </c>
      <c r="E375" s="9" t="s">
        <v>182</v>
      </c>
      <c r="F375" s="10">
        <v>56</v>
      </c>
      <c r="G375" s="10" t="s">
        <v>11</v>
      </c>
      <c r="H375" s="10">
        <v>3</v>
      </c>
      <c r="I375" s="43"/>
    </row>
    <row r="376" spans="1:9">
      <c r="A376" s="42" t="s">
        <v>10</v>
      </c>
      <c r="B376" s="9" t="s">
        <v>174</v>
      </c>
      <c r="C376" s="9" t="str">
        <f t="shared" si="5"/>
        <v>國語文-汽車一乙</v>
      </c>
      <c r="D376" s="9" t="s">
        <v>183</v>
      </c>
      <c r="E376" s="9" t="s">
        <v>184</v>
      </c>
      <c r="F376" s="10">
        <v>55</v>
      </c>
      <c r="G376" s="10" t="s">
        <v>11</v>
      </c>
      <c r="H376" s="10">
        <v>3</v>
      </c>
      <c r="I376" s="43"/>
    </row>
    <row r="377" spans="1:9">
      <c r="A377" s="42" t="s">
        <v>10</v>
      </c>
      <c r="B377" s="9" t="s">
        <v>174</v>
      </c>
      <c r="C377" s="9" t="str">
        <f t="shared" si="5"/>
        <v>國語文-汽車一乙</v>
      </c>
      <c r="D377" s="9" t="s">
        <v>185</v>
      </c>
      <c r="E377" s="9" t="s">
        <v>186</v>
      </c>
      <c r="F377" s="10">
        <v>50</v>
      </c>
      <c r="G377" s="10" t="s">
        <v>11</v>
      </c>
      <c r="H377" s="10">
        <v>3</v>
      </c>
      <c r="I377" s="43"/>
    </row>
    <row r="378" spans="1:9">
      <c r="A378" s="42" t="s">
        <v>10</v>
      </c>
      <c r="B378" s="9" t="s">
        <v>174</v>
      </c>
      <c r="C378" s="9" t="str">
        <f t="shared" si="5"/>
        <v>國語文-汽車一乙</v>
      </c>
      <c r="D378" s="9" t="s">
        <v>187</v>
      </c>
      <c r="E378" s="9" t="s">
        <v>188</v>
      </c>
      <c r="F378" s="10">
        <v>44</v>
      </c>
      <c r="G378" s="10" t="s">
        <v>11</v>
      </c>
      <c r="H378" s="10">
        <v>3</v>
      </c>
      <c r="I378" s="43"/>
    </row>
    <row r="379" spans="1:9">
      <c r="A379" s="42" t="s">
        <v>10</v>
      </c>
      <c r="B379" s="9" t="s">
        <v>174</v>
      </c>
      <c r="C379" s="9" t="str">
        <f t="shared" si="5"/>
        <v>國語文-汽車一乙</v>
      </c>
      <c r="D379" s="9" t="s">
        <v>189</v>
      </c>
      <c r="E379" s="9" t="s">
        <v>190</v>
      </c>
      <c r="F379" s="10">
        <v>48</v>
      </c>
      <c r="G379" s="10" t="s">
        <v>11</v>
      </c>
      <c r="H379" s="10">
        <v>3</v>
      </c>
      <c r="I379" s="43"/>
    </row>
    <row r="380" spans="1:9">
      <c r="A380" s="42" t="s">
        <v>10</v>
      </c>
      <c r="B380" s="9" t="s">
        <v>174</v>
      </c>
      <c r="C380" s="9" t="str">
        <f t="shared" si="5"/>
        <v>國語文-汽車一乙</v>
      </c>
      <c r="D380" s="9" t="s">
        <v>191</v>
      </c>
      <c r="E380" s="9" t="s">
        <v>151</v>
      </c>
      <c r="F380" s="10">
        <v>53</v>
      </c>
      <c r="G380" s="10" t="s">
        <v>11</v>
      </c>
      <c r="H380" s="10">
        <v>3</v>
      </c>
      <c r="I380" s="43"/>
    </row>
    <row r="381" spans="1:9">
      <c r="A381" s="42" t="s">
        <v>10</v>
      </c>
      <c r="B381" s="9" t="s">
        <v>174</v>
      </c>
      <c r="C381" s="9" t="str">
        <f t="shared" si="5"/>
        <v>國語文-汽車一乙</v>
      </c>
      <c r="D381" s="9" t="s">
        <v>192</v>
      </c>
      <c r="E381" s="9" t="s">
        <v>193</v>
      </c>
      <c r="F381" s="10">
        <v>50</v>
      </c>
      <c r="G381" s="10" t="s">
        <v>11</v>
      </c>
      <c r="H381" s="10">
        <v>3</v>
      </c>
      <c r="I381" s="43"/>
    </row>
    <row r="382" spans="1:9">
      <c r="A382" s="42" t="s">
        <v>10</v>
      </c>
      <c r="B382" s="9" t="s">
        <v>279</v>
      </c>
      <c r="C382" s="9" t="str">
        <f t="shared" si="5"/>
        <v>國語文-汽車一甲</v>
      </c>
      <c r="D382" s="9" t="s">
        <v>280</v>
      </c>
      <c r="E382" s="9" t="s">
        <v>281</v>
      </c>
      <c r="F382" s="10">
        <v>45</v>
      </c>
      <c r="G382" s="10" t="s">
        <v>11</v>
      </c>
      <c r="H382" s="10">
        <v>3</v>
      </c>
      <c r="I382" s="43"/>
    </row>
    <row r="383" spans="1:9">
      <c r="A383" s="42" t="s">
        <v>10</v>
      </c>
      <c r="B383" s="9" t="s">
        <v>279</v>
      </c>
      <c r="C383" s="9" t="str">
        <f t="shared" si="5"/>
        <v>國語文-汽車一甲</v>
      </c>
      <c r="D383" s="9" t="s">
        <v>282</v>
      </c>
      <c r="E383" s="9" t="s">
        <v>283</v>
      </c>
      <c r="F383" s="10">
        <v>50</v>
      </c>
      <c r="G383" s="10" t="s">
        <v>11</v>
      </c>
      <c r="H383" s="10">
        <v>3</v>
      </c>
      <c r="I383" s="43"/>
    </row>
    <row r="384" spans="1:9">
      <c r="A384" s="42" t="s">
        <v>10</v>
      </c>
      <c r="B384" s="9" t="s">
        <v>279</v>
      </c>
      <c r="C384" s="9" t="str">
        <f t="shared" si="5"/>
        <v>國語文-汽車一甲</v>
      </c>
      <c r="D384" s="9" t="s">
        <v>284</v>
      </c>
      <c r="E384" s="9" t="s">
        <v>285</v>
      </c>
      <c r="F384" s="10">
        <v>51</v>
      </c>
      <c r="G384" s="10" t="s">
        <v>11</v>
      </c>
      <c r="H384" s="10">
        <v>3</v>
      </c>
      <c r="I384" s="43"/>
    </row>
    <row r="385" spans="1:9">
      <c r="A385" s="42" t="s">
        <v>10</v>
      </c>
      <c r="B385" s="9" t="s">
        <v>279</v>
      </c>
      <c r="C385" s="9" t="str">
        <f t="shared" si="5"/>
        <v>國語文-汽車一甲</v>
      </c>
      <c r="D385" s="9" t="s">
        <v>286</v>
      </c>
      <c r="E385" s="9" t="s">
        <v>287</v>
      </c>
      <c r="F385" s="10">
        <v>54</v>
      </c>
      <c r="G385" s="10" t="s">
        <v>11</v>
      </c>
      <c r="H385" s="10">
        <v>3</v>
      </c>
      <c r="I385" s="43"/>
    </row>
    <row r="386" spans="1:9">
      <c r="A386" s="42" t="s">
        <v>10</v>
      </c>
      <c r="B386" s="9" t="s">
        <v>279</v>
      </c>
      <c r="C386" s="9" t="str">
        <f t="shared" si="5"/>
        <v>國語文-汽車一甲</v>
      </c>
      <c r="D386" s="9" t="s">
        <v>288</v>
      </c>
      <c r="E386" s="9" t="s">
        <v>289</v>
      </c>
      <c r="F386" s="10">
        <v>56</v>
      </c>
      <c r="G386" s="10" t="s">
        <v>11</v>
      </c>
      <c r="H386" s="10">
        <v>3</v>
      </c>
      <c r="I386" s="43"/>
    </row>
    <row r="387" spans="1:9">
      <c r="A387" s="42" t="s">
        <v>10</v>
      </c>
      <c r="B387" s="9" t="s">
        <v>279</v>
      </c>
      <c r="C387" s="9" t="str">
        <f t="shared" ref="C387:C450" si="6">A387&amp;"-"&amp;B387</f>
        <v>國語文-汽車一甲</v>
      </c>
      <c r="D387" s="9" t="s">
        <v>290</v>
      </c>
      <c r="E387" s="9" t="s">
        <v>291</v>
      </c>
      <c r="F387" s="10">
        <v>58</v>
      </c>
      <c r="G387" s="10" t="s">
        <v>11</v>
      </c>
      <c r="H387" s="10">
        <v>3</v>
      </c>
      <c r="I387" s="43"/>
    </row>
    <row r="388" spans="1:9">
      <c r="A388" s="42" t="s">
        <v>10</v>
      </c>
      <c r="B388" s="9" t="s">
        <v>279</v>
      </c>
      <c r="C388" s="9" t="str">
        <f t="shared" si="6"/>
        <v>國語文-汽車一甲</v>
      </c>
      <c r="D388" s="9" t="s">
        <v>292</v>
      </c>
      <c r="E388" s="9" t="s">
        <v>293</v>
      </c>
      <c r="F388" s="10">
        <v>51</v>
      </c>
      <c r="G388" s="10" t="s">
        <v>11</v>
      </c>
      <c r="H388" s="10">
        <v>3</v>
      </c>
      <c r="I388" s="43"/>
    </row>
    <row r="389" spans="1:9">
      <c r="A389" s="42" t="s">
        <v>10</v>
      </c>
      <c r="B389" s="9" t="s">
        <v>294</v>
      </c>
      <c r="C389" s="9" t="str">
        <f t="shared" si="6"/>
        <v>國語文-資訊一乙</v>
      </c>
      <c r="D389" s="9" t="s">
        <v>295</v>
      </c>
      <c r="E389" s="9" t="s">
        <v>296</v>
      </c>
      <c r="F389" s="10">
        <v>55</v>
      </c>
      <c r="G389" s="10" t="s">
        <v>11</v>
      </c>
      <c r="H389" s="10">
        <v>3</v>
      </c>
      <c r="I389" s="43"/>
    </row>
    <row r="390" spans="1:9">
      <c r="A390" s="42" t="s">
        <v>10</v>
      </c>
      <c r="B390" s="9" t="s">
        <v>294</v>
      </c>
      <c r="C390" s="9" t="str">
        <f t="shared" si="6"/>
        <v>國語文-資訊一乙</v>
      </c>
      <c r="D390" s="9" t="s">
        <v>297</v>
      </c>
      <c r="E390" s="9" t="s">
        <v>298</v>
      </c>
      <c r="F390" s="10">
        <v>57</v>
      </c>
      <c r="G390" s="10" t="s">
        <v>11</v>
      </c>
      <c r="H390" s="10">
        <v>3</v>
      </c>
      <c r="I390" s="43"/>
    </row>
    <row r="391" spans="1:9">
      <c r="A391" s="42" t="s">
        <v>10</v>
      </c>
      <c r="B391" s="9" t="s">
        <v>294</v>
      </c>
      <c r="C391" s="9" t="str">
        <f t="shared" si="6"/>
        <v>國語文-資訊一乙</v>
      </c>
      <c r="D391" s="9" t="s">
        <v>299</v>
      </c>
      <c r="E391" s="9" t="s">
        <v>300</v>
      </c>
      <c r="F391" s="10">
        <v>51</v>
      </c>
      <c r="G391" s="10" t="s">
        <v>11</v>
      </c>
      <c r="H391" s="10">
        <v>3</v>
      </c>
      <c r="I391" s="43"/>
    </row>
    <row r="392" spans="1:9">
      <c r="A392" s="42" t="s">
        <v>10</v>
      </c>
      <c r="B392" s="9" t="s">
        <v>65</v>
      </c>
      <c r="C392" s="9" t="str">
        <f t="shared" si="6"/>
        <v>國語文-資訊一甲</v>
      </c>
      <c r="D392" s="9" t="s">
        <v>66</v>
      </c>
      <c r="E392" s="9" t="s">
        <v>67</v>
      </c>
      <c r="F392" s="10">
        <v>47</v>
      </c>
      <c r="G392" s="10" t="s">
        <v>11</v>
      </c>
      <c r="H392" s="10">
        <v>3</v>
      </c>
      <c r="I392" s="43"/>
    </row>
    <row r="393" spans="1:9">
      <c r="A393" s="42" t="s">
        <v>10</v>
      </c>
      <c r="B393" s="9" t="s">
        <v>65</v>
      </c>
      <c r="C393" s="9" t="str">
        <f t="shared" si="6"/>
        <v>國語文-資訊一甲</v>
      </c>
      <c r="D393" s="9" t="s">
        <v>68</v>
      </c>
      <c r="E393" s="9" t="s">
        <v>69</v>
      </c>
      <c r="F393" s="10">
        <v>41</v>
      </c>
      <c r="G393" s="10" t="s">
        <v>11</v>
      </c>
      <c r="H393" s="10">
        <v>3</v>
      </c>
      <c r="I393" s="43"/>
    </row>
    <row r="394" spans="1:9">
      <c r="A394" s="42" t="s">
        <v>10</v>
      </c>
      <c r="B394" s="9" t="s">
        <v>65</v>
      </c>
      <c r="C394" s="9" t="str">
        <f t="shared" si="6"/>
        <v>國語文-資訊一甲</v>
      </c>
      <c r="D394" s="9" t="s">
        <v>70</v>
      </c>
      <c r="E394" s="9" t="s">
        <v>71</v>
      </c>
      <c r="F394" s="10">
        <v>54</v>
      </c>
      <c r="G394" s="10" t="s">
        <v>11</v>
      </c>
      <c r="H394" s="10">
        <v>3</v>
      </c>
      <c r="I394" s="43"/>
    </row>
    <row r="395" spans="1:9">
      <c r="A395" s="42" t="s">
        <v>10</v>
      </c>
      <c r="B395" s="9" t="s">
        <v>65</v>
      </c>
      <c r="C395" s="9" t="str">
        <f t="shared" si="6"/>
        <v>國語文-資訊一甲</v>
      </c>
      <c r="D395" s="9" t="s">
        <v>72</v>
      </c>
      <c r="E395" s="9" t="s">
        <v>73</v>
      </c>
      <c r="F395" s="10">
        <v>50</v>
      </c>
      <c r="G395" s="10" t="s">
        <v>11</v>
      </c>
      <c r="H395" s="10">
        <v>3</v>
      </c>
      <c r="I395" s="43"/>
    </row>
    <row r="396" spans="1:9">
      <c r="A396" s="42" t="s">
        <v>10</v>
      </c>
      <c r="B396" s="9" t="s">
        <v>65</v>
      </c>
      <c r="C396" s="9" t="str">
        <f t="shared" si="6"/>
        <v>國語文-資訊一甲</v>
      </c>
      <c r="D396" s="9" t="s">
        <v>74</v>
      </c>
      <c r="E396" s="9" t="s">
        <v>75</v>
      </c>
      <c r="F396" s="10">
        <v>54</v>
      </c>
      <c r="G396" s="10" t="s">
        <v>11</v>
      </c>
      <c r="H396" s="10">
        <v>3</v>
      </c>
      <c r="I396" s="43"/>
    </row>
    <row r="397" spans="1:9">
      <c r="A397" s="42" t="s">
        <v>10</v>
      </c>
      <c r="B397" s="9" t="s">
        <v>65</v>
      </c>
      <c r="C397" s="9" t="str">
        <f t="shared" si="6"/>
        <v>國語文-資訊一甲</v>
      </c>
      <c r="D397" s="9" t="s">
        <v>76</v>
      </c>
      <c r="E397" s="9" t="s">
        <v>77</v>
      </c>
      <c r="F397" s="10">
        <v>41</v>
      </c>
      <c r="G397" s="10" t="s">
        <v>11</v>
      </c>
      <c r="H397" s="10">
        <v>3</v>
      </c>
      <c r="I397" s="43"/>
    </row>
    <row r="398" spans="1:9">
      <c r="A398" s="42" t="s">
        <v>10</v>
      </c>
      <c r="B398" s="9" t="s">
        <v>65</v>
      </c>
      <c r="C398" s="9" t="str">
        <f t="shared" si="6"/>
        <v>國語文-資訊一甲</v>
      </c>
      <c r="D398" s="9" t="s">
        <v>78</v>
      </c>
      <c r="E398" s="9" t="s">
        <v>79</v>
      </c>
      <c r="F398" s="10">
        <v>43</v>
      </c>
      <c r="G398" s="10" t="s">
        <v>11</v>
      </c>
      <c r="H398" s="10">
        <v>3</v>
      </c>
      <c r="I398" s="43"/>
    </row>
    <row r="399" spans="1:9">
      <c r="A399" s="42" t="s">
        <v>10</v>
      </c>
      <c r="B399" s="9" t="s">
        <v>65</v>
      </c>
      <c r="C399" s="9" t="str">
        <f t="shared" si="6"/>
        <v>國語文-資訊一甲</v>
      </c>
      <c r="D399" s="9" t="s">
        <v>80</v>
      </c>
      <c r="E399" s="9" t="s">
        <v>81</v>
      </c>
      <c r="F399" s="10">
        <v>48</v>
      </c>
      <c r="G399" s="10" t="s">
        <v>11</v>
      </c>
      <c r="H399" s="10">
        <v>3</v>
      </c>
      <c r="I399" s="43"/>
    </row>
    <row r="400" spans="1:9">
      <c r="A400" s="42" t="s">
        <v>10</v>
      </c>
      <c r="B400" s="9" t="s">
        <v>65</v>
      </c>
      <c r="C400" s="9" t="str">
        <f t="shared" si="6"/>
        <v>國語文-資訊一甲</v>
      </c>
      <c r="D400" s="9" t="s">
        <v>82</v>
      </c>
      <c r="E400" s="9" t="s">
        <v>83</v>
      </c>
      <c r="F400" s="10">
        <v>31</v>
      </c>
      <c r="G400" s="10" t="s">
        <v>11</v>
      </c>
      <c r="H400" s="10">
        <v>3</v>
      </c>
      <c r="I400" s="43"/>
    </row>
    <row r="401" spans="1:9">
      <c r="A401" s="42" t="s">
        <v>10</v>
      </c>
      <c r="B401" s="9" t="s">
        <v>335</v>
      </c>
      <c r="C401" s="9" t="str">
        <f t="shared" si="6"/>
        <v>國語文-資處一乙</v>
      </c>
      <c r="D401" s="9" t="s">
        <v>336</v>
      </c>
      <c r="E401" s="9" t="s">
        <v>337</v>
      </c>
      <c r="F401" s="10">
        <v>56</v>
      </c>
      <c r="G401" s="10" t="s">
        <v>11</v>
      </c>
      <c r="H401" s="10">
        <v>3</v>
      </c>
      <c r="I401" s="43"/>
    </row>
    <row r="402" spans="1:9">
      <c r="A402" s="42" t="s">
        <v>10</v>
      </c>
      <c r="B402" s="9" t="s">
        <v>234</v>
      </c>
      <c r="C402" s="9" t="str">
        <f t="shared" si="6"/>
        <v>國語文-資處一甲</v>
      </c>
      <c r="D402" s="9" t="s">
        <v>235</v>
      </c>
      <c r="E402" s="9" t="s">
        <v>236</v>
      </c>
      <c r="F402" s="10">
        <v>55</v>
      </c>
      <c r="G402" s="10" t="s">
        <v>11</v>
      </c>
      <c r="H402" s="10">
        <v>3</v>
      </c>
      <c r="I402" s="43"/>
    </row>
    <row r="403" spans="1:9">
      <c r="A403" s="42" t="s">
        <v>10</v>
      </c>
      <c r="B403" s="9" t="s">
        <v>234</v>
      </c>
      <c r="C403" s="9" t="str">
        <f t="shared" si="6"/>
        <v>國語文-資處一甲</v>
      </c>
      <c r="D403" s="9" t="s">
        <v>237</v>
      </c>
      <c r="E403" s="9" t="s">
        <v>238</v>
      </c>
      <c r="F403" s="10">
        <v>50</v>
      </c>
      <c r="G403" s="10" t="s">
        <v>11</v>
      </c>
      <c r="H403" s="10">
        <v>3</v>
      </c>
      <c r="I403" s="43"/>
    </row>
    <row r="404" spans="1:9">
      <c r="A404" s="42" t="s">
        <v>10</v>
      </c>
      <c r="B404" s="9" t="s">
        <v>158</v>
      </c>
      <c r="C404" s="9" t="str">
        <f t="shared" si="6"/>
        <v>國語文-電機一乙</v>
      </c>
      <c r="D404" s="9" t="s">
        <v>159</v>
      </c>
      <c r="E404" s="9" t="s">
        <v>160</v>
      </c>
      <c r="F404" s="10">
        <v>55</v>
      </c>
      <c r="G404" s="10" t="s">
        <v>11</v>
      </c>
      <c r="H404" s="10">
        <v>3</v>
      </c>
      <c r="I404" s="43"/>
    </row>
    <row r="405" spans="1:9">
      <c r="A405" s="42" t="s">
        <v>10</v>
      </c>
      <c r="B405" s="9" t="s">
        <v>158</v>
      </c>
      <c r="C405" s="9" t="str">
        <f t="shared" si="6"/>
        <v>國語文-電機一乙</v>
      </c>
      <c r="D405" s="9" t="s">
        <v>161</v>
      </c>
      <c r="E405" s="9" t="s">
        <v>162</v>
      </c>
      <c r="F405" s="10">
        <v>40</v>
      </c>
      <c r="G405" s="10" t="s">
        <v>11</v>
      </c>
      <c r="H405" s="10">
        <v>3</v>
      </c>
      <c r="I405" s="43"/>
    </row>
    <row r="406" spans="1:9">
      <c r="A406" s="42" t="s">
        <v>10</v>
      </c>
      <c r="B406" s="9" t="s">
        <v>158</v>
      </c>
      <c r="C406" s="9" t="str">
        <f t="shared" si="6"/>
        <v>國語文-電機一乙</v>
      </c>
      <c r="D406" s="9" t="s">
        <v>163</v>
      </c>
      <c r="E406" s="9" t="s">
        <v>164</v>
      </c>
      <c r="F406" s="10">
        <v>50</v>
      </c>
      <c r="G406" s="10" t="s">
        <v>11</v>
      </c>
      <c r="H406" s="10">
        <v>3</v>
      </c>
      <c r="I406" s="43"/>
    </row>
    <row r="407" spans="1:9">
      <c r="A407" s="42" t="s">
        <v>10</v>
      </c>
      <c r="B407" s="9" t="s">
        <v>158</v>
      </c>
      <c r="C407" s="9" t="str">
        <f t="shared" si="6"/>
        <v>國語文-電機一乙</v>
      </c>
      <c r="D407" s="9" t="s">
        <v>165</v>
      </c>
      <c r="E407" s="9" t="s">
        <v>166</v>
      </c>
      <c r="F407" s="10">
        <v>57</v>
      </c>
      <c r="G407" s="10" t="s">
        <v>11</v>
      </c>
      <c r="H407" s="10">
        <v>3</v>
      </c>
      <c r="I407" s="43"/>
    </row>
    <row r="408" spans="1:9">
      <c r="A408" s="42" t="s">
        <v>10</v>
      </c>
      <c r="B408" s="9" t="s">
        <v>158</v>
      </c>
      <c r="C408" s="9" t="str">
        <f t="shared" si="6"/>
        <v>國語文-電機一乙</v>
      </c>
      <c r="D408" s="9" t="s">
        <v>167</v>
      </c>
      <c r="E408" s="9" t="s">
        <v>168</v>
      </c>
      <c r="F408" s="10">
        <v>50</v>
      </c>
      <c r="G408" s="10" t="s">
        <v>11</v>
      </c>
      <c r="H408" s="10">
        <v>3</v>
      </c>
      <c r="I408" s="43"/>
    </row>
    <row r="409" spans="1:9">
      <c r="A409" s="42" t="s">
        <v>10</v>
      </c>
      <c r="B409" s="9" t="s">
        <v>158</v>
      </c>
      <c r="C409" s="9" t="str">
        <f t="shared" si="6"/>
        <v>國語文-電機一乙</v>
      </c>
      <c r="D409" s="9" t="s">
        <v>169</v>
      </c>
      <c r="E409" s="9" t="s">
        <v>170</v>
      </c>
      <c r="F409" s="10">
        <v>43</v>
      </c>
      <c r="G409" s="10" t="s">
        <v>11</v>
      </c>
      <c r="H409" s="10">
        <v>3</v>
      </c>
      <c r="I409" s="43"/>
    </row>
    <row r="410" spans="1:9">
      <c r="A410" s="42" t="s">
        <v>10</v>
      </c>
      <c r="B410" s="9" t="s">
        <v>97</v>
      </c>
      <c r="C410" s="9" t="str">
        <f t="shared" si="6"/>
        <v>國語文-電機一丙</v>
      </c>
      <c r="D410" s="9" t="s">
        <v>98</v>
      </c>
      <c r="E410" s="9" t="s">
        <v>99</v>
      </c>
      <c r="F410" s="10">
        <v>40</v>
      </c>
      <c r="G410" s="10" t="s">
        <v>11</v>
      </c>
      <c r="H410" s="10">
        <v>3</v>
      </c>
      <c r="I410" s="43"/>
    </row>
    <row r="411" spans="1:9">
      <c r="A411" s="42" t="s">
        <v>10</v>
      </c>
      <c r="B411" s="9" t="s">
        <v>97</v>
      </c>
      <c r="C411" s="9" t="str">
        <f t="shared" si="6"/>
        <v>國語文-電機一丙</v>
      </c>
      <c r="D411" s="9" t="s">
        <v>100</v>
      </c>
      <c r="E411" s="9" t="s">
        <v>101</v>
      </c>
      <c r="F411" s="10">
        <v>51</v>
      </c>
      <c r="G411" s="10" t="s">
        <v>11</v>
      </c>
      <c r="H411" s="10">
        <v>3</v>
      </c>
      <c r="I411" s="43"/>
    </row>
    <row r="412" spans="1:9">
      <c r="A412" s="42" t="s">
        <v>10</v>
      </c>
      <c r="B412" s="9" t="s">
        <v>97</v>
      </c>
      <c r="C412" s="9" t="str">
        <f t="shared" si="6"/>
        <v>國語文-電機一丙</v>
      </c>
      <c r="D412" s="9" t="s">
        <v>102</v>
      </c>
      <c r="E412" s="9" t="s">
        <v>103</v>
      </c>
      <c r="F412" s="10">
        <v>53</v>
      </c>
      <c r="G412" s="10" t="s">
        <v>11</v>
      </c>
      <c r="H412" s="10">
        <v>3</v>
      </c>
      <c r="I412" s="43"/>
    </row>
    <row r="413" spans="1:9">
      <c r="A413" s="42" t="s">
        <v>10</v>
      </c>
      <c r="B413" s="9" t="s">
        <v>97</v>
      </c>
      <c r="C413" s="9" t="str">
        <f t="shared" si="6"/>
        <v>國語文-電機一丙</v>
      </c>
      <c r="D413" s="9" t="s">
        <v>104</v>
      </c>
      <c r="E413" s="9" t="s">
        <v>105</v>
      </c>
      <c r="F413" s="10">
        <v>45</v>
      </c>
      <c r="G413" s="10" t="s">
        <v>11</v>
      </c>
      <c r="H413" s="10">
        <v>3</v>
      </c>
      <c r="I413" s="43"/>
    </row>
    <row r="414" spans="1:9">
      <c r="A414" s="42" t="s">
        <v>10</v>
      </c>
      <c r="B414" s="9" t="s">
        <v>97</v>
      </c>
      <c r="C414" s="9" t="str">
        <f t="shared" si="6"/>
        <v>國語文-電機一丙</v>
      </c>
      <c r="D414" s="9" t="s">
        <v>106</v>
      </c>
      <c r="E414" s="9" t="s">
        <v>107</v>
      </c>
      <c r="F414" s="10">
        <v>51</v>
      </c>
      <c r="G414" s="10" t="s">
        <v>11</v>
      </c>
      <c r="H414" s="10">
        <v>3</v>
      </c>
      <c r="I414" s="43"/>
    </row>
    <row r="415" spans="1:9">
      <c r="A415" s="42" t="s">
        <v>10</v>
      </c>
      <c r="B415" s="9" t="s">
        <v>97</v>
      </c>
      <c r="C415" s="9" t="str">
        <f t="shared" si="6"/>
        <v>國語文-電機一丙</v>
      </c>
      <c r="D415" s="9" t="s">
        <v>108</v>
      </c>
      <c r="E415" s="9" t="s">
        <v>109</v>
      </c>
      <c r="F415" s="10">
        <v>40</v>
      </c>
      <c r="G415" s="10" t="s">
        <v>11</v>
      </c>
      <c r="H415" s="10">
        <v>3</v>
      </c>
      <c r="I415" s="43"/>
    </row>
    <row r="416" spans="1:9">
      <c r="A416" s="42" t="s">
        <v>10</v>
      </c>
      <c r="B416" s="9" t="s">
        <v>97</v>
      </c>
      <c r="C416" s="9" t="str">
        <f t="shared" si="6"/>
        <v>國語文-電機一丙</v>
      </c>
      <c r="D416" s="9" t="s">
        <v>110</v>
      </c>
      <c r="E416" s="9" t="s">
        <v>111</v>
      </c>
      <c r="F416" s="10">
        <v>30</v>
      </c>
      <c r="G416" s="10" t="s">
        <v>11</v>
      </c>
      <c r="H416" s="10">
        <v>3</v>
      </c>
      <c r="I416" s="43"/>
    </row>
    <row r="417" spans="1:9">
      <c r="A417" s="42" t="s">
        <v>10</v>
      </c>
      <c r="B417" s="9" t="s">
        <v>97</v>
      </c>
      <c r="C417" s="9" t="str">
        <f t="shared" si="6"/>
        <v>國語文-電機一丙</v>
      </c>
      <c r="D417" s="9" t="s">
        <v>112</v>
      </c>
      <c r="E417" s="9" t="s">
        <v>113</v>
      </c>
      <c r="F417" s="10">
        <v>40</v>
      </c>
      <c r="G417" s="10" t="s">
        <v>11</v>
      </c>
      <c r="H417" s="10">
        <v>3</v>
      </c>
      <c r="I417" s="43"/>
    </row>
    <row r="418" spans="1:9">
      <c r="A418" s="42" t="s">
        <v>10</v>
      </c>
      <c r="B418" s="9" t="s">
        <v>97</v>
      </c>
      <c r="C418" s="9" t="str">
        <f t="shared" si="6"/>
        <v>國語文-電機一丙</v>
      </c>
      <c r="D418" s="9" t="s">
        <v>114</v>
      </c>
      <c r="E418" s="9" t="s">
        <v>115</v>
      </c>
      <c r="F418" s="10">
        <v>50</v>
      </c>
      <c r="G418" s="10" t="s">
        <v>11</v>
      </c>
      <c r="H418" s="10">
        <v>3</v>
      </c>
      <c r="I418" s="43"/>
    </row>
    <row r="419" spans="1:9">
      <c r="A419" s="42" t="s">
        <v>10</v>
      </c>
      <c r="B419" s="9" t="s">
        <v>97</v>
      </c>
      <c r="C419" s="9" t="str">
        <f t="shared" si="6"/>
        <v>國語文-電機一丙</v>
      </c>
      <c r="D419" s="9" t="s">
        <v>116</v>
      </c>
      <c r="E419" s="9" t="s">
        <v>117</v>
      </c>
      <c r="F419" s="10">
        <v>52</v>
      </c>
      <c r="G419" s="10" t="s">
        <v>11</v>
      </c>
      <c r="H419" s="10">
        <v>3</v>
      </c>
      <c r="I419" s="43"/>
    </row>
    <row r="420" spans="1:9">
      <c r="A420" s="42" t="s">
        <v>10</v>
      </c>
      <c r="B420" s="9" t="s">
        <v>97</v>
      </c>
      <c r="C420" s="9" t="str">
        <f t="shared" si="6"/>
        <v>國語文-電機一丙</v>
      </c>
      <c r="D420" s="9" t="s">
        <v>118</v>
      </c>
      <c r="E420" s="9" t="s">
        <v>119</v>
      </c>
      <c r="F420" s="10">
        <v>41</v>
      </c>
      <c r="G420" s="10" t="s">
        <v>11</v>
      </c>
      <c r="H420" s="10">
        <v>3</v>
      </c>
      <c r="I420" s="43"/>
    </row>
    <row r="421" spans="1:9">
      <c r="A421" s="42" t="s">
        <v>10</v>
      </c>
      <c r="B421" s="9" t="s">
        <v>97</v>
      </c>
      <c r="C421" s="9" t="str">
        <f t="shared" si="6"/>
        <v>國語文-電機一丙</v>
      </c>
      <c r="D421" s="9" t="s">
        <v>120</v>
      </c>
      <c r="E421" s="9" t="s">
        <v>121</v>
      </c>
      <c r="F421" s="10">
        <v>56</v>
      </c>
      <c r="G421" s="10" t="s">
        <v>11</v>
      </c>
      <c r="H421" s="10">
        <v>3</v>
      </c>
      <c r="I421" s="43"/>
    </row>
    <row r="422" spans="1:9">
      <c r="A422" s="42" t="s">
        <v>10</v>
      </c>
      <c r="B422" s="9" t="s">
        <v>44</v>
      </c>
      <c r="C422" s="9" t="str">
        <f t="shared" si="6"/>
        <v>國語文-電機一甲</v>
      </c>
      <c r="D422" s="9" t="s">
        <v>45</v>
      </c>
      <c r="E422" s="9" t="s">
        <v>46</v>
      </c>
      <c r="F422" s="10">
        <v>49</v>
      </c>
      <c r="G422" s="10" t="s">
        <v>11</v>
      </c>
      <c r="H422" s="10">
        <v>3</v>
      </c>
      <c r="I422" s="43"/>
    </row>
    <row r="423" spans="1:9">
      <c r="A423" s="42" t="s">
        <v>10</v>
      </c>
      <c r="B423" s="9" t="s">
        <v>44</v>
      </c>
      <c r="C423" s="9" t="str">
        <f t="shared" si="6"/>
        <v>國語文-電機一甲</v>
      </c>
      <c r="D423" s="9" t="s">
        <v>47</v>
      </c>
      <c r="E423" s="9" t="s">
        <v>48</v>
      </c>
      <c r="F423" s="10">
        <v>54</v>
      </c>
      <c r="G423" s="10" t="s">
        <v>11</v>
      </c>
      <c r="H423" s="10">
        <v>3</v>
      </c>
      <c r="I423" s="43"/>
    </row>
    <row r="424" spans="1:9">
      <c r="A424" s="42" t="s">
        <v>10</v>
      </c>
      <c r="B424" s="9" t="s">
        <v>44</v>
      </c>
      <c r="C424" s="9" t="str">
        <f t="shared" si="6"/>
        <v>國語文-電機一甲</v>
      </c>
      <c r="D424" s="9" t="s">
        <v>49</v>
      </c>
      <c r="E424" s="9" t="s">
        <v>50</v>
      </c>
      <c r="F424" s="10">
        <v>52</v>
      </c>
      <c r="G424" s="10" t="s">
        <v>11</v>
      </c>
      <c r="H424" s="10">
        <v>3</v>
      </c>
      <c r="I424" s="43"/>
    </row>
    <row r="425" spans="1:9">
      <c r="A425" s="42" t="s">
        <v>10</v>
      </c>
      <c r="B425" s="9" t="s">
        <v>44</v>
      </c>
      <c r="C425" s="9" t="str">
        <f t="shared" si="6"/>
        <v>國語文-電機一甲</v>
      </c>
      <c r="D425" s="9" t="s">
        <v>51</v>
      </c>
      <c r="E425" s="9" t="s">
        <v>52</v>
      </c>
      <c r="F425" s="10">
        <v>46</v>
      </c>
      <c r="G425" s="10" t="s">
        <v>11</v>
      </c>
      <c r="H425" s="10">
        <v>3</v>
      </c>
      <c r="I425" s="43"/>
    </row>
    <row r="426" spans="1:9">
      <c r="A426" s="42" t="s">
        <v>10</v>
      </c>
      <c r="B426" s="9" t="s">
        <v>44</v>
      </c>
      <c r="C426" s="9" t="str">
        <f t="shared" si="6"/>
        <v>國語文-電機一甲</v>
      </c>
      <c r="D426" s="9" t="s">
        <v>53</v>
      </c>
      <c r="E426" s="9" t="s">
        <v>54</v>
      </c>
      <c r="F426" s="10">
        <v>51</v>
      </c>
      <c r="G426" s="10" t="s">
        <v>11</v>
      </c>
      <c r="H426" s="10">
        <v>3</v>
      </c>
      <c r="I426" s="43"/>
    </row>
    <row r="427" spans="1:9">
      <c r="A427" s="42" t="s">
        <v>10</v>
      </c>
      <c r="B427" s="9" t="s">
        <v>44</v>
      </c>
      <c r="C427" s="9" t="str">
        <f t="shared" si="6"/>
        <v>國語文-電機一甲</v>
      </c>
      <c r="D427" s="9" t="s">
        <v>55</v>
      </c>
      <c r="E427" s="9" t="s">
        <v>56</v>
      </c>
      <c r="F427" s="10">
        <v>47</v>
      </c>
      <c r="G427" s="10" t="s">
        <v>11</v>
      </c>
      <c r="H427" s="10">
        <v>3</v>
      </c>
      <c r="I427" s="43"/>
    </row>
    <row r="428" spans="1:9">
      <c r="A428" s="42" t="s">
        <v>10</v>
      </c>
      <c r="B428" s="9" t="s">
        <v>44</v>
      </c>
      <c r="C428" s="9" t="str">
        <f t="shared" si="6"/>
        <v>國語文-電機一甲</v>
      </c>
      <c r="D428" s="9" t="s">
        <v>57</v>
      </c>
      <c r="E428" s="9" t="s">
        <v>58</v>
      </c>
      <c r="F428" s="10">
        <v>56</v>
      </c>
      <c r="G428" s="10" t="s">
        <v>11</v>
      </c>
      <c r="H428" s="10">
        <v>3</v>
      </c>
      <c r="I428" s="43"/>
    </row>
    <row r="429" spans="1:9">
      <c r="A429" s="42" t="s">
        <v>10</v>
      </c>
      <c r="B429" s="9" t="s">
        <v>44</v>
      </c>
      <c r="C429" s="9" t="str">
        <f t="shared" si="6"/>
        <v>國語文-電機一甲</v>
      </c>
      <c r="D429" s="9" t="s">
        <v>59</v>
      </c>
      <c r="E429" s="9" t="s">
        <v>60</v>
      </c>
      <c r="F429" s="10">
        <v>53</v>
      </c>
      <c r="G429" s="10" t="s">
        <v>11</v>
      </c>
      <c r="H429" s="10">
        <v>3</v>
      </c>
      <c r="I429" s="43"/>
    </row>
    <row r="430" spans="1:9">
      <c r="A430" s="42" t="s">
        <v>10</v>
      </c>
      <c r="B430" s="9" t="s">
        <v>44</v>
      </c>
      <c r="C430" s="9" t="str">
        <f t="shared" si="6"/>
        <v>國語文-電機一甲</v>
      </c>
      <c r="D430" s="9" t="s">
        <v>61</v>
      </c>
      <c r="E430" s="9" t="s">
        <v>62</v>
      </c>
      <c r="F430" s="10">
        <v>53</v>
      </c>
      <c r="G430" s="10" t="s">
        <v>11</v>
      </c>
      <c r="H430" s="10">
        <v>3</v>
      </c>
      <c r="I430" s="43"/>
    </row>
    <row r="431" spans="1:9">
      <c r="A431" s="42" t="s">
        <v>10</v>
      </c>
      <c r="B431" s="9" t="s">
        <v>44</v>
      </c>
      <c r="C431" s="9" t="str">
        <f t="shared" si="6"/>
        <v>國語文-電機一甲</v>
      </c>
      <c r="D431" s="9" t="s">
        <v>63</v>
      </c>
      <c r="E431" s="9" t="s">
        <v>64</v>
      </c>
      <c r="F431" s="10">
        <v>56</v>
      </c>
      <c r="G431" s="10" t="s">
        <v>11</v>
      </c>
      <c r="H431" s="10">
        <v>3</v>
      </c>
      <c r="I431" s="43"/>
    </row>
    <row r="432" spans="1:9">
      <c r="A432" s="42" t="s">
        <v>10</v>
      </c>
      <c r="B432" s="9" t="s">
        <v>217</v>
      </c>
      <c r="C432" s="9" t="str">
        <f t="shared" si="6"/>
        <v>國語文-製圖一乙</v>
      </c>
      <c r="D432" s="9" t="s">
        <v>218</v>
      </c>
      <c r="E432" s="9" t="s">
        <v>219</v>
      </c>
      <c r="F432" s="10">
        <v>55</v>
      </c>
      <c r="G432" s="10" t="s">
        <v>11</v>
      </c>
      <c r="H432" s="10">
        <v>3</v>
      </c>
      <c r="I432" s="43"/>
    </row>
    <row r="433" spans="1:9">
      <c r="A433" s="42" t="s">
        <v>10</v>
      </c>
      <c r="B433" s="9" t="s">
        <v>217</v>
      </c>
      <c r="C433" s="9" t="str">
        <f t="shared" si="6"/>
        <v>國語文-製圖一乙</v>
      </c>
      <c r="D433" s="9" t="s">
        <v>220</v>
      </c>
      <c r="E433" s="9" t="s">
        <v>221</v>
      </c>
      <c r="F433" s="10">
        <v>54</v>
      </c>
      <c r="G433" s="10" t="s">
        <v>11</v>
      </c>
      <c r="H433" s="10">
        <v>3</v>
      </c>
      <c r="I433" s="43"/>
    </row>
    <row r="434" spans="1:9">
      <c r="A434" s="42" t="s">
        <v>10</v>
      </c>
      <c r="B434" s="9" t="s">
        <v>217</v>
      </c>
      <c r="C434" s="9" t="str">
        <f t="shared" si="6"/>
        <v>國語文-製圖一乙</v>
      </c>
      <c r="D434" s="9" t="s">
        <v>222</v>
      </c>
      <c r="E434" s="9" t="s">
        <v>223</v>
      </c>
      <c r="F434" s="10">
        <v>55</v>
      </c>
      <c r="G434" s="10" t="s">
        <v>11</v>
      </c>
      <c r="H434" s="10">
        <v>3</v>
      </c>
      <c r="I434" s="43"/>
    </row>
    <row r="435" spans="1:9">
      <c r="A435" s="42" t="s">
        <v>10</v>
      </c>
      <c r="B435" s="9" t="s">
        <v>217</v>
      </c>
      <c r="C435" s="9" t="str">
        <f t="shared" si="6"/>
        <v>國語文-製圖一乙</v>
      </c>
      <c r="D435" s="9" t="s">
        <v>224</v>
      </c>
      <c r="E435" s="9" t="s">
        <v>225</v>
      </c>
      <c r="F435" s="10">
        <v>52</v>
      </c>
      <c r="G435" s="10" t="s">
        <v>11</v>
      </c>
      <c r="H435" s="10">
        <v>3</v>
      </c>
      <c r="I435" s="43"/>
    </row>
    <row r="436" spans="1:9">
      <c r="A436" s="42" t="s">
        <v>10</v>
      </c>
      <c r="B436" s="9" t="s">
        <v>217</v>
      </c>
      <c r="C436" s="9" t="str">
        <f t="shared" si="6"/>
        <v>國語文-製圖一乙</v>
      </c>
      <c r="D436" s="9" t="s">
        <v>226</v>
      </c>
      <c r="E436" s="9" t="s">
        <v>227</v>
      </c>
      <c r="F436" s="10">
        <v>40</v>
      </c>
      <c r="G436" s="10" t="s">
        <v>11</v>
      </c>
      <c r="H436" s="10">
        <v>3</v>
      </c>
      <c r="I436" s="43"/>
    </row>
    <row r="437" spans="1:9">
      <c r="A437" s="42" t="s">
        <v>10</v>
      </c>
      <c r="B437" s="9" t="s">
        <v>217</v>
      </c>
      <c r="C437" s="9" t="str">
        <f t="shared" si="6"/>
        <v>國語文-製圖一乙</v>
      </c>
      <c r="D437" s="9" t="s">
        <v>228</v>
      </c>
      <c r="E437" s="9" t="s">
        <v>229</v>
      </c>
      <c r="F437" s="10">
        <v>58</v>
      </c>
      <c r="G437" s="10" t="s">
        <v>11</v>
      </c>
      <c r="H437" s="10">
        <v>3</v>
      </c>
      <c r="I437" s="43"/>
    </row>
    <row r="438" spans="1:9">
      <c r="A438" s="42" t="s">
        <v>10</v>
      </c>
      <c r="B438" s="9" t="s">
        <v>217</v>
      </c>
      <c r="C438" s="9" t="str">
        <f t="shared" si="6"/>
        <v>國語文-製圖一乙</v>
      </c>
      <c r="D438" s="9" t="s">
        <v>230</v>
      </c>
      <c r="E438" s="9" t="s">
        <v>231</v>
      </c>
      <c r="F438" s="10">
        <v>45</v>
      </c>
      <c r="G438" s="10" t="s">
        <v>11</v>
      </c>
      <c r="H438" s="10">
        <v>3</v>
      </c>
      <c r="I438" s="43"/>
    </row>
    <row r="439" spans="1:9">
      <c r="A439" s="42" t="s">
        <v>10</v>
      </c>
      <c r="B439" s="9" t="s">
        <v>217</v>
      </c>
      <c r="C439" s="9" t="str">
        <f t="shared" si="6"/>
        <v>國語文-製圖一乙</v>
      </c>
      <c r="D439" s="9" t="s">
        <v>232</v>
      </c>
      <c r="E439" s="9" t="s">
        <v>233</v>
      </c>
      <c r="F439" s="10">
        <v>41</v>
      </c>
      <c r="G439" s="10" t="s">
        <v>11</v>
      </c>
      <c r="H439" s="10">
        <v>3</v>
      </c>
      <c r="I439" s="43"/>
    </row>
    <row r="440" spans="1:9">
      <c r="A440" s="42" t="s">
        <v>10</v>
      </c>
      <c r="B440" s="9" t="s">
        <v>122</v>
      </c>
      <c r="C440" s="9" t="str">
        <f t="shared" si="6"/>
        <v>國語文-製圖一丙</v>
      </c>
      <c r="D440" s="9" t="s">
        <v>123</v>
      </c>
      <c r="E440" s="9" t="s">
        <v>124</v>
      </c>
      <c r="F440" s="10">
        <v>55</v>
      </c>
      <c r="G440" s="10" t="s">
        <v>11</v>
      </c>
      <c r="H440" s="10">
        <v>3</v>
      </c>
      <c r="I440" s="43"/>
    </row>
    <row r="441" spans="1:9">
      <c r="A441" s="42" t="s">
        <v>10</v>
      </c>
      <c r="B441" s="9" t="s">
        <v>122</v>
      </c>
      <c r="C441" s="9" t="str">
        <f t="shared" si="6"/>
        <v>國語文-製圖一丙</v>
      </c>
      <c r="D441" s="9" t="s">
        <v>125</v>
      </c>
      <c r="E441" s="9" t="s">
        <v>126</v>
      </c>
      <c r="F441" s="10">
        <v>55</v>
      </c>
      <c r="G441" s="10" t="s">
        <v>11</v>
      </c>
      <c r="H441" s="10">
        <v>3</v>
      </c>
      <c r="I441" s="43"/>
    </row>
    <row r="442" spans="1:9">
      <c r="A442" s="42" t="s">
        <v>10</v>
      </c>
      <c r="B442" s="9" t="s">
        <v>122</v>
      </c>
      <c r="C442" s="9" t="str">
        <f t="shared" si="6"/>
        <v>國語文-製圖一丙</v>
      </c>
      <c r="D442" s="9" t="s">
        <v>127</v>
      </c>
      <c r="E442" s="9" t="s">
        <v>128</v>
      </c>
      <c r="F442" s="10">
        <v>50</v>
      </c>
      <c r="G442" s="10" t="s">
        <v>11</v>
      </c>
      <c r="H442" s="10">
        <v>3</v>
      </c>
      <c r="I442" s="43"/>
    </row>
    <row r="443" spans="1:9">
      <c r="A443" s="42" t="s">
        <v>10</v>
      </c>
      <c r="B443" s="9" t="s">
        <v>122</v>
      </c>
      <c r="C443" s="9" t="str">
        <f t="shared" si="6"/>
        <v>國語文-製圖一丙</v>
      </c>
      <c r="D443" s="9" t="s">
        <v>129</v>
      </c>
      <c r="E443" s="9" t="s">
        <v>130</v>
      </c>
      <c r="F443" s="10">
        <v>50</v>
      </c>
      <c r="G443" s="10" t="s">
        <v>11</v>
      </c>
      <c r="H443" s="10">
        <v>3</v>
      </c>
      <c r="I443" s="43"/>
    </row>
    <row r="444" spans="1:9">
      <c r="A444" s="42" t="s">
        <v>10</v>
      </c>
      <c r="B444" s="9" t="s">
        <v>122</v>
      </c>
      <c r="C444" s="9" t="str">
        <f t="shared" si="6"/>
        <v>國語文-製圖一丙</v>
      </c>
      <c r="D444" s="9" t="s">
        <v>131</v>
      </c>
      <c r="E444" s="9" t="s">
        <v>132</v>
      </c>
      <c r="F444" s="10">
        <v>45</v>
      </c>
      <c r="G444" s="10" t="s">
        <v>11</v>
      </c>
      <c r="H444" s="10">
        <v>3</v>
      </c>
      <c r="I444" s="43"/>
    </row>
    <row r="445" spans="1:9">
      <c r="A445" s="42" t="s">
        <v>10</v>
      </c>
      <c r="B445" s="9" t="s">
        <v>122</v>
      </c>
      <c r="C445" s="9" t="str">
        <f t="shared" si="6"/>
        <v>國語文-製圖一丙</v>
      </c>
      <c r="D445" s="9" t="s">
        <v>133</v>
      </c>
      <c r="E445" s="9" t="s">
        <v>134</v>
      </c>
      <c r="F445" s="10">
        <v>46</v>
      </c>
      <c r="G445" s="10" t="s">
        <v>11</v>
      </c>
      <c r="H445" s="10">
        <v>3</v>
      </c>
      <c r="I445" s="43"/>
    </row>
    <row r="446" spans="1:9">
      <c r="A446" s="42" t="s">
        <v>10</v>
      </c>
      <c r="B446" s="9" t="s">
        <v>122</v>
      </c>
      <c r="C446" s="9" t="str">
        <f t="shared" si="6"/>
        <v>國語文-製圖一丙</v>
      </c>
      <c r="D446" s="9" t="s">
        <v>135</v>
      </c>
      <c r="E446" s="9" t="s">
        <v>136</v>
      </c>
      <c r="F446" s="10">
        <v>52</v>
      </c>
      <c r="G446" s="10" t="s">
        <v>11</v>
      </c>
      <c r="H446" s="10">
        <v>3</v>
      </c>
      <c r="I446" s="43"/>
    </row>
    <row r="447" spans="1:9">
      <c r="A447" s="42" t="s">
        <v>10</v>
      </c>
      <c r="B447" s="9" t="s">
        <v>122</v>
      </c>
      <c r="C447" s="9" t="str">
        <f t="shared" si="6"/>
        <v>國語文-製圖一丙</v>
      </c>
      <c r="D447" s="9" t="s">
        <v>137</v>
      </c>
      <c r="E447" s="9" t="s">
        <v>138</v>
      </c>
      <c r="F447" s="10">
        <v>40</v>
      </c>
      <c r="G447" s="10" t="s">
        <v>11</v>
      </c>
      <c r="H447" s="10">
        <v>3</v>
      </c>
      <c r="I447" s="43"/>
    </row>
    <row r="448" spans="1:9">
      <c r="A448" s="42" t="s">
        <v>10</v>
      </c>
      <c r="B448" s="9" t="s">
        <v>122</v>
      </c>
      <c r="C448" s="9" t="str">
        <f t="shared" si="6"/>
        <v>國語文-製圖一丙</v>
      </c>
      <c r="D448" s="9" t="s">
        <v>139</v>
      </c>
      <c r="E448" s="9" t="s">
        <v>140</v>
      </c>
      <c r="F448" s="10">
        <v>50</v>
      </c>
      <c r="G448" s="10" t="s">
        <v>11</v>
      </c>
      <c r="H448" s="10">
        <v>3</v>
      </c>
      <c r="I448" s="43"/>
    </row>
    <row r="449" spans="1:9">
      <c r="A449" s="42" t="s">
        <v>10</v>
      </c>
      <c r="B449" s="9" t="s">
        <v>322</v>
      </c>
      <c r="C449" s="9" t="str">
        <f t="shared" si="6"/>
        <v>國語文-製圖一甲</v>
      </c>
      <c r="D449" s="9" t="s">
        <v>323</v>
      </c>
      <c r="E449" s="9" t="s">
        <v>324</v>
      </c>
      <c r="F449" s="10">
        <v>48</v>
      </c>
      <c r="G449" s="10" t="s">
        <v>11</v>
      </c>
      <c r="H449" s="10">
        <v>3</v>
      </c>
      <c r="I449" s="43"/>
    </row>
    <row r="450" spans="1:9">
      <c r="A450" s="42" t="s">
        <v>10</v>
      </c>
      <c r="B450" s="9" t="s">
        <v>322</v>
      </c>
      <c r="C450" s="9" t="str">
        <f t="shared" si="6"/>
        <v>國語文-製圖一甲</v>
      </c>
      <c r="D450" s="9" t="s">
        <v>325</v>
      </c>
      <c r="E450" s="9" t="s">
        <v>326</v>
      </c>
      <c r="F450" s="10">
        <v>51</v>
      </c>
      <c r="G450" s="10" t="s">
        <v>11</v>
      </c>
      <c r="H450" s="10">
        <v>3</v>
      </c>
      <c r="I450" s="43"/>
    </row>
    <row r="451" spans="1:9">
      <c r="A451" s="42" t="s">
        <v>10</v>
      </c>
      <c r="B451" s="9" t="s">
        <v>322</v>
      </c>
      <c r="C451" s="9" t="str">
        <f t="shared" ref="C451:C514" si="7">A451&amp;"-"&amp;B451</f>
        <v>國語文-製圖一甲</v>
      </c>
      <c r="D451" s="9" t="s">
        <v>327</v>
      </c>
      <c r="E451" s="9" t="s">
        <v>328</v>
      </c>
      <c r="F451" s="10">
        <v>52</v>
      </c>
      <c r="G451" s="10" t="s">
        <v>11</v>
      </c>
      <c r="H451" s="10">
        <v>3</v>
      </c>
      <c r="I451" s="43"/>
    </row>
    <row r="452" spans="1:9">
      <c r="A452" s="42" t="s">
        <v>10</v>
      </c>
      <c r="B452" s="9" t="s">
        <v>322</v>
      </c>
      <c r="C452" s="9" t="str">
        <f t="shared" si="7"/>
        <v>國語文-製圖一甲</v>
      </c>
      <c r="D452" s="9" t="s">
        <v>329</v>
      </c>
      <c r="E452" s="9" t="s">
        <v>330</v>
      </c>
      <c r="F452" s="10">
        <v>56</v>
      </c>
      <c r="G452" s="10" t="s">
        <v>11</v>
      </c>
      <c r="H452" s="10">
        <v>3</v>
      </c>
      <c r="I452" s="43"/>
    </row>
    <row r="453" spans="1:9">
      <c r="A453" s="42" t="s">
        <v>10</v>
      </c>
      <c r="B453" s="9" t="s">
        <v>322</v>
      </c>
      <c r="C453" s="9" t="str">
        <f t="shared" si="7"/>
        <v>國語文-製圖一甲</v>
      </c>
      <c r="D453" s="9" t="s">
        <v>331</v>
      </c>
      <c r="E453" s="9" t="s">
        <v>332</v>
      </c>
      <c r="F453" s="10">
        <v>58</v>
      </c>
      <c r="G453" s="10" t="s">
        <v>11</v>
      </c>
      <c r="H453" s="10">
        <v>3</v>
      </c>
      <c r="I453" s="43"/>
    </row>
    <row r="454" spans="1:9">
      <c r="A454" s="42" t="s">
        <v>10</v>
      </c>
      <c r="B454" s="9" t="s">
        <v>322</v>
      </c>
      <c r="C454" s="9" t="str">
        <f t="shared" si="7"/>
        <v>國語文-製圖一甲</v>
      </c>
      <c r="D454" s="9" t="s">
        <v>333</v>
      </c>
      <c r="E454" s="9" t="s">
        <v>334</v>
      </c>
      <c r="F454" s="10">
        <v>53</v>
      </c>
      <c r="G454" s="10" t="s">
        <v>11</v>
      </c>
      <c r="H454" s="10">
        <v>3</v>
      </c>
      <c r="I454" s="43"/>
    </row>
    <row r="455" spans="1:9">
      <c r="A455" s="42" t="s">
        <v>10</v>
      </c>
      <c r="B455" s="9" t="s">
        <v>194</v>
      </c>
      <c r="C455" s="9" t="str">
        <f t="shared" si="7"/>
        <v>國語文-模具一乙</v>
      </c>
      <c r="D455" s="9" t="s">
        <v>195</v>
      </c>
      <c r="E455" s="9" t="s">
        <v>196</v>
      </c>
      <c r="F455" s="10">
        <v>55</v>
      </c>
      <c r="G455" s="10" t="s">
        <v>11</v>
      </c>
      <c r="H455" s="10">
        <v>3</v>
      </c>
      <c r="I455" s="43"/>
    </row>
    <row r="456" spans="1:9">
      <c r="A456" s="42" t="s">
        <v>10</v>
      </c>
      <c r="B456" s="9" t="s">
        <v>194</v>
      </c>
      <c r="C456" s="9" t="str">
        <f t="shared" si="7"/>
        <v>國語文-模具一乙</v>
      </c>
      <c r="D456" s="9" t="s">
        <v>197</v>
      </c>
      <c r="E456" s="9" t="s">
        <v>198</v>
      </c>
      <c r="F456" s="10">
        <v>46</v>
      </c>
      <c r="G456" s="10" t="s">
        <v>11</v>
      </c>
      <c r="H456" s="10">
        <v>3</v>
      </c>
      <c r="I456" s="43"/>
    </row>
    <row r="457" spans="1:9">
      <c r="A457" s="42" t="s">
        <v>10</v>
      </c>
      <c r="B457" s="9" t="s">
        <v>194</v>
      </c>
      <c r="C457" s="9" t="str">
        <f t="shared" si="7"/>
        <v>國語文-模具一乙</v>
      </c>
      <c r="D457" s="9" t="s">
        <v>199</v>
      </c>
      <c r="E457" s="9" t="s">
        <v>200</v>
      </c>
      <c r="F457" s="10">
        <v>40</v>
      </c>
      <c r="G457" s="10" t="s">
        <v>11</v>
      </c>
      <c r="H457" s="10">
        <v>3</v>
      </c>
      <c r="I457" s="43"/>
    </row>
    <row r="458" spans="1:9">
      <c r="A458" s="42" t="s">
        <v>10</v>
      </c>
      <c r="B458" s="9" t="s">
        <v>194</v>
      </c>
      <c r="C458" s="9" t="str">
        <f t="shared" si="7"/>
        <v>國語文-模具一乙</v>
      </c>
      <c r="D458" s="9" t="s">
        <v>201</v>
      </c>
      <c r="E458" s="9" t="s">
        <v>202</v>
      </c>
      <c r="F458" s="10">
        <v>53</v>
      </c>
      <c r="G458" s="10" t="s">
        <v>11</v>
      </c>
      <c r="H458" s="10">
        <v>3</v>
      </c>
      <c r="I458" s="43"/>
    </row>
    <row r="459" spans="1:9">
      <c r="A459" s="42" t="s">
        <v>10</v>
      </c>
      <c r="B459" s="9" t="s">
        <v>194</v>
      </c>
      <c r="C459" s="9" t="str">
        <f t="shared" si="7"/>
        <v>國語文-模具一乙</v>
      </c>
      <c r="D459" s="9" t="s">
        <v>203</v>
      </c>
      <c r="E459" s="9" t="s">
        <v>204</v>
      </c>
      <c r="F459" s="10">
        <v>50</v>
      </c>
      <c r="G459" s="10" t="s">
        <v>11</v>
      </c>
      <c r="H459" s="10">
        <v>3</v>
      </c>
      <c r="I459" s="43"/>
    </row>
    <row r="460" spans="1:9">
      <c r="A460" s="42" t="s">
        <v>10</v>
      </c>
      <c r="B460" s="9" t="s">
        <v>194</v>
      </c>
      <c r="C460" s="9" t="str">
        <f t="shared" si="7"/>
        <v>國語文-模具一乙</v>
      </c>
      <c r="D460" s="9" t="s">
        <v>205</v>
      </c>
      <c r="E460" s="9" t="s">
        <v>206</v>
      </c>
      <c r="F460" s="10">
        <v>40</v>
      </c>
      <c r="G460" s="10" t="s">
        <v>11</v>
      </c>
      <c r="H460" s="10">
        <v>3</v>
      </c>
      <c r="I460" s="43"/>
    </row>
    <row r="461" spans="1:9">
      <c r="A461" s="42" t="s">
        <v>10</v>
      </c>
      <c r="B461" s="9" t="s">
        <v>194</v>
      </c>
      <c r="C461" s="9" t="str">
        <f t="shared" si="7"/>
        <v>國語文-模具一乙</v>
      </c>
      <c r="D461" s="9" t="s">
        <v>207</v>
      </c>
      <c r="E461" s="9" t="s">
        <v>208</v>
      </c>
      <c r="F461" s="10">
        <v>40</v>
      </c>
      <c r="G461" s="10" t="s">
        <v>11</v>
      </c>
      <c r="H461" s="10">
        <v>3</v>
      </c>
      <c r="I461" s="43"/>
    </row>
    <row r="462" spans="1:9">
      <c r="A462" s="42" t="s">
        <v>10</v>
      </c>
      <c r="B462" s="9" t="s">
        <v>194</v>
      </c>
      <c r="C462" s="9" t="str">
        <f t="shared" si="7"/>
        <v>國語文-模具一乙</v>
      </c>
      <c r="D462" s="9" t="s">
        <v>209</v>
      </c>
      <c r="E462" s="9" t="s">
        <v>210</v>
      </c>
      <c r="F462" s="10">
        <v>50</v>
      </c>
      <c r="G462" s="10" t="s">
        <v>11</v>
      </c>
      <c r="H462" s="10">
        <v>3</v>
      </c>
      <c r="I462" s="43"/>
    </row>
    <row r="463" spans="1:9">
      <c r="A463" s="42" t="s">
        <v>10</v>
      </c>
      <c r="B463" s="9" t="s">
        <v>194</v>
      </c>
      <c r="C463" s="9" t="str">
        <f t="shared" si="7"/>
        <v>國語文-模具一乙</v>
      </c>
      <c r="D463" s="9" t="s">
        <v>211</v>
      </c>
      <c r="E463" s="9" t="s">
        <v>212</v>
      </c>
      <c r="F463" s="10">
        <v>40</v>
      </c>
      <c r="G463" s="10" t="s">
        <v>11</v>
      </c>
      <c r="H463" s="10">
        <v>3</v>
      </c>
      <c r="I463" s="43"/>
    </row>
    <row r="464" spans="1:9">
      <c r="A464" s="42" t="s">
        <v>10</v>
      </c>
      <c r="B464" s="9" t="s">
        <v>194</v>
      </c>
      <c r="C464" s="9" t="str">
        <f t="shared" si="7"/>
        <v>國語文-模具一乙</v>
      </c>
      <c r="D464" s="9" t="s">
        <v>213</v>
      </c>
      <c r="E464" s="9" t="s">
        <v>214</v>
      </c>
      <c r="F464" s="10">
        <v>50</v>
      </c>
      <c r="G464" s="10" t="s">
        <v>11</v>
      </c>
      <c r="H464" s="10">
        <v>3</v>
      </c>
      <c r="I464" s="43"/>
    </row>
    <row r="465" spans="1:9">
      <c r="A465" s="42" t="s">
        <v>10</v>
      </c>
      <c r="B465" s="9" t="s">
        <v>194</v>
      </c>
      <c r="C465" s="9" t="str">
        <f t="shared" si="7"/>
        <v>國語文-模具一乙</v>
      </c>
      <c r="D465" s="9" t="s">
        <v>215</v>
      </c>
      <c r="E465" s="9" t="s">
        <v>216</v>
      </c>
      <c r="F465" s="10">
        <v>40</v>
      </c>
      <c r="G465" s="10" t="s">
        <v>11</v>
      </c>
      <c r="H465" s="10">
        <v>3</v>
      </c>
      <c r="I465" s="43"/>
    </row>
    <row r="466" spans="1:9">
      <c r="A466" s="42" t="s">
        <v>10</v>
      </c>
      <c r="B466" s="9" t="s">
        <v>301</v>
      </c>
      <c r="C466" s="9" t="str">
        <f t="shared" si="7"/>
        <v>國語文-模具一甲</v>
      </c>
      <c r="D466" s="9" t="s">
        <v>302</v>
      </c>
      <c r="E466" s="9" t="s">
        <v>303</v>
      </c>
      <c r="F466" s="10">
        <v>46</v>
      </c>
      <c r="G466" s="10" t="s">
        <v>11</v>
      </c>
      <c r="H466" s="10">
        <v>3</v>
      </c>
      <c r="I466" s="43"/>
    </row>
    <row r="467" spans="1:9">
      <c r="A467" s="42" t="s">
        <v>10</v>
      </c>
      <c r="B467" s="9" t="s">
        <v>301</v>
      </c>
      <c r="C467" s="9" t="str">
        <f t="shared" si="7"/>
        <v>國語文-模具一甲</v>
      </c>
      <c r="D467" s="9" t="s">
        <v>304</v>
      </c>
      <c r="E467" s="9" t="s">
        <v>305</v>
      </c>
      <c r="F467" s="10">
        <v>42</v>
      </c>
      <c r="G467" s="10" t="s">
        <v>11</v>
      </c>
      <c r="H467" s="10">
        <v>3</v>
      </c>
      <c r="I467" s="43"/>
    </row>
    <row r="468" spans="1:9">
      <c r="A468" s="42" t="s">
        <v>10</v>
      </c>
      <c r="B468" s="9" t="s">
        <v>301</v>
      </c>
      <c r="C468" s="9" t="str">
        <f t="shared" si="7"/>
        <v>國語文-模具一甲</v>
      </c>
      <c r="D468" s="9" t="s">
        <v>306</v>
      </c>
      <c r="E468" s="9" t="s">
        <v>307</v>
      </c>
      <c r="F468" s="10">
        <v>55</v>
      </c>
      <c r="G468" s="10" t="s">
        <v>11</v>
      </c>
      <c r="H468" s="10">
        <v>3</v>
      </c>
      <c r="I468" s="43"/>
    </row>
    <row r="469" spans="1:9">
      <c r="A469" s="42" t="s">
        <v>10</v>
      </c>
      <c r="B469" s="9" t="s">
        <v>301</v>
      </c>
      <c r="C469" s="9" t="str">
        <f t="shared" si="7"/>
        <v>國語文-模具一甲</v>
      </c>
      <c r="D469" s="9" t="s">
        <v>308</v>
      </c>
      <c r="E469" s="9" t="s">
        <v>309</v>
      </c>
      <c r="F469" s="10">
        <v>55</v>
      </c>
      <c r="G469" s="10" t="s">
        <v>11</v>
      </c>
      <c r="H469" s="10">
        <v>3</v>
      </c>
      <c r="I469" s="43"/>
    </row>
    <row r="470" spans="1:9">
      <c r="A470" s="42" t="s">
        <v>10</v>
      </c>
      <c r="B470" s="9" t="s">
        <v>301</v>
      </c>
      <c r="C470" s="9" t="str">
        <f t="shared" si="7"/>
        <v>國語文-模具一甲</v>
      </c>
      <c r="D470" s="9" t="s">
        <v>310</v>
      </c>
      <c r="E470" s="9" t="s">
        <v>311</v>
      </c>
      <c r="F470" s="10">
        <v>42</v>
      </c>
      <c r="G470" s="10" t="s">
        <v>11</v>
      </c>
      <c r="H470" s="10">
        <v>3</v>
      </c>
      <c r="I470" s="43"/>
    </row>
    <row r="471" spans="1:9">
      <c r="A471" s="42" t="s">
        <v>10</v>
      </c>
      <c r="B471" s="9" t="s">
        <v>301</v>
      </c>
      <c r="C471" s="9" t="str">
        <f t="shared" si="7"/>
        <v>國語文-模具一甲</v>
      </c>
      <c r="D471" s="9" t="s">
        <v>312</v>
      </c>
      <c r="E471" s="9" t="s">
        <v>313</v>
      </c>
      <c r="F471" s="10">
        <v>58</v>
      </c>
      <c r="G471" s="10" t="s">
        <v>11</v>
      </c>
      <c r="H471" s="10">
        <v>3</v>
      </c>
      <c r="I471" s="43"/>
    </row>
    <row r="472" spans="1:9">
      <c r="A472" s="42" t="s">
        <v>10</v>
      </c>
      <c r="B472" s="9" t="s">
        <v>301</v>
      </c>
      <c r="C472" s="9" t="str">
        <f t="shared" si="7"/>
        <v>國語文-模具一甲</v>
      </c>
      <c r="D472" s="9" t="s">
        <v>314</v>
      </c>
      <c r="E472" s="9" t="s">
        <v>315</v>
      </c>
      <c r="F472" s="10">
        <v>40</v>
      </c>
      <c r="G472" s="10" t="s">
        <v>11</v>
      </c>
      <c r="H472" s="10">
        <v>3</v>
      </c>
      <c r="I472" s="43"/>
    </row>
    <row r="473" spans="1:9">
      <c r="A473" s="42" t="s">
        <v>10</v>
      </c>
      <c r="B473" s="9" t="s">
        <v>301</v>
      </c>
      <c r="C473" s="9" t="str">
        <f t="shared" si="7"/>
        <v>國語文-模具一甲</v>
      </c>
      <c r="D473" s="9" t="s">
        <v>316</v>
      </c>
      <c r="E473" s="9" t="s">
        <v>317</v>
      </c>
      <c r="F473" s="10">
        <v>57</v>
      </c>
      <c r="G473" s="10" t="s">
        <v>11</v>
      </c>
      <c r="H473" s="10">
        <v>3</v>
      </c>
      <c r="I473" s="43"/>
    </row>
    <row r="474" spans="1:9">
      <c r="A474" s="42" t="s">
        <v>10</v>
      </c>
      <c r="B474" s="9" t="s">
        <v>301</v>
      </c>
      <c r="C474" s="9" t="str">
        <f t="shared" si="7"/>
        <v>國語文-模具一甲</v>
      </c>
      <c r="D474" s="9" t="s">
        <v>318</v>
      </c>
      <c r="E474" s="9" t="s">
        <v>319</v>
      </c>
      <c r="F474" s="10">
        <v>45</v>
      </c>
      <c r="G474" s="10" t="s">
        <v>11</v>
      </c>
      <c r="H474" s="10">
        <v>3</v>
      </c>
      <c r="I474" s="43"/>
    </row>
    <row r="475" spans="1:9">
      <c r="A475" s="42" t="s">
        <v>10</v>
      </c>
      <c r="B475" s="9" t="s">
        <v>301</v>
      </c>
      <c r="C475" s="9" t="str">
        <f t="shared" si="7"/>
        <v>國語文-模具一甲</v>
      </c>
      <c r="D475" s="9" t="s">
        <v>320</v>
      </c>
      <c r="E475" s="9" t="s">
        <v>321</v>
      </c>
      <c r="F475" s="10">
        <v>43</v>
      </c>
      <c r="G475" s="10" t="s">
        <v>11</v>
      </c>
      <c r="H475" s="10">
        <v>3</v>
      </c>
      <c r="I475" s="43"/>
    </row>
    <row r="476" spans="1:9">
      <c r="A476" s="42" t="s">
        <v>10</v>
      </c>
      <c r="B476" s="9" t="s">
        <v>84</v>
      </c>
      <c r="C476" s="9" t="str">
        <f t="shared" si="7"/>
        <v>國語文-機械一乙</v>
      </c>
      <c r="D476" s="9" t="s">
        <v>85</v>
      </c>
      <c r="E476" s="9" t="s">
        <v>86</v>
      </c>
      <c r="F476" s="10">
        <v>45</v>
      </c>
      <c r="G476" s="10" t="s">
        <v>11</v>
      </c>
      <c r="H476" s="10">
        <v>3</v>
      </c>
      <c r="I476" s="43"/>
    </row>
    <row r="477" spans="1:9">
      <c r="A477" s="42" t="s">
        <v>10</v>
      </c>
      <c r="B477" s="9" t="s">
        <v>84</v>
      </c>
      <c r="C477" s="9" t="str">
        <f t="shared" si="7"/>
        <v>國語文-機械一乙</v>
      </c>
      <c r="D477" s="9" t="s">
        <v>87</v>
      </c>
      <c r="E477" s="9" t="s">
        <v>88</v>
      </c>
      <c r="F477" s="10">
        <v>47</v>
      </c>
      <c r="G477" s="10" t="s">
        <v>11</v>
      </c>
      <c r="H477" s="10">
        <v>3</v>
      </c>
      <c r="I477" s="43"/>
    </row>
    <row r="478" spans="1:9">
      <c r="A478" s="42" t="s">
        <v>10</v>
      </c>
      <c r="B478" s="9" t="s">
        <v>84</v>
      </c>
      <c r="C478" s="9" t="str">
        <f t="shared" si="7"/>
        <v>國語文-機械一乙</v>
      </c>
      <c r="D478" s="9" t="s">
        <v>89</v>
      </c>
      <c r="E478" s="9" t="s">
        <v>90</v>
      </c>
      <c r="F478" s="10">
        <v>50</v>
      </c>
      <c r="G478" s="10" t="s">
        <v>11</v>
      </c>
      <c r="H478" s="10">
        <v>3</v>
      </c>
      <c r="I478" s="43"/>
    </row>
    <row r="479" spans="1:9">
      <c r="A479" s="42" t="s">
        <v>10</v>
      </c>
      <c r="B479" s="9" t="s">
        <v>84</v>
      </c>
      <c r="C479" s="9" t="str">
        <f t="shared" si="7"/>
        <v>國語文-機械一乙</v>
      </c>
      <c r="D479" s="9" t="s">
        <v>91</v>
      </c>
      <c r="E479" s="9" t="s">
        <v>92</v>
      </c>
      <c r="F479" s="10">
        <v>55</v>
      </c>
      <c r="G479" s="10" t="s">
        <v>11</v>
      </c>
      <c r="H479" s="10">
        <v>3</v>
      </c>
      <c r="I479" s="43"/>
    </row>
    <row r="480" spans="1:9">
      <c r="A480" s="42" t="s">
        <v>10</v>
      </c>
      <c r="B480" s="9" t="s">
        <v>84</v>
      </c>
      <c r="C480" s="9" t="str">
        <f t="shared" si="7"/>
        <v>國語文-機械一乙</v>
      </c>
      <c r="D480" s="9" t="s">
        <v>93</v>
      </c>
      <c r="E480" s="9" t="s">
        <v>94</v>
      </c>
      <c r="F480" s="10">
        <v>56</v>
      </c>
      <c r="G480" s="10" t="s">
        <v>11</v>
      </c>
      <c r="H480" s="10">
        <v>3</v>
      </c>
      <c r="I480" s="43"/>
    </row>
    <row r="481" spans="1:9">
      <c r="A481" s="42" t="s">
        <v>10</v>
      </c>
      <c r="B481" s="9" t="s">
        <v>84</v>
      </c>
      <c r="C481" s="9" t="str">
        <f t="shared" si="7"/>
        <v>國語文-機械一乙</v>
      </c>
      <c r="D481" s="9" t="s">
        <v>95</v>
      </c>
      <c r="E481" s="9" t="s">
        <v>96</v>
      </c>
      <c r="F481" s="10">
        <v>55</v>
      </c>
      <c r="G481" s="10" t="s">
        <v>11</v>
      </c>
      <c r="H481" s="10">
        <v>3</v>
      </c>
      <c r="I481" s="43"/>
    </row>
    <row r="482" spans="1:9">
      <c r="A482" s="42" t="s">
        <v>10</v>
      </c>
      <c r="B482" s="9" t="s">
        <v>7</v>
      </c>
      <c r="C482" s="9" t="str">
        <f t="shared" si="7"/>
        <v>國語文-機械一甲</v>
      </c>
      <c r="D482" s="9" t="s">
        <v>8</v>
      </c>
      <c r="E482" s="9" t="s">
        <v>9</v>
      </c>
      <c r="F482" s="10">
        <v>45</v>
      </c>
      <c r="G482" s="10" t="s">
        <v>11</v>
      </c>
      <c r="H482" s="10">
        <v>3</v>
      </c>
      <c r="I482" s="43"/>
    </row>
    <row r="483" spans="1:9">
      <c r="A483" s="42" t="s">
        <v>10</v>
      </c>
      <c r="B483" s="9" t="s">
        <v>7</v>
      </c>
      <c r="C483" s="9" t="str">
        <f t="shared" si="7"/>
        <v>國語文-機械一甲</v>
      </c>
      <c r="D483" s="9" t="s">
        <v>13</v>
      </c>
      <c r="E483" s="9" t="s">
        <v>14</v>
      </c>
      <c r="F483" s="10">
        <v>56</v>
      </c>
      <c r="G483" s="10" t="s">
        <v>11</v>
      </c>
      <c r="H483" s="10">
        <v>3</v>
      </c>
      <c r="I483" s="43"/>
    </row>
    <row r="484" spans="1:9">
      <c r="A484" s="42" t="s">
        <v>10</v>
      </c>
      <c r="B484" s="9" t="s">
        <v>7</v>
      </c>
      <c r="C484" s="9" t="str">
        <f t="shared" si="7"/>
        <v>國語文-機械一甲</v>
      </c>
      <c r="D484" s="9" t="s">
        <v>15</v>
      </c>
      <c r="E484" s="9" t="s">
        <v>16</v>
      </c>
      <c r="F484" s="10">
        <v>48</v>
      </c>
      <c r="G484" s="10" t="s">
        <v>11</v>
      </c>
      <c r="H484" s="10">
        <v>3</v>
      </c>
      <c r="I484" s="43"/>
    </row>
    <row r="485" spans="1:9">
      <c r="A485" s="42" t="s">
        <v>10</v>
      </c>
      <c r="B485" s="9" t="s">
        <v>7</v>
      </c>
      <c r="C485" s="9" t="str">
        <f t="shared" si="7"/>
        <v>國語文-機械一甲</v>
      </c>
      <c r="D485" s="9" t="s">
        <v>17</v>
      </c>
      <c r="E485" s="9" t="s">
        <v>18</v>
      </c>
      <c r="F485" s="10">
        <v>43</v>
      </c>
      <c r="G485" s="10" t="s">
        <v>11</v>
      </c>
      <c r="H485" s="10">
        <v>3</v>
      </c>
      <c r="I485" s="43"/>
    </row>
    <row r="486" spans="1:9">
      <c r="A486" s="42" t="s">
        <v>10</v>
      </c>
      <c r="B486" s="9" t="s">
        <v>7</v>
      </c>
      <c r="C486" s="9" t="str">
        <f t="shared" si="7"/>
        <v>國語文-機械一甲</v>
      </c>
      <c r="D486" s="9" t="s">
        <v>19</v>
      </c>
      <c r="E486" s="9" t="s">
        <v>20</v>
      </c>
      <c r="F486" s="10">
        <v>55</v>
      </c>
      <c r="G486" s="10" t="s">
        <v>11</v>
      </c>
      <c r="H486" s="10">
        <v>3</v>
      </c>
      <c r="I486" s="43"/>
    </row>
    <row r="487" spans="1:9">
      <c r="A487" s="42" t="s">
        <v>10</v>
      </c>
      <c r="B487" s="9" t="s">
        <v>7</v>
      </c>
      <c r="C487" s="9" t="str">
        <f t="shared" si="7"/>
        <v>國語文-機械一甲</v>
      </c>
      <c r="D487" s="9" t="s">
        <v>21</v>
      </c>
      <c r="E487" s="9" t="s">
        <v>22</v>
      </c>
      <c r="F487" s="10">
        <v>56</v>
      </c>
      <c r="G487" s="10" t="s">
        <v>11</v>
      </c>
      <c r="H487" s="10">
        <v>3</v>
      </c>
      <c r="I487" s="43"/>
    </row>
    <row r="488" spans="1:9">
      <c r="A488" s="42" t="s">
        <v>10</v>
      </c>
      <c r="B488" s="9" t="s">
        <v>7</v>
      </c>
      <c r="C488" s="9" t="str">
        <f t="shared" si="7"/>
        <v>國語文-機械一甲</v>
      </c>
      <c r="D488" s="9" t="s">
        <v>23</v>
      </c>
      <c r="E488" s="9" t="s">
        <v>24</v>
      </c>
      <c r="F488" s="10">
        <v>46</v>
      </c>
      <c r="G488" s="10" t="s">
        <v>11</v>
      </c>
      <c r="H488" s="10">
        <v>3</v>
      </c>
      <c r="I488" s="43"/>
    </row>
    <row r="489" spans="1:9">
      <c r="A489" s="42" t="s">
        <v>10</v>
      </c>
      <c r="B489" s="9" t="s">
        <v>141</v>
      </c>
      <c r="C489" s="9" t="str">
        <f t="shared" si="7"/>
        <v>國語文-應英一乙</v>
      </c>
      <c r="D489" s="9" t="s">
        <v>142</v>
      </c>
      <c r="E489" s="9" t="s">
        <v>143</v>
      </c>
      <c r="F489" s="10">
        <v>56</v>
      </c>
      <c r="G489" s="10" t="s">
        <v>11</v>
      </c>
      <c r="H489" s="10">
        <v>3</v>
      </c>
      <c r="I489" s="43"/>
    </row>
    <row r="490" spans="1:9">
      <c r="A490" s="42" t="s">
        <v>10</v>
      </c>
      <c r="B490" s="9" t="s">
        <v>141</v>
      </c>
      <c r="C490" s="9" t="str">
        <f t="shared" si="7"/>
        <v>國語文-應英一乙</v>
      </c>
      <c r="D490" s="9" t="s">
        <v>144</v>
      </c>
      <c r="E490" s="9" t="s">
        <v>145</v>
      </c>
      <c r="F490" s="10">
        <v>40</v>
      </c>
      <c r="G490" s="10" t="s">
        <v>11</v>
      </c>
      <c r="H490" s="10">
        <v>3</v>
      </c>
      <c r="I490" s="43"/>
    </row>
    <row r="491" spans="1:9">
      <c r="A491" s="42" t="s">
        <v>10</v>
      </c>
      <c r="B491" s="9" t="s">
        <v>141</v>
      </c>
      <c r="C491" s="9" t="str">
        <f t="shared" si="7"/>
        <v>國語文-應英一乙</v>
      </c>
      <c r="D491" s="9" t="s">
        <v>146</v>
      </c>
      <c r="E491" s="9" t="s">
        <v>147</v>
      </c>
      <c r="F491" s="10">
        <v>44</v>
      </c>
      <c r="G491" s="10" t="s">
        <v>11</v>
      </c>
      <c r="H491" s="10">
        <v>3</v>
      </c>
      <c r="I491" s="43"/>
    </row>
    <row r="492" spans="1:9">
      <c r="A492" s="42" t="s">
        <v>10</v>
      </c>
      <c r="B492" s="9" t="s">
        <v>141</v>
      </c>
      <c r="C492" s="9" t="str">
        <f t="shared" si="7"/>
        <v>國語文-應英一乙</v>
      </c>
      <c r="D492" s="9" t="s">
        <v>148</v>
      </c>
      <c r="E492" s="9" t="s">
        <v>149</v>
      </c>
      <c r="F492" s="10">
        <v>40</v>
      </c>
      <c r="G492" s="10" t="s">
        <v>11</v>
      </c>
      <c r="H492" s="10">
        <v>3</v>
      </c>
      <c r="I492" s="43"/>
    </row>
    <row r="493" spans="1:9">
      <c r="A493" s="42" t="s">
        <v>10</v>
      </c>
      <c r="B493" s="9" t="s">
        <v>141</v>
      </c>
      <c r="C493" s="9" t="str">
        <f t="shared" si="7"/>
        <v>國語文-應英一乙</v>
      </c>
      <c r="D493" s="9" t="s">
        <v>150</v>
      </c>
      <c r="E493" s="9" t="s">
        <v>151</v>
      </c>
      <c r="F493" s="10">
        <v>49</v>
      </c>
      <c r="G493" s="10" t="s">
        <v>11</v>
      </c>
      <c r="H493" s="10">
        <v>3</v>
      </c>
      <c r="I493" s="43"/>
    </row>
    <row r="494" spans="1:9">
      <c r="A494" s="42" t="s">
        <v>10</v>
      </c>
      <c r="B494" s="9" t="s">
        <v>141</v>
      </c>
      <c r="C494" s="9" t="str">
        <f t="shared" si="7"/>
        <v>國語文-應英一乙</v>
      </c>
      <c r="D494" s="9" t="s">
        <v>152</v>
      </c>
      <c r="E494" s="9" t="s">
        <v>153</v>
      </c>
      <c r="F494" s="10">
        <v>50</v>
      </c>
      <c r="G494" s="10" t="s">
        <v>11</v>
      </c>
      <c r="H494" s="10">
        <v>3</v>
      </c>
      <c r="I494" s="43"/>
    </row>
    <row r="495" spans="1:9">
      <c r="A495" s="42" t="s">
        <v>10</v>
      </c>
      <c r="B495" s="9" t="s">
        <v>141</v>
      </c>
      <c r="C495" s="9" t="str">
        <f t="shared" si="7"/>
        <v>國語文-應英一乙</v>
      </c>
      <c r="D495" s="9" t="s">
        <v>154</v>
      </c>
      <c r="E495" s="9" t="s">
        <v>155</v>
      </c>
      <c r="F495" s="10">
        <v>49</v>
      </c>
      <c r="G495" s="10" t="s">
        <v>11</v>
      </c>
      <c r="H495" s="10">
        <v>3</v>
      </c>
      <c r="I495" s="43"/>
    </row>
    <row r="496" spans="1:9">
      <c r="A496" s="42" t="s">
        <v>10</v>
      </c>
      <c r="B496" s="9" t="s">
        <v>141</v>
      </c>
      <c r="C496" s="9" t="str">
        <f t="shared" si="7"/>
        <v>國語文-應英一乙</v>
      </c>
      <c r="D496" s="9" t="s">
        <v>156</v>
      </c>
      <c r="E496" s="9" t="s">
        <v>157</v>
      </c>
      <c r="F496" s="10">
        <v>50</v>
      </c>
      <c r="G496" s="10" t="s">
        <v>11</v>
      </c>
      <c r="H496" s="10">
        <v>3</v>
      </c>
      <c r="I496" s="43"/>
    </row>
    <row r="497" spans="1:9">
      <c r="A497" s="42" t="s">
        <v>10</v>
      </c>
      <c r="B497" s="9" t="s">
        <v>239</v>
      </c>
      <c r="C497" s="9" t="str">
        <f t="shared" si="7"/>
        <v>國語文-應英一甲</v>
      </c>
      <c r="D497" s="9" t="s">
        <v>240</v>
      </c>
      <c r="E497" s="9" t="s">
        <v>241</v>
      </c>
      <c r="F497" s="10">
        <v>51</v>
      </c>
      <c r="G497" s="10" t="s">
        <v>11</v>
      </c>
      <c r="H497" s="10">
        <v>3</v>
      </c>
      <c r="I497" s="43"/>
    </row>
    <row r="498" spans="1:9">
      <c r="A498" s="42" t="s">
        <v>10</v>
      </c>
      <c r="B498" s="9" t="s">
        <v>239</v>
      </c>
      <c r="C498" s="9" t="str">
        <f t="shared" si="7"/>
        <v>國語文-應英一甲</v>
      </c>
      <c r="D498" s="9" t="s">
        <v>242</v>
      </c>
      <c r="E498" s="9" t="s">
        <v>243</v>
      </c>
      <c r="F498" s="10">
        <v>51</v>
      </c>
      <c r="G498" s="10" t="s">
        <v>11</v>
      </c>
      <c r="H498" s="10">
        <v>3</v>
      </c>
      <c r="I498" s="43"/>
    </row>
    <row r="499" spans="1:9">
      <c r="A499" s="42" t="s">
        <v>10</v>
      </c>
      <c r="B499" s="9" t="s">
        <v>239</v>
      </c>
      <c r="C499" s="9" t="str">
        <f t="shared" si="7"/>
        <v>國語文-應英一甲</v>
      </c>
      <c r="D499" s="9" t="s">
        <v>244</v>
      </c>
      <c r="E499" s="9" t="s">
        <v>245</v>
      </c>
      <c r="F499" s="10">
        <v>52</v>
      </c>
      <c r="G499" s="10" t="s">
        <v>11</v>
      </c>
      <c r="H499" s="10">
        <v>3</v>
      </c>
      <c r="I499" s="43"/>
    </row>
    <row r="500" spans="1:9">
      <c r="A500" s="42" t="s">
        <v>10</v>
      </c>
      <c r="B500" s="9" t="s">
        <v>246</v>
      </c>
      <c r="C500" s="9" t="str">
        <f t="shared" si="7"/>
        <v>國語文-鑄造一乙</v>
      </c>
      <c r="D500" s="9" t="s">
        <v>247</v>
      </c>
      <c r="E500" s="9" t="s">
        <v>248</v>
      </c>
      <c r="F500" s="10">
        <v>41</v>
      </c>
      <c r="G500" s="10" t="s">
        <v>11</v>
      </c>
      <c r="H500" s="10">
        <v>3</v>
      </c>
      <c r="I500" s="43"/>
    </row>
    <row r="501" spans="1:9">
      <c r="A501" s="42" t="s">
        <v>10</v>
      </c>
      <c r="B501" s="9" t="s">
        <v>246</v>
      </c>
      <c r="C501" s="9" t="str">
        <f t="shared" si="7"/>
        <v>國語文-鑄造一乙</v>
      </c>
      <c r="D501" s="9" t="s">
        <v>249</v>
      </c>
      <c r="E501" s="9" t="s">
        <v>250</v>
      </c>
      <c r="F501" s="10">
        <v>51</v>
      </c>
      <c r="G501" s="10" t="s">
        <v>11</v>
      </c>
      <c r="H501" s="10">
        <v>3</v>
      </c>
      <c r="I501" s="43"/>
    </row>
    <row r="502" spans="1:9">
      <c r="A502" s="42" t="s">
        <v>10</v>
      </c>
      <c r="B502" s="9" t="s">
        <v>246</v>
      </c>
      <c r="C502" s="9" t="str">
        <f t="shared" si="7"/>
        <v>國語文-鑄造一乙</v>
      </c>
      <c r="D502" s="9" t="s">
        <v>251</v>
      </c>
      <c r="E502" s="9" t="s">
        <v>252</v>
      </c>
      <c r="F502" s="10">
        <v>52</v>
      </c>
      <c r="G502" s="10" t="s">
        <v>11</v>
      </c>
      <c r="H502" s="10">
        <v>3</v>
      </c>
      <c r="I502" s="43"/>
    </row>
    <row r="503" spans="1:9">
      <c r="A503" s="42" t="s">
        <v>10</v>
      </c>
      <c r="B503" s="9" t="s">
        <v>246</v>
      </c>
      <c r="C503" s="9" t="str">
        <f t="shared" si="7"/>
        <v>國語文-鑄造一乙</v>
      </c>
      <c r="D503" s="9" t="s">
        <v>253</v>
      </c>
      <c r="E503" s="9" t="s">
        <v>254</v>
      </c>
      <c r="F503" s="10">
        <v>53</v>
      </c>
      <c r="G503" s="10" t="s">
        <v>11</v>
      </c>
      <c r="H503" s="10">
        <v>3</v>
      </c>
      <c r="I503" s="43"/>
    </row>
    <row r="504" spans="1:9">
      <c r="A504" s="42" t="s">
        <v>10</v>
      </c>
      <c r="B504" s="9" t="s">
        <v>246</v>
      </c>
      <c r="C504" s="9" t="str">
        <f t="shared" si="7"/>
        <v>國語文-鑄造一乙</v>
      </c>
      <c r="D504" s="9" t="s">
        <v>255</v>
      </c>
      <c r="E504" s="9" t="s">
        <v>256</v>
      </c>
      <c r="F504" s="10">
        <v>54</v>
      </c>
      <c r="G504" s="10" t="s">
        <v>11</v>
      </c>
      <c r="H504" s="10">
        <v>3</v>
      </c>
      <c r="I504" s="43"/>
    </row>
    <row r="505" spans="1:9">
      <c r="A505" s="42" t="s">
        <v>10</v>
      </c>
      <c r="B505" s="9" t="s">
        <v>246</v>
      </c>
      <c r="C505" s="9" t="str">
        <f t="shared" si="7"/>
        <v>國語文-鑄造一乙</v>
      </c>
      <c r="D505" s="9" t="s">
        <v>257</v>
      </c>
      <c r="E505" s="9" t="s">
        <v>258</v>
      </c>
      <c r="F505" s="10">
        <v>53</v>
      </c>
      <c r="G505" s="10" t="s">
        <v>11</v>
      </c>
      <c r="H505" s="10">
        <v>3</v>
      </c>
      <c r="I505" s="43"/>
    </row>
    <row r="506" spans="1:9">
      <c r="A506" s="42" t="s">
        <v>10</v>
      </c>
      <c r="B506" s="9" t="s">
        <v>246</v>
      </c>
      <c r="C506" s="9" t="str">
        <f t="shared" si="7"/>
        <v>國語文-鑄造一乙</v>
      </c>
      <c r="D506" s="9" t="s">
        <v>259</v>
      </c>
      <c r="E506" s="9" t="s">
        <v>260</v>
      </c>
      <c r="F506" s="10">
        <v>49</v>
      </c>
      <c r="G506" s="10" t="s">
        <v>11</v>
      </c>
      <c r="H506" s="10">
        <v>3</v>
      </c>
      <c r="I506" s="43"/>
    </row>
    <row r="507" spans="1:9">
      <c r="A507" s="42" t="s">
        <v>10</v>
      </c>
      <c r="B507" s="9" t="s">
        <v>246</v>
      </c>
      <c r="C507" s="9" t="str">
        <f t="shared" si="7"/>
        <v>國語文-鑄造一乙</v>
      </c>
      <c r="D507" s="9" t="s">
        <v>261</v>
      </c>
      <c r="E507" s="9" t="s">
        <v>262</v>
      </c>
      <c r="F507" s="10">
        <v>45</v>
      </c>
      <c r="G507" s="10" t="s">
        <v>11</v>
      </c>
      <c r="H507" s="10">
        <v>3</v>
      </c>
      <c r="I507" s="43"/>
    </row>
    <row r="508" spans="1:9">
      <c r="A508" s="42" t="s">
        <v>10</v>
      </c>
      <c r="B508" s="9" t="s">
        <v>246</v>
      </c>
      <c r="C508" s="9" t="str">
        <f t="shared" si="7"/>
        <v>國語文-鑄造一乙</v>
      </c>
      <c r="D508" s="9" t="s">
        <v>263</v>
      </c>
      <c r="E508" s="9" t="s">
        <v>264</v>
      </c>
      <c r="F508" s="10">
        <v>54</v>
      </c>
      <c r="G508" s="10" t="s">
        <v>11</v>
      </c>
      <c r="H508" s="10">
        <v>3</v>
      </c>
      <c r="I508" s="43"/>
    </row>
    <row r="509" spans="1:9">
      <c r="A509" s="42" t="s">
        <v>10</v>
      </c>
      <c r="B509" s="9" t="s">
        <v>246</v>
      </c>
      <c r="C509" s="9" t="str">
        <f t="shared" si="7"/>
        <v>國語文-鑄造一乙</v>
      </c>
      <c r="D509" s="9" t="s">
        <v>265</v>
      </c>
      <c r="E509" s="9" t="s">
        <v>266</v>
      </c>
      <c r="F509" s="10">
        <v>50</v>
      </c>
      <c r="G509" s="10" t="s">
        <v>11</v>
      </c>
      <c r="H509" s="10">
        <v>3</v>
      </c>
      <c r="I509" s="43"/>
    </row>
    <row r="510" spans="1:9">
      <c r="A510" s="42" t="s">
        <v>10</v>
      </c>
      <c r="B510" s="9" t="s">
        <v>246</v>
      </c>
      <c r="C510" s="9" t="str">
        <f t="shared" si="7"/>
        <v>國語文-鑄造一乙</v>
      </c>
      <c r="D510" s="9" t="s">
        <v>267</v>
      </c>
      <c r="E510" s="9" t="s">
        <v>268</v>
      </c>
      <c r="F510" s="10">
        <v>52</v>
      </c>
      <c r="G510" s="10" t="s">
        <v>11</v>
      </c>
      <c r="H510" s="10">
        <v>3</v>
      </c>
      <c r="I510" s="43"/>
    </row>
    <row r="511" spans="1:9">
      <c r="A511" s="42" t="s">
        <v>10</v>
      </c>
      <c r="B511" s="9" t="s">
        <v>246</v>
      </c>
      <c r="C511" s="9" t="str">
        <f t="shared" si="7"/>
        <v>國語文-鑄造一乙</v>
      </c>
      <c r="D511" s="9" t="s">
        <v>269</v>
      </c>
      <c r="E511" s="9" t="s">
        <v>270</v>
      </c>
      <c r="F511" s="10">
        <v>47</v>
      </c>
      <c r="G511" s="10" t="s">
        <v>11</v>
      </c>
      <c r="H511" s="10">
        <v>3</v>
      </c>
      <c r="I511" s="43"/>
    </row>
    <row r="512" spans="1:9">
      <c r="A512" s="42" t="s">
        <v>10</v>
      </c>
      <c r="B512" s="9" t="s">
        <v>246</v>
      </c>
      <c r="C512" s="9" t="str">
        <f t="shared" si="7"/>
        <v>國語文-鑄造一乙</v>
      </c>
      <c r="D512" s="9" t="s">
        <v>271</v>
      </c>
      <c r="E512" s="9" t="s">
        <v>272</v>
      </c>
      <c r="F512" s="10">
        <v>53</v>
      </c>
      <c r="G512" s="10" t="s">
        <v>11</v>
      </c>
      <c r="H512" s="10">
        <v>3</v>
      </c>
      <c r="I512" s="43"/>
    </row>
    <row r="513" spans="1:9">
      <c r="A513" s="42" t="s">
        <v>10</v>
      </c>
      <c r="B513" s="9" t="s">
        <v>246</v>
      </c>
      <c r="C513" s="9" t="str">
        <f t="shared" si="7"/>
        <v>國語文-鑄造一乙</v>
      </c>
      <c r="D513" s="9" t="s">
        <v>273</v>
      </c>
      <c r="E513" s="9" t="s">
        <v>274</v>
      </c>
      <c r="F513" s="10">
        <v>48</v>
      </c>
      <c r="G513" s="10" t="s">
        <v>11</v>
      </c>
      <c r="H513" s="10">
        <v>3</v>
      </c>
      <c r="I513" s="43"/>
    </row>
    <row r="514" spans="1:9">
      <c r="A514" s="42" t="s">
        <v>10</v>
      </c>
      <c r="B514" s="9" t="s">
        <v>246</v>
      </c>
      <c r="C514" s="9" t="str">
        <f t="shared" si="7"/>
        <v>國語文-鑄造一乙</v>
      </c>
      <c r="D514" s="9" t="s">
        <v>275</v>
      </c>
      <c r="E514" s="9" t="s">
        <v>276</v>
      </c>
      <c r="F514" s="10">
        <v>38</v>
      </c>
      <c r="G514" s="10" t="s">
        <v>11</v>
      </c>
      <c r="H514" s="10">
        <v>3</v>
      </c>
      <c r="I514" s="43"/>
    </row>
    <row r="515" spans="1:9">
      <c r="A515" s="42" t="s">
        <v>10</v>
      </c>
      <c r="B515" s="9" t="s">
        <v>246</v>
      </c>
      <c r="C515" s="9" t="str">
        <f t="shared" ref="C515:C578" si="8">A515&amp;"-"&amp;B515</f>
        <v>國語文-鑄造一乙</v>
      </c>
      <c r="D515" s="9" t="s">
        <v>277</v>
      </c>
      <c r="E515" s="9" t="s">
        <v>278</v>
      </c>
      <c r="F515" s="10">
        <v>46</v>
      </c>
      <c r="G515" s="10" t="s">
        <v>11</v>
      </c>
      <c r="H515" s="10">
        <v>3</v>
      </c>
      <c r="I515" s="43"/>
    </row>
    <row r="516" spans="1:9">
      <c r="A516" s="42" t="s">
        <v>10</v>
      </c>
      <c r="B516" s="9" t="s">
        <v>25</v>
      </c>
      <c r="C516" s="9" t="str">
        <f t="shared" si="8"/>
        <v>國語文-鑄造一甲</v>
      </c>
      <c r="D516" s="9" t="s">
        <v>26</v>
      </c>
      <c r="E516" s="9" t="s">
        <v>27</v>
      </c>
      <c r="F516" s="10">
        <v>40</v>
      </c>
      <c r="G516" s="10" t="s">
        <v>11</v>
      </c>
      <c r="H516" s="10">
        <v>3</v>
      </c>
      <c r="I516" s="43"/>
    </row>
    <row r="517" spans="1:9">
      <c r="A517" s="42" t="s">
        <v>10</v>
      </c>
      <c r="B517" s="9" t="s">
        <v>25</v>
      </c>
      <c r="C517" s="9" t="str">
        <f t="shared" si="8"/>
        <v>國語文-鑄造一甲</v>
      </c>
      <c r="D517" s="9" t="s">
        <v>28</v>
      </c>
      <c r="E517" s="9" t="s">
        <v>29</v>
      </c>
      <c r="F517" s="10">
        <v>41</v>
      </c>
      <c r="G517" s="10" t="s">
        <v>11</v>
      </c>
      <c r="H517" s="10">
        <v>3</v>
      </c>
      <c r="I517" s="43"/>
    </row>
    <row r="518" spans="1:9">
      <c r="A518" s="42" t="s">
        <v>10</v>
      </c>
      <c r="B518" s="9" t="s">
        <v>25</v>
      </c>
      <c r="C518" s="9" t="str">
        <f t="shared" si="8"/>
        <v>國語文-鑄造一甲</v>
      </c>
      <c r="D518" s="9" t="s">
        <v>30</v>
      </c>
      <c r="E518" s="9" t="s">
        <v>31</v>
      </c>
      <c r="F518" s="10">
        <v>50</v>
      </c>
      <c r="G518" s="10" t="s">
        <v>11</v>
      </c>
      <c r="H518" s="10">
        <v>3</v>
      </c>
      <c r="I518" s="43"/>
    </row>
    <row r="519" spans="1:9">
      <c r="A519" s="42" t="s">
        <v>10</v>
      </c>
      <c r="B519" s="9" t="s">
        <v>25</v>
      </c>
      <c r="C519" s="9" t="str">
        <f t="shared" si="8"/>
        <v>國語文-鑄造一甲</v>
      </c>
      <c r="D519" s="9" t="s">
        <v>32</v>
      </c>
      <c r="E519" s="9" t="s">
        <v>33</v>
      </c>
      <c r="F519" s="10">
        <v>47</v>
      </c>
      <c r="G519" s="10" t="s">
        <v>11</v>
      </c>
      <c r="H519" s="10">
        <v>3</v>
      </c>
      <c r="I519" s="43"/>
    </row>
    <row r="520" spans="1:9">
      <c r="A520" s="42" t="s">
        <v>10</v>
      </c>
      <c r="B520" s="9" t="s">
        <v>25</v>
      </c>
      <c r="C520" s="9" t="str">
        <f t="shared" si="8"/>
        <v>國語文-鑄造一甲</v>
      </c>
      <c r="D520" s="9" t="s">
        <v>34</v>
      </c>
      <c r="E520" s="9" t="s">
        <v>35</v>
      </c>
      <c r="F520" s="10">
        <v>43</v>
      </c>
      <c r="G520" s="10" t="s">
        <v>11</v>
      </c>
      <c r="H520" s="10">
        <v>3</v>
      </c>
      <c r="I520" s="43"/>
    </row>
    <row r="521" spans="1:9">
      <c r="A521" s="42" t="s">
        <v>10</v>
      </c>
      <c r="B521" s="9" t="s">
        <v>25</v>
      </c>
      <c r="C521" s="9" t="str">
        <f t="shared" si="8"/>
        <v>國語文-鑄造一甲</v>
      </c>
      <c r="D521" s="9" t="s">
        <v>36</v>
      </c>
      <c r="E521" s="9" t="s">
        <v>37</v>
      </c>
      <c r="F521" s="10">
        <v>41</v>
      </c>
      <c r="G521" s="10" t="s">
        <v>11</v>
      </c>
      <c r="H521" s="10">
        <v>3</v>
      </c>
      <c r="I521" s="43"/>
    </row>
    <row r="522" spans="1:9">
      <c r="A522" s="42" t="s">
        <v>10</v>
      </c>
      <c r="B522" s="9" t="s">
        <v>25</v>
      </c>
      <c r="C522" s="9" t="str">
        <f t="shared" si="8"/>
        <v>國語文-鑄造一甲</v>
      </c>
      <c r="D522" s="9" t="s">
        <v>38</v>
      </c>
      <c r="E522" s="9" t="s">
        <v>39</v>
      </c>
      <c r="F522" s="10">
        <v>45</v>
      </c>
      <c r="G522" s="10" t="s">
        <v>11</v>
      </c>
      <c r="H522" s="10">
        <v>3</v>
      </c>
      <c r="I522" s="43"/>
    </row>
    <row r="523" spans="1:9">
      <c r="A523" s="42" t="s">
        <v>10</v>
      </c>
      <c r="B523" s="9" t="s">
        <v>25</v>
      </c>
      <c r="C523" s="9" t="str">
        <f t="shared" si="8"/>
        <v>國語文-鑄造一甲</v>
      </c>
      <c r="D523" s="9" t="s">
        <v>40</v>
      </c>
      <c r="E523" s="9" t="s">
        <v>41</v>
      </c>
      <c r="F523" s="10">
        <v>50</v>
      </c>
      <c r="G523" s="10" t="s">
        <v>11</v>
      </c>
      <c r="H523" s="10">
        <v>3</v>
      </c>
      <c r="I523" s="43"/>
    </row>
    <row r="524" spans="1:9">
      <c r="A524" s="42" t="s">
        <v>10</v>
      </c>
      <c r="B524" s="9" t="s">
        <v>25</v>
      </c>
      <c r="C524" s="9" t="str">
        <f t="shared" si="8"/>
        <v>國語文-鑄造一甲</v>
      </c>
      <c r="D524" s="9" t="s">
        <v>42</v>
      </c>
      <c r="E524" s="9" t="s">
        <v>43</v>
      </c>
      <c r="F524" s="10">
        <v>42</v>
      </c>
      <c r="G524" s="10" t="s">
        <v>11</v>
      </c>
      <c r="H524" s="10">
        <v>3</v>
      </c>
      <c r="I524" s="43"/>
    </row>
    <row r="525" spans="1:9">
      <c r="A525" s="50" t="s">
        <v>1960</v>
      </c>
      <c r="B525" s="9" t="s">
        <v>171</v>
      </c>
      <c r="C525" s="9" t="str">
        <f t="shared" si="8"/>
        <v>國語文5-體育一甲</v>
      </c>
      <c r="D525" s="9" t="s">
        <v>172</v>
      </c>
      <c r="E525" s="9" t="s">
        <v>173</v>
      </c>
      <c r="F525" s="10">
        <v>55</v>
      </c>
      <c r="G525" s="10" t="s">
        <v>11</v>
      </c>
      <c r="H525" s="10">
        <v>3</v>
      </c>
      <c r="I525" s="43"/>
    </row>
    <row r="526" spans="1:9">
      <c r="A526" s="42" t="s">
        <v>871</v>
      </c>
      <c r="B526" s="9" t="s">
        <v>294</v>
      </c>
      <c r="C526" s="9" t="str">
        <f t="shared" si="8"/>
        <v>基本電學-資訊一乙</v>
      </c>
      <c r="D526" s="9" t="s">
        <v>729</v>
      </c>
      <c r="E526" s="9" t="s">
        <v>730</v>
      </c>
      <c r="F526" s="10">
        <v>50</v>
      </c>
      <c r="G526" s="10" t="s">
        <v>11</v>
      </c>
      <c r="H526" s="10">
        <v>3</v>
      </c>
      <c r="I526" s="43"/>
    </row>
    <row r="527" spans="1:9">
      <c r="A527" s="42" t="s">
        <v>871</v>
      </c>
      <c r="B527" s="9" t="s">
        <v>294</v>
      </c>
      <c r="C527" s="9" t="str">
        <f t="shared" si="8"/>
        <v>基本電學-資訊一乙</v>
      </c>
      <c r="D527" s="9" t="s">
        <v>419</v>
      </c>
      <c r="E527" s="9" t="s">
        <v>420</v>
      </c>
      <c r="F527" s="10">
        <v>45</v>
      </c>
      <c r="G527" s="10" t="s">
        <v>11</v>
      </c>
      <c r="H527" s="10">
        <v>3</v>
      </c>
      <c r="I527" s="43"/>
    </row>
    <row r="528" spans="1:9">
      <c r="A528" s="42" t="s">
        <v>871</v>
      </c>
      <c r="B528" s="9" t="s">
        <v>294</v>
      </c>
      <c r="C528" s="9" t="str">
        <f t="shared" si="8"/>
        <v>基本電學-資訊一乙</v>
      </c>
      <c r="D528" s="9" t="s">
        <v>423</v>
      </c>
      <c r="E528" s="9" t="s">
        <v>424</v>
      </c>
      <c r="F528" s="10">
        <v>51</v>
      </c>
      <c r="G528" s="10" t="s">
        <v>11</v>
      </c>
      <c r="H528" s="10">
        <v>3</v>
      </c>
      <c r="I528" s="43"/>
    </row>
    <row r="529" spans="1:9">
      <c r="A529" s="42" t="s">
        <v>871</v>
      </c>
      <c r="B529" s="9" t="s">
        <v>294</v>
      </c>
      <c r="C529" s="9" t="str">
        <f t="shared" si="8"/>
        <v>基本電學-資訊一乙</v>
      </c>
      <c r="D529" s="9" t="s">
        <v>874</v>
      </c>
      <c r="E529" s="9" t="s">
        <v>875</v>
      </c>
      <c r="F529" s="10">
        <v>44</v>
      </c>
      <c r="G529" s="10" t="s">
        <v>11</v>
      </c>
      <c r="H529" s="10">
        <v>3</v>
      </c>
      <c r="I529" s="43"/>
    </row>
    <row r="530" spans="1:9">
      <c r="A530" s="42" t="s">
        <v>871</v>
      </c>
      <c r="B530" s="9" t="s">
        <v>65</v>
      </c>
      <c r="C530" s="9" t="str">
        <f t="shared" si="8"/>
        <v>基本電學-資訊一甲</v>
      </c>
      <c r="D530" s="9" t="s">
        <v>66</v>
      </c>
      <c r="E530" s="9" t="s">
        <v>67</v>
      </c>
      <c r="F530" s="10">
        <v>45</v>
      </c>
      <c r="G530" s="10" t="s">
        <v>11</v>
      </c>
      <c r="H530" s="10">
        <v>3</v>
      </c>
      <c r="I530" s="43"/>
    </row>
    <row r="531" spans="1:9">
      <c r="A531" s="42" t="s">
        <v>871</v>
      </c>
      <c r="B531" s="9" t="s">
        <v>65</v>
      </c>
      <c r="C531" s="9" t="str">
        <f t="shared" si="8"/>
        <v>基本電學-資訊一甲</v>
      </c>
      <c r="D531" s="9" t="s">
        <v>68</v>
      </c>
      <c r="E531" s="9" t="s">
        <v>69</v>
      </c>
      <c r="F531" s="10">
        <v>46</v>
      </c>
      <c r="G531" s="10" t="s">
        <v>11</v>
      </c>
      <c r="H531" s="10">
        <v>3</v>
      </c>
      <c r="I531" s="43"/>
    </row>
    <row r="532" spans="1:9">
      <c r="A532" s="42" t="s">
        <v>871</v>
      </c>
      <c r="B532" s="9" t="s">
        <v>65</v>
      </c>
      <c r="C532" s="9" t="str">
        <f t="shared" si="8"/>
        <v>基本電學-資訊一甲</v>
      </c>
      <c r="D532" s="9" t="s">
        <v>70</v>
      </c>
      <c r="E532" s="9" t="s">
        <v>71</v>
      </c>
      <c r="F532" s="10">
        <v>50</v>
      </c>
      <c r="G532" s="10" t="s">
        <v>11</v>
      </c>
      <c r="H532" s="10">
        <v>3</v>
      </c>
      <c r="I532" s="43"/>
    </row>
    <row r="533" spans="1:9">
      <c r="A533" s="42" t="s">
        <v>871</v>
      </c>
      <c r="B533" s="9" t="s">
        <v>65</v>
      </c>
      <c r="C533" s="9" t="str">
        <f t="shared" si="8"/>
        <v>基本電學-資訊一甲</v>
      </c>
      <c r="D533" s="9" t="s">
        <v>72</v>
      </c>
      <c r="E533" s="9" t="s">
        <v>73</v>
      </c>
      <c r="F533" s="10">
        <v>45</v>
      </c>
      <c r="G533" s="10" t="s">
        <v>11</v>
      </c>
      <c r="H533" s="10">
        <v>3</v>
      </c>
      <c r="I533" s="43"/>
    </row>
    <row r="534" spans="1:9">
      <c r="A534" s="42" t="s">
        <v>871</v>
      </c>
      <c r="B534" s="9" t="s">
        <v>65</v>
      </c>
      <c r="C534" s="9" t="str">
        <f t="shared" si="8"/>
        <v>基本電學-資訊一甲</v>
      </c>
      <c r="D534" s="9" t="s">
        <v>74</v>
      </c>
      <c r="E534" s="9" t="s">
        <v>75</v>
      </c>
      <c r="F534" s="10">
        <v>53</v>
      </c>
      <c r="G534" s="10" t="s">
        <v>11</v>
      </c>
      <c r="H534" s="10">
        <v>3</v>
      </c>
      <c r="I534" s="43"/>
    </row>
    <row r="535" spans="1:9">
      <c r="A535" s="42" t="s">
        <v>871</v>
      </c>
      <c r="B535" s="9" t="s">
        <v>65</v>
      </c>
      <c r="C535" s="9" t="str">
        <f t="shared" si="8"/>
        <v>基本電學-資訊一甲</v>
      </c>
      <c r="D535" s="9" t="s">
        <v>689</v>
      </c>
      <c r="E535" s="9" t="s">
        <v>690</v>
      </c>
      <c r="F535" s="10">
        <v>40</v>
      </c>
      <c r="G535" s="10" t="s">
        <v>11</v>
      </c>
      <c r="H535" s="10">
        <v>3</v>
      </c>
      <c r="I535" s="43"/>
    </row>
    <row r="536" spans="1:9">
      <c r="A536" s="42" t="s">
        <v>871</v>
      </c>
      <c r="B536" s="9" t="s">
        <v>65</v>
      </c>
      <c r="C536" s="9" t="str">
        <f t="shared" si="8"/>
        <v>基本電學-資訊一甲</v>
      </c>
      <c r="D536" s="9" t="s">
        <v>719</v>
      </c>
      <c r="E536" s="9" t="s">
        <v>720</v>
      </c>
      <c r="F536" s="10">
        <v>40</v>
      </c>
      <c r="G536" s="10" t="s">
        <v>11</v>
      </c>
      <c r="H536" s="10">
        <v>3</v>
      </c>
      <c r="I536" s="43"/>
    </row>
    <row r="537" spans="1:9">
      <c r="A537" s="42" t="s">
        <v>871</v>
      </c>
      <c r="B537" s="9" t="s">
        <v>65</v>
      </c>
      <c r="C537" s="9" t="str">
        <f t="shared" si="8"/>
        <v>基本電學-資訊一甲</v>
      </c>
      <c r="D537" s="9" t="s">
        <v>725</v>
      </c>
      <c r="E537" s="9" t="s">
        <v>726</v>
      </c>
      <c r="F537" s="10">
        <v>45</v>
      </c>
      <c r="G537" s="10" t="s">
        <v>11</v>
      </c>
      <c r="H537" s="10">
        <v>3</v>
      </c>
      <c r="I537" s="43"/>
    </row>
    <row r="538" spans="1:9">
      <c r="A538" s="42" t="s">
        <v>871</v>
      </c>
      <c r="B538" s="9" t="s">
        <v>65</v>
      </c>
      <c r="C538" s="9" t="str">
        <f t="shared" si="8"/>
        <v>基本電學-資訊一甲</v>
      </c>
      <c r="D538" s="9" t="s">
        <v>872</v>
      </c>
      <c r="E538" s="9" t="s">
        <v>873</v>
      </c>
      <c r="F538" s="10">
        <v>43</v>
      </c>
      <c r="G538" s="10" t="s">
        <v>11</v>
      </c>
      <c r="H538" s="10">
        <v>3</v>
      </c>
      <c r="I538" s="43"/>
    </row>
    <row r="539" spans="1:9">
      <c r="A539" s="42" t="s">
        <v>871</v>
      </c>
      <c r="B539" s="9" t="s">
        <v>65</v>
      </c>
      <c r="C539" s="9" t="str">
        <f t="shared" si="8"/>
        <v>基本電學-資訊一甲</v>
      </c>
      <c r="D539" s="9" t="s">
        <v>727</v>
      </c>
      <c r="E539" s="9" t="s">
        <v>728</v>
      </c>
      <c r="F539" s="10">
        <v>40</v>
      </c>
      <c r="G539" s="10" t="s">
        <v>11</v>
      </c>
      <c r="H539" s="10">
        <v>3</v>
      </c>
      <c r="I539" s="43"/>
    </row>
    <row r="540" spans="1:9">
      <c r="A540" s="42" t="s">
        <v>871</v>
      </c>
      <c r="B540" s="9" t="s">
        <v>158</v>
      </c>
      <c r="C540" s="9" t="str">
        <f t="shared" si="8"/>
        <v>基本電學-電機一乙</v>
      </c>
      <c r="D540" s="9" t="s">
        <v>876</v>
      </c>
      <c r="E540" s="9" t="s">
        <v>877</v>
      </c>
      <c r="F540" s="10">
        <v>49</v>
      </c>
      <c r="G540" s="10" t="s">
        <v>11</v>
      </c>
      <c r="H540" s="10">
        <v>3</v>
      </c>
      <c r="I540" s="43"/>
    </row>
    <row r="541" spans="1:9">
      <c r="A541" s="42" t="s">
        <v>871</v>
      </c>
      <c r="B541" s="9" t="s">
        <v>158</v>
      </c>
      <c r="C541" s="9" t="str">
        <f t="shared" si="8"/>
        <v>基本電學-電機一乙</v>
      </c>
      <c r="D541" s="9" t="s">
        <v>878</v>
      </c>
      <c r="E541" s="9" t="s">
        <v>879</v>
      </c>
      <c r="F541" s="10">
        <v>44</v>
      </c>
      <c r="G541" s="10" t="s">
        <v>11</v>
      </c>
      <c r="H541" s="10">
        <v>3</v>
      </c>
      <c r="I541" s="43"/>
    </row>
    <row r="542" spans="1:9">
      <c r="A542" s="42" t="s">
        <v>871</v>
      </c>
      <c r="B542" s="9" t="s">
        <v>158</v>
      </c>
      <c r="C542" s="9" t="str">
        <f t="shared" si="8"/>
        <v>基本電學-電機一乙</v>
      </c>
      <c r="D542" s="9" t="s">
        <v>880</v>
      </c>
      <c r="E542" s="9" t="s">
        <v>881</v>
      </c>
      <c r="F542" s="10">
        <v>53</v>
      </c>
      <c r="G542" s="10" t="s">
        <v>11</v>
      </c>
      <c r="H542" s="10">
        <v>3</v>
      </c>
      <c r="I542" s="43"/>
    </row>
    <row r="543" spans="1:9">
      <c r="A543" s="42" t="s">
        <v>871</v>
      </c>
      <c r="B543" s="9" t="s">
        <v>158</v>
      </c>
      <c r="C543" s="9" t="str">
        <f t="shared" si="8"/>
        <v>基本電學-電機一乙</v>
      </c>
      <c r="D543" s="9" t="s">
        <v>637</v>
      </c>
      <c r="E543" s="9" t="s">
        <v>638</v>
      </c>
      <c r="F543" s="10">
        <v>56</v>
      </c>
      <c r="G543" s="10" t="s">
        <v>11</v>
      </c>
      <c r="H543" s="10">
        <v>3</v>
      </c>
      <c r="I543" s="43"/>
    </row>
    <row r="544" spans="1:9">
      <c r="A544" s="42" t="s">
        <v>871</v>
      </c>
      <c r="B544" s="9" t="s">
        <v>158</v>
      </c>
      <c r="C544" s="9" t="str">
        <f t="shared" si="8"/>
        <v>基本電學-電機一乙</v>
      </c>
      <c r="D544" s="9" t="s">
        <v>626</v>
      </c>
      <c r="E544" s="9" t="s">
        <v>627</v>
      </c>
      <c r="F544" s="10">
        <v>43</v>
      </c>
      <c r="G544" s="10" t="s">
        <v>11</v>
      </c>
      <c r="H544" s="10">
        <v>3</v>
      </c>
      <c r="I544" s="43"/>
    </row>
    <row r="545" spans="1:9">
      <c r="A545" s="42" t="s">
        <v>871</v>
      </c>
      <c r="B545" s="9" t="s">
        <v>158</v>
      </c>
      <c r="C545" s="9" t="str">
        <f t="shared" si="8"/>
        <v>基本電學-電機一乙</v>
      </c>
      <c r="D545" s="9" t="s">
        <v>159</v>
      </c>
      <c r="E545" s="9" t="s">
        <v>160</v>
      </c>
      <c r="F545" s="10">
        <v>42</v>
      </c>
      <c r="G545" s="10" t="s">
        <v>11</v>
      </c>
      <c r="H545" s="10">
        <v>3</v>
      </c>
      <c r="I545" s="43"/>
    </row>
    <row r="546" spans="1:9">
      <c r="A546" s="42" t="s">
        <v>871</v>
      </c>
      <c r="B546" s="9" t="s">
        <v>158</v>
      </c>
      <c r="C546" s="9" t="str">
        <f t="shared" si="8"/>
        <v>基本電學-電機一乙</v>
      </c>
      <c r="D546" s="9" t="s">
        <v>641</v>
      </c>
      <c r="E546" s="9" t="s">
        <v>642</v>
      </c>
      <c r="F546" s="10">
        <v>49</v>
      </c>
      <c r="G546" s="10" t="s">
        <v>11</v>
      </c>
      <c r="H546" s="10">
        <v>3</v>
      </c>
      <c r="I546" s="43"/>
    </row>
    <row r="547" spans="1:9">
      <c r="A547" s="42" t="s">
        <v>871</v>
      </c>
      <c r="B547" s="9" t="s">
        <v>158</v>
      </c>
      <c r="C547" s="9" t="str">
        <f t="shared" si="8"/>
        <v>基本電學-電機一乙</v>
      </c>
      <c r="D547" s="9" t="s">
        <v>882</v>
      </c>
      <c r="E547" s="9" t="s">
        <v>883</v>
      </c>
      <c r="F547" s="10">
        <v>57</v>
      </c>
      <c r="G547" s="10" t="s">
        <v>11</v>
      </c>
      <c r="H547" s="10">
        <v>3</v>
      </c>
      <c r="I547" s="43"/>
    </row>
    <row r="548" spans="1:9">
      <c r="A548" s="42" t="s">
        <v>871</v>
      </c>
      <c r="B548" s="9" t="s">
        <v>158</v>
      </c>
      <c r="C548" s="9" t="str">
        <f t="shared" si="8"/>
        <v>基本電學-電機一乙</v>
      </c>
      <c r="D548" s="9" t="s">
        <v>161</v>
      </c>
      <c r="E548" s="9" t="s">
        <v>162</v>
      </c>
      <c r="F548" s="10">
        <v>42</v>
      </c>
      <c r="G548" s="10" t="s">
        <v>11</v>
      </c>
      <c r="H548" s="10">
        <v>3</v>
      </c>
      <c r="I548" s="43"/>
    </row>
    <row r="549" spans="1:9">
      <c r="A549" s="42" t="s">
        <v>871</v>
      </c>
      <c r="B549" s="9" t="s">
        <v>158</v>
      </c>
      <c r="C549" s="9" t="str">
        <f t="shared" si="8"/>
        <v>基本電學-電機一乙</v>
      </c>
      <c r="D549" s="9" t="s">
        <v>884</v>
      </c>
      <c r="E549" s="9" t="s">
        <v>885</v>
      </c>
      <c r="F549" s="10">
        <v>49</v>
      </c>
      <c r="G549" s="10" t="s">
        <v>11</v>
      </c>
      <c r="H549" s="10">
        <v>3</v>
      </c>
      <c r="I549" s="43"/>
    </row>
    <row r="550" spans="1:9">
      <c r="A550" s="42" t="s">
        <v>871</v>
      </c>
      <c r="B550" s="9" t="s">
        <v>158</v>
      </c>
      <c r="C550" s="9" t="str">
        <f t="shared" si="8"/>
        <v>基本電學-電機一乙</v>
      </c>
      <c r="D550" s="9" t="s">
        <v>165</v>
      </c>
      <c r="E550" s="9" t="s">
        <v>166</v>
      </c>
      <c r="F550" s="10">
        <v>42</v>
      </c>
      <c r="G550" s="10" t="s">
        <v>11</v>
      </c>
      <c r="H550" s="10">
        <v>3</v>
      </c>
      <c r="I550" s="43"/>
    </row>
    <row r="551" spans="1:9">
      <c r="A551" s="42" t="s">
        <v>871</v>
      </c>
      <c r="B551" s="9" t="s">
        <v>158</v>
      </c>
      <c r="C551" s="9" t="str">
        <f t="shared" si="8"/>
        <v>基本電學-電機一乙</v>
      </c>
      <c r="D551" s="9" t="s">
        <v>886</v>
      </c>
      <c r="E551" s="9" t="s">
        <v>887</v>
      </c>
      <c r="F551" s="10">
        <v>41</v>
      </c>
      <c r="G551" s="10" t="s">
        <v>11</v>
      </c>
      <c r="H551" s="10">
        <v>3</v>
      </c>
      <c r="I551" s="43"/>
    </row>
    <row r="552" spans="1:9">
      <c r="A552" s="42" t="s">
        <v>871</v>
      </c>
      <c r="B552" s="9" t="s">
        <v>158</v>
      </c>
      <c r="C552" s="9" t="str">
        <f t="shared" si="8"/>
        <v>基本電學-電機一乙</v>
      </c>
      <c r="D552" s="9" t="s">
        <v>167</v>
      </c>
      <c r="E552" s="9" t="s">
        <v>168</v>
      </c>
      <c r="F552" s="10">
        <v>49</v>
      </c>
      <c r="G552" s="10" t="s">
        <v>11</v>
      </c>
      <c r="H552" s="10">
        <v>3</v>
      </c>
      <c r="I552" s="43"/>
    </row>
    <row r="553" spans="1:9">
      <c r="A553" s="42" t="s">
        <v>871</v>
      </c>
      <c r="B553" s="9" t="s">
        <v>158</v>
      </c>
      <c r="C553" s="9" t="str">
        <f t="shared" si="8"/>
        <v>基本電學-電機一乙</v>
      </c>
      <c r="D553" s="9" t="s">
        <v>888</v>
      </c>
      <c r="E553" s="9" t="s">
        <v>889</v>
      </c>
      <c r="F553" s="10">
        <v>45</v>
      </c>
      <c r="G553" s="10" t="s">
        <v>11</v>
      </c>
      <c r="H553" s="10">
        <v>3</v>
      </c>
      <c r="I553" s="43"/>
    </row>
    <row r="554" spans="1:9">
      <c r="A554" s="42" t="s">
        <v>871</v>
      </c>
      <c r="B554" s="9" t="s">
        <v>158</v>
      </c>
      <c r="C554" s="9" t="str">
        <f t="shared" si="8"/>
        <v>基本電學-電機一乙</v>
      </c>
      <c r="D554" s="9" t="s">
        <v>515</v>
      </c>
      <c r="E554" s="9" t="s">
        <v>516</v>
      </c>
      <c r="F554" s="10">
        <v>51</v>
      </c>
      <c r="G554" s="10" t="s">
        <v>11</v>
      </c>
      <c r="H554" s="10">
        <v>3</v>
      </c>
      <c r="I554" s="43"/>
    </row>
    <row r="555" spans="1:9">
      <c r="A555" s="42" t="s">
        <v>871</v>
      </c>
      <c r="B555" s="9" t="s">
        <v>158</v>
      </c>
      <c r="C555" s="9" t="str">
        <f t="shared" si="8"/>
        <v>基本電學-電機一乙</v>
      </c>
      <c r="D555" s="9" t="s">
        <v>169</v>
      </c>
      <c r="E555" s="9" t="s">
        <v>170</v>
      </c>
      <c r="F555" s="10">
        <v>40</v>
      </c>
      <c r="G555" s="10" t="s">
        <v>11</v>
      </c>
      <c r="H555" s="10">
        <v>3</v>
      </c>
      <c r="I555" s="43"/>
    </row>
    <row r="556" spans="1:9">
      <c r="A556" s="42" t="s">
        <v>871</v>
      </c>
      <c r="B556" s="9" t="s">
        <v>97</v>
      </c>
      <c r="C556" s="9" t="str">
        <f t="shared" si="8"/>
        <v>基本電學-電機一丙</v>
      </c>
      <c r="D556" s="9" t="s">
        <v>892</v>
      </c>
      <c r="E556" s="9" t="s">
        <v>893</v>
      </c>
      <c r="F556" s="10">
        <v>42</v>
      </c>
      <c r="G556" s="10" t="s">
        <v>11</v>
      </c>
      <c r="H556" s="10">
        <v>3</v>
      </c>
      <c r="I556" s="43"/>
    </row>
    <row r="557" spans="1:9">
      <c r="A557" s="42" t="s">
        <v>871</v>
      </c>
      <c r="B557" s="9" t="s">
        <v>97</v>
      </c>
      <c r="C557" s="9" t="str">
        <f t="shared" si="8"/>
        <v>基本電學-電機一丙</v>
      </c>
      <c r="D557" s="9" t="s">
        <v>100</v>
      </c>
      <c r="E557" s="9" t="s">
        <v>101</v>
      </c>
      <c r="F557" s="10">
        <v>55</v>
      </c>
      <c r="G557" s="10" t="s">
        <v>11</v>
      </c>
      <c r="H557" s="10">
        <v>3</v>
      </c>
      <c r="I557" s="43"/>
    </row>
    <row r="558" spans="1:9">
      <c r="A558" s="42" t="s">
        <v>871</v>
      </c>
      <c r="B558" s="9" t="s">
        <v>97</v>
      </c>
      <c r="C558" s="9" t="str">
        <f t="shared" si="8"/>
        <v>基本電學-電機一丙</v>
      </c>
      <c r="D558" s="9" t="s">
        <v>102</v>
      </c>
      <c r="E558" s="9" t="s">
        <v>103</v>
      </c>
      <c r="F558" s="10">
        <v>47</v>
      </c>
      <c r="G558" s="10" t="s">
        <v>11</v>
      </c>
      <c r="H558" s="10">
        <v>3</v>
      </c>
      <c r="I558" s="43"/>
    </row>
    <row r="559" spans="1:9">
      <c r="A559" s="42" t="s">
        <v>871</v>
      </c>
      <c r="B559" s="9" t="s">
        <v>97</v>
      </c>
      <c r="C559" s="9" t="str">
        <f t="shared" si="8"/>
        <v>基本電學-電機一丙</v>
      </c>
      <c r="D559" s="9" t="s">
        <v>894</v>
      </c>
      <c r="E559" s="9" t="s">
        <v>895</v>
      </c>
      <c r="F559" s="10">
        <v>59</v>
      </c>
      <c r="G559" s="10" t="s">
        <v>11</v>
      </c>
      <c r="H559" s="10">
        <v>3</v>
      </c>
      <c r="I559" s="43"/>
    </row>
    <row r="560" spans="1:9">
      <c r="A560" s="42" t="s">
        <v>871</v>
      </c>
      <c r="B560" s="9" t="s">
        <v>97</v>
      </c>
      <c r="C560" s="9" t="str">
        <f t="shared" si="8"/>
        <v>基本電學-電機一丙</v>
      </c>
      <c r="D560" s="9" t="s">
        <v>114</v>
      </c>
      <c r="E560" s="9" t="s">
        <v>115</v>
      </c>
      <c r="F560" s="10">
        <v>40</v>
      </c>
      <c r="G560" s="10" t="s">
        <v>11</v>
      </c>
      <c r="H560" s="10">
        <v>3</v>
      </c>
      <c r="I560" s="43"/>
    </row>
    <row r="561" spans="1:9">
      <c r="A561" s="42" t="s">
        <v>871</v>
      </c>
      <c r="B561" s="9" t="s">
        <v>97</v>
      </c>
      <c r="C561" s="9" t="str">
        <f t="shared" si="8"/>
        <v>基本電學-電機一丙</v>
      </c>
      <c r="D561" s="9" t="s">
        <v>519</v>
      </c>
      <c r="E561" s="9" t="s">
        <v>520</v>
      </c>
      <c r="F561" s="10">
        <v>40</v>
      </c>
      <c r="G561" s="10" t="s">
        <v>11</v>
      </c>
      <c r="H561" s="10">
        <v>3</v>
      </c>
      <c r="I561" s="43"/>
    </row>
    <row r="562" spans="1:9">
      <c r="A562" s="42" t="s">
        <v>871</v>
      </c>
      <c r="B562" s="9" t="s">
        <v>97</v>
      </c>
      <c r="C562" s="9" t="str">
        <f t="shared" si="8"/>
        <v>基本電學-電機一丙</v>
      </c>
      <c r="D562" s="9" t="s">
        <v>632</v>
      </c>
      <c r="E562" s="9" t="s">
        <v>633</v>
      </c>
      <c r="F562" s="10">
        <v>47</v>
      </c>
      <c r="G562" s="10" t="s">
        <v>11</v>
      </c>
      <c r="H562" s="10">
        <v>3</v>
      </c>
      <c r="I562" s="43"/>
    </row>
    <row r="563" spans="1:9">
      <c r="A563" s="42" t="s">
        <v>871</v>
      </c>
      <c r="B563" s="9" t="s">
        <v>97</v>
      </c>
      <c r="C563" s="9" t="str">
        <f t="shared" si="8"/>
        <v>基本電學-電機一丙</v>
      </c>
      <c r="D563" s="9" t="s">
        <v>896</v>
      </c>
      <c r="E563" s="9" t="s">
        <v>897</v>
      </c>
      <c r="F563" s="10">
        <v>34</v>
      </c>
      <c r="G563" s="10" t="s">
        <v>11</v>
      </c>
      <c r="H563" s="10">
        <v>3</v>
      </c>
      <c r="I563" s="43"/>
    </row>
    <row r="564" spans="1:9">
      <c r="A564" s="42" t="s">
        <v>871</v>
      </c>
      <c r="B564" s="9" t="s">
        <v>44</v>
      </c>
      <c r="C564" s="9" t="str">
        <f t="shared" si="8"/>
        <v>基本電學-電機一甲</v>
      </c>
      <c r="D564" s="9" t="s">
        <v>45</v>
      </c>
      <c r="E564" s="9" t="s">
        <v>46</v>
      </c>
      <c r="F564" s="10">
        <v>49</v>
      </c>
      <c r="G564" s="10" t="s">
        <v>11</v>
      </c>
      <c r="H564" s="10">
        <v>3</v>
      </c>
      <c r="I564" s="43"/>
    </row>
    <row r="565" spans="1:9">
      <c r="A565" s="42" t="s">
        <v>871</v>
      </c>
      <c r="B565" s="9" t="s">
        <v>44</v>
      </c>
      <c r="C565" s="9" t="str">
        <f t="shared" si="8"/>
        <v>基本電學-電機一甲</v>
      </c>
      <c r="D565" s="9" t="s">
        <v>608</v>
      </c>
      <c r="E565" s="9" t="s">
        <v>609</v>
      </c>
      <c r="F565" s="10">
        <v>40</v>
      </c>
      <c r="G565" s="10" t="s">
        <v>11</v>
      </c>
      <c r="H565" s="10">
        <v>3</v>
      </c>
      <c r="I565" s="43"/>
    </row>
    <row r="566" spans="1:9">
      <c r="A566" s="42" t="s">
        <v>871</v>
      </c>
      <c r="B566" s="9" t="s">
        <v>44</v>
      </c>
      <c r="C566" s="9" t="str">
        <f t="shared" si="8"/>
        <v>基本電學-電機一甲</v>
      </c>
      <c r="D566" s="9" t="s">
        <v>890</v>
      </c>
      <c r="E566" s="9" t="s">
        <v>891</v>
      </c>
      <c r="F566" s="10">
        <v>39</v>
      </c>
      <c r="G566" s="10" t="s">
        <v>11</v>
      </c>
      <c r="H566" s="10">
        <v>3</v>
      </c>
      <c r="I566" s="43"/>
    </row>
    <row r="567" spans="1:9">
      <c r="A567" s="42" t="s">
        <v>871</v>
      </c>
      <c r="B567" s="9" t="s">
        <v>44</v>
      </c>
      <c r="C567" s="9" t="str">
        <f t="shared" si="8"/>
        <v>基本電學-電機一甲</v>
      </c>
      <c r="D567" s="9" t="s">
        <v>610</v>
      </c>
      <c r="E567" s="9" t="s">
        <v>611</v>
      </c>
      <c r="F567" s="10">
        <v>54</v>
      </c>
      <c r="G567" s="10" t="s">
        <v>11</v>
      </c>
      <c r="H567" s="10">
        <v>3</v>
      </c>
      <c r="I567" s="43"/>
    </row>
    <row r="568" spans="1:9">
      <c r="A568" s="42" t="s">
        <v>871</v>
      </c>
      <c r="B568" s="9" t="s">
        <v>44</v>
      </c>
      <c r="C568" s="9" t="str">
        <f t="shared" si="8"/>
        <v>基本電學-電機一甲</v>
      </c>
      <c r="D568" s="9" t="s">
        <v>51</v>
      </c>
      <c r="E568" s="9" t="s">
        <v>52</v>
      </c>
      <c r="F568" s="10">
        <v>43</v>
      </c>
      <c r="G568" s="10" t="s">
        <v>11</v>
      </c>
      <c r="H568" s="10">
        <v>3</v>
      </c>
      <c r="I568" s="43"/>
    </row>
    <row r="569" spans="1:9">
      <c r="A569" s="42" t="s">
        <v>871</v>
      </c>
      <c r="B569" s="9" t="s">
        <v>44</v>
      </c>
      <c r="C569" s="9" t="str">
        <f t="shared" si="8"/>
        <v>基本電學-電機一甲</v>
      </c>
      <c r="D569" s="9" t="s">
        <v>681</v>
      </c>
      <c r="E569" s="9" t="s">
        <v>682</v>
      </c>
      <c r="F569" s="10">
        <v>41</v>
      </c>
      <c r="G569" s="10" t="s">
        <v>11</v>
      </c>
      <c r="H569" s="10">
        <v>3</v>
      </c>
      <c r="I569" s="43"/>
    </row>
    <row r="570" spans="1:9">
      <c r="A570" s="42" t="s">
        <v>871</v>
      </c>
      <c r="B570" s="9" t="s">
        <v>44</v>
      </c>
      <c r="C570" s="9" t="str">
        <f t="shared" si="8"/>
        <v>基本電學-電機一甲</v>
      </c>
      <c r="D570" s="9" t="s">
        <v>455</v>
      </c>
      <c r="E570" s="9" t="s">
        <v>456</v>
      </c>
      <c r="F570" s="10">
        <v>55</v>
      </c>
      <c r="G570" s="10" t="s">
        <v>11</v>
      </c>
      <c r="H570" s="10">
        <v>3</v>
      </c>
      <c r="I570" s="43"/>
    </row>
    <row r="571" spans="1:9">
      <c r="A571" s="42" t="s">
        <v>871</v>
      </c>
      <c r="B571" s="9" t="s">
        <v>44</v>
      </c>
      <c r="C571" s="9" t="str">
        <f t="shared" si="8"/>
        <v>基本電學-電機一甲</v>
      </c>
      <c r="D571" s="9" t="s">
        <v>457</v>
      </c>
      <c r="E571" s="9" t="s">
        <v>458</v>
      </c>
      <c r="F571" s="10">
        <v>44</v>
      </c>
      <c r="G571" s="10" t="s">
        <v>11</v>
      </c>
      <c r="H571" s="10">
        <v>3</v>
      </c>
      <c r="I571" s="43"/>
    </row>
    <row r="572" spans="1:9">
      <c r="A572" s="42" t="s">
        <v>871</v>
      </c>
      <c r="B572" s="9" t="s">
        <v>44</v>
      </c>
      <c r="C572" s="9" t="str">
        <f t="shared" si="8"/>
        <v>基本電學-電機一甲</v>
      </c>
      <c r="D572" s="9" t="s">
        <v>459</v>
      </c>
      <c r="E572" s="9" t="s">
        <v>460</v>
      </c>
      <c r="F572" s="10">
        <v>52</v>
      </c>
      <c r="G572" s="10" t="s">
        <v>11</v>
      </c>
      <c r="H572" s="10">
        <v>3</v>
      </c>
      <c r="I572" s="43"/>
    </row>
    <row r="573" spans="1:9">
      <c r="A573" s="42" t="s">
        <v>871</v>
      </c>
      <c r="B573" s="9" t="s">
        <v>44</v>
      </c>
      <c r="C573" s="9" t="str">
        <f t="shared" si="8"/>
        <v>基本電學-電機一甲</v>
      </c>
      <c r="D573" s="9" t="s">
        <v>685</v>
      </c>
      <c r="E573" s="9" t="s">
        <v>686</v>
      </c>
      <c r="F573" s="10">
        <v>48</v>
      </c>
      <c r="G573" s="10" t="s">
        <v>11</v>
      </c>
      <c r="H573" s="10">
        <v>3</v>
      </c>
      <c r="I573" s="43"/>
    </row>
    <row r="574" spans="1:9">
      <c r="A574" s="42" t="s">
        <v>871</v>
      </c>
      <c r="B574" s="9" t="s">
        <v>44</v>
      </c>
      <c r="C574" s="9" t="str">
        <f t="shared" si="8"/>
        <v>基本電學-電機一甲</v>
      </c>
      <c r="D574" s="9" t="s">
        <v>59</v>
      </c>
      <c r="E574" s="9" t="s">
        <v>60</v>
      </c>
      <c r="F574" s="10">
        <v>56</v>
      </c>
      <c r="G574" s="10" t="s">
        <v>11</v>
      </c>
      <c r="H574" s="10">
        <v>3</v>
      </c>
      <c r="I574" s="43"/>
    </row>
    <row r="575" spans="1:9">
      <c r="A575" s="42" t="s">
        <v>871</v>
      </c>
      <c r="B575" s="9" t="s">
        <v>44</v>
      </c>
      <c r="C575" s="9" t="str">
        <f t="shared" si="8"/>
        <v>基本電學-電機一甲</v>
      </c>
      <c r="D575" s="9" t="s">
        <v>63</v>
      </c>
      <c r="E575" s="9" t="s">
        <v>64</v>
      </c>
      <c r="F575" s="10">
        <v>43</v>
      </c>
      <c r="G575" s="10" t="s">
        <v>11</v>
      </c>
      <c r="H575" s="10">
        <v>3</v>
      </c>
      <c r="I575" s="43"/>
    </row>
    <row r="576" spans="1:9">
      <c r="A576" s="42" t="s">
        <v>871</v>
      </c>
      <c r="B576" s="9" t="s">
        <v>44</v>
      </c>
      <c r="C576" s="9" t="str">
        <f t="shared" si="8"/>
        <v>基本電學-電機一甲</v>
      </c>
      <c r="D576" s="9" t="s">
        <v>461</v>
      </c>
      <c r="E576" s="9" t="s">
        <v>462</v>
      </c>
      <c r="F576" s="10">
        <v>51</v>
      </c>
      <c r="G576" s="10" t="s">
        <v>11</v>
      </c>
      <c r="H576" s="10">
        <v>3</v>
      </c>
      <c r="I576" s="43"/>
    </row>
    <row r="577" spans="1:9">
      <c r="A577" s="42" t="s">
        <v>904</v>
      </c>
      <c r="B577" s="9" t="s">
        <v>294</v>
      </c>
      <c r="C577" s="9" t="str">
        <f t="shared" si="8"/>
        <v>基礎電子學-資訊一乙</v>
      </c>
      <c r="D577" s="9" t="s">
        <v>417</v>
      </c>
      <c r="E577" s="9" t="s">
        <v>418</v>
      </c>
      <c r="F577" s="10">
        <v>55</v>
      </c>
      <c r="G577" s="10" t="s">
        <v>11</v>
      </c>
      <c r="H577" s="10">
        <v>4</v>
      </c>
      <c r="I577" s="43"/>
    </row>
    <row r="578" spans="1:9">
      <c r="A578" s="42" t="s">
        <v>904</v>
      </c>
      <c r="B578" s="9" t="s">
        <v>294</v>
      </c>
      <c r="C578" s="9" t="str">
        <f t="shared" si="8"/>
        <v>基礎電子學-資訊一乙</v>
      </c>
      <c r="D578" s="9" t="s">
        <v>295</v>
      </c>
      <c r="E578" s="9" t="s">
        <v>296</v>
      </c>
      <c r="F578" s="10">
        <v>59</v>
      </c>
      <c r="G578" s="10" t="s">
        <v>11</v>
      </c>
      <c r="H578" s="10">
        <v>4</v>
      </c>
      <c r="I578" s="43"/>
    </row>
    <row r="579" spans="1:9">
      <c r="A579" s="42" t="s">
        <v>904</v>
      </c>
      <c r="B579" s="9" t="s">
        <v>294</v>
      </c>
      <c r="C579" s="9" t="str">
        <f t="shared" ref="C579:C642" si="9">A579&amp;"-"&amp;B579</f>
        <v>基礎電子學-資訊一乙</v>
      </c>
      <c r="D579" s="9" t="s">
        <v>299</v>
      </c>
      <c r="E579" s="9" t="s">
        <v>300</v>
      </c>
      <c r="F579" s="10">
        <v>49</v>
      </c>
      <c r="G579" s="10" t="s">
        <v>11</v>
      </c>
      <c r="H579" s="10">
        <v>4</v>
      </c>
      <c r="I579" s="43"/>
    </row>
    <row r="580" spans="1:9">
      <c r="A580" s="42" t="s">
        <v>904</v>
      </c>
      <c r="B580" s="9" t="s">
        <v>65</v>
      </c>
      <c r="C580" s="9" t="str">
        <f t="shared" si="9"/>
        <v>基礎電子學-資訊一甲</v>
      </c>
      <c r="D580" s="9" t="s">
        <v>66</v>
      </c>
      <c r="E580" s="9" t="s">
        <v>67</v>
      </c>
      <c r="F580" s="10">
        <v>44</v>
      </c>
      <c r="G580" s="10" t="s">
        <v>11</v>
      </c>
      <c r="H580" s="10">
        <v>4</v>
      </c>
      <c r="I580" s="43"/>
    </row>
    <row r="581" spans="1:9">
      <c r="A581" s="42" t="s">
        <v>904</v>
      </c>
      <c r="B581" s="9" t="s">
        <v>65</v>
      </c>
      <c r="C581" s="9" t="str">
        <f t="shared" si="9"/>
        <v>基礎電子學-資訊一甲</v>
      </c>
      <c r="D581" s="9" t="s">
        <v>68</v>
      </c>
      <c r="E581" s="9" t="s">
        <v>69</v>
      </c>
      <c r="F581" s="10">
        <v>45</v>
      </c>
      <c r="G581" s="10" t="s">
        <v>11</v>
      </c>
      <c r="H581" s="10">
        <v>4</v>
      </c>
      <c r="I581" s="43"/>
    </row>
    <row r="582" spans="1:9">
      <c r="A582" s="42" t="s">
        <v>904</v>
      </c>
      <c r="B582" s="9" t="s">
        <v>65</v>
      </c>
      <c r="C582" s="9" t="str">
        <f t="shared" si="9"/>
        <v>基礎電子學-資訊一甲</v>
      </c>
      <c r="D582" s="9" t="s">
        <v>70</v>
      </c>
      <c r="E582" s="9" t="s">
        <v>71</v>
      </c>
      <c r="F582" s="10">
        <v>51</v>
      </c>
      <c r="G582" s="10" t="s">
        <v>11</v>
      </c>
      <c r="H582" s="10">
        <v>4</v>
      </c>
      <c r="I582" s="43"/>
    </row>
    <row r="583" spans="1:9">
      <c r="A583" s="42" t="s">
        <v>904</v>
      </c>
      <c r="B583" s="9" t="s">
        <v>65</v>
      </c>
      <c r="C583" s="9" t="str">
        <f t="shared" si="9"/>
        <v>基礎電子學-資訊一甲</v>
      </c>
      <c r="D583" s="9" t="s">
        <v>72</v>
      </c>
      <c r="E583" s="9" t="s">
        <v>73</v>
      </c>
      <c r="F583" s="10">
        <v>40</v>
      </c>
      <c r="G583" s="10" t="s">
        <v>11</v>
      </c>
      <c r="H583" s="10">
        <v>4</v>
      </c>
      <c r="I583" s="43"/>
    </row>
    <row r="584" spans="1:9">
      <c r="A584" s="42" t="s">
        <v>904</v>
      </c>
      <c r="B584" s="9" t="s">
        <v>65</v>
      </c>
      <c r="C584" s="9" t="str">
        <f t="shared" si="9"/>
        <v>基礎電子學-資訊一甲</v>
      </c>
      <c r="D584" s="9" t="s">
        <v>74</v>
      </c>
      <c r="E584" s="9" t="s">
        <v>75</v>
      </c>
      <c r="F584" s="10">
        <v>50</v>
      </c>
      <c r="G584" s="10" t="s">
        <v>11</v>
      </c>
      <c r="H584" s="10">
        <v>4</v>
      </c>
      <c r="I584" s="43"/>
    </row>
    <row r="585" spans="1:9">
      <c r="A585" s="42" t="s">
        <v>904</v>
      </c>
      <c r="B585" s="9" t="s">
        <v>65</v>
      </c>
      <c r="C585" s="9" t="str">
        <f t="shared" si="9"/>
        <v>基礎電子學-資訊一甲</v>
      </c>
      <c r="D585" s="9" t="s">
        <v>689</v>
      </c>
      <c r="E585" s="9" t="s">
        <v>690</v>
      </c>
      <c r="F585" s="10">
        <v>50</v>
      </c>
      <c r="G585" s="10" t="s">
        <v>11</v>
      </c>
      <c r="H585" s="10">
        <v>4</v>
      </c>
      <c r="I585" s="43"/>
    </row>
    <row r="586" spans="1:9">
      <c r="A586" s="42" t="s">
        <v>904</v>
      </c>
      <c r="B586" s="9" t="s">
        <v>65</v>
      </c>
      <c r="C586" s="9" t="str">
        <f t="shared" si="9"/>
        <v>基礎電子學-資訊一甲</v>
      </c>
      <c r="D586" s="9" t="s">
        <v>719</v>
      </c>
      <c r="E586" s="9" t="s">
        <v>720</v>
      </c>
      <c r="F586" s="10">
        <v>50</v>
      </c>
      <c r="G586" s="10" t="s">
        <v>11</v>
      </c>
      <c r="H586" s="10">
        <v>4</v>
      </c>
      <c r="I586" s="43"/>
    </row>
    <row r="587" spans="1:9">
      <c r="A587" s="42" t="s">
        <v>904</v>
      </c>
      <c r="B587" s="9" t="s">
        <v>65</v>
      </c>
      <c r="C587" s="9" t="str">
        <f t="shared" si="9"/>
        <v>基礎電子學-資訊一甲</v>
      </c>
      <c r="D587" s="9" t="s">
        <v>76</v>
      </c>
      <c r="E587" s="9" t="s">
        <v>77</v>
      </c>
      <c r="F587" s="10">
        <v>50</v>
      </c>
      <c r="G587" s="10" t="s">
        <v>11</v>
      </c>
      <c r="H587" s="10">
        <v>4</v>
      </c>
      <c r="I587" s="43"/>
    </row>
    <row r="588" spans="1:9">
      <c r="A588" s="42" t="s">
        <v>904</v>
      </c>
      <c r="B588" s="9" t="s">
        <v>65</v>
      </c>
      <c r="C588" s="9" t="str">
        <f t="shared" si="9"/>
        <v>基礎電子學-資訊一甲</v>
      </c>
      <c r="D588" s="9" t="s">
        <v>723</v>
      </c>
      <c r="E588" s="9" t="s">
        <v>724</v>
      </c>
      <c r="F588" s="10">
        <v>40</v>
      </c>
      <c r="G588" s="10" t="s">
        <v>11</v>
      </c>
      <c r="H588" s="10">
        <v>4</v>
      </c>
      <c r="I588" s="43"/>
    </row>
    <row r="589" spans="1:9">
      <c r="A589" s="42" t="s">
        <v>904</v>
      </c>
      <c r="B589" s="9" t="s">
        <v>65</v>
      </c>
      <c r="C589" s="9" t="str">
        <f t="shared" si="9"/>
        <v>基礎電子學-資訊一甲</v>
      </c>
      <c r="D589" s="9" t="s">
        <v>78</v>
      </c>
      <c r="E589" s="9" t="s">
        <v>79</v>
      </c>
      <c r="F589" s="10">
        <v>40</v>
      </c>
      <c r="G589" s="10" t="s">
        <v>11</v>
      </c>
      <c r="H589" s="10">
        <v>4</v>
      </c>
      <c r="I589" s="43"/>
    </row>
    <row r="590" spans="1:9">
      <c r="A590" s="42" t="s">
        <v>904</v>
      </c>
      <c r="B590" s="9" t="s">
        <v>65</v>
      </c>
      <c r="C590" s="9" t="str">
        <f t="shared" si="9"/>
        <v>基礎電子學-資訊一甲</v>
      </c>
      <c r="D590" s="9" t="s">
        <v>725</v>
      </c>
      <c r="E590" s="9" t="s">
        <v>726</v>
      </c>
      <c r="F590" s="10">
        <v>50</v>
      </c>
      <c r="G590" s="10" t="s">
        <v>11</v>
      </c>
      <c r="H590" s="10">
        <v>4</v>
      </c>
      <c r="I590" s="43"/>
    </row>
    <row r="591" spans="1:9">
      <c r="A591" s="42" t="s">
        <v>904</v>
      </c>
      <c r="B591" s="9" t="s">
        <v>65</v>
      </c>
      <c r="C591" s="9" t="str">
        <f t="shared" si="9"/>
        <v>基礎電子學-資訊一甲</v>
      </c>
      <c r="D591" s="9" t="s">
        <v>872</v>
      </c>
      <c r="E591" s="9" t="s">
        <v>873</v>
      </c>
      <c r="F591" s="10">
        <v>50</v>
      </c>
      <c r="G591" s="10" t="s">
        <v>11</v>
      </c>
      <c r="H591" s="10">
        <v>4</v>
      </c>
      <c r="I591" s="43"/>
    </row>
    <row r="592" spans="1:9">
      <c r="A592" s="42" t="s">
        <v>904</v>
      </c>
      <c r="B592" s="9" t="s">
        <v>65</v>
      </c>
      <c r="C592" s="9" t="str">
        <f t="shared" si="9"/>
        <v>基礎電子學-資訊一甲</v>
      </c>
      <c r="D592" s="9" t="s">
        <v>727</v>
      </c>
      <c r="E592" s="9" t="s">
        <v>728</v>
      </c>
      <c r="F592" s="10">
        <v>40</v>
      </c>
      <c r="G592" s="10" t="s">
        <v>11</v>
      </c>
      <c r="H592" s="10">
        <v>4</v>
      </c>
      <c r="I592" s="43"/>
    </row>
    <row r="593" spans="1:9">
      <c r="A593" s="42" t="s">
        <v>904</v>
      </c>
      <c r="B593" s="9" t="s">
        <v>65</v>
      </c>
      <c r="C593" s="9" t="str">
        <f t="shared" si="9"/>
        <v>基礎電子學-資訊一甲</v>
      </c>
      <c r="D593" s="9" t="s">
        <v>80</v>
      </c>
      <c r="E593" s="9" t="s">
        <v>81</v>
      </c>
      <c r="F593" s="10">
        <v>51</v>
      </c>
      <c r="G593" s="10" t="s">
        <v>11</v>
      </c>
      <c r="H593" s="10">
        <v>4</v>
      </c>
      <c r="I593" s="43"/>
    </row>
    <row r="594" spans="1:9">
      <c r="A594" s="50" t="s">
        <v>1961</v>
      </c>
      <c r="B594" s="9" t="s">
        <v>171</v>
      </c>
      <c r="C594" s="9" t="str">
        <f t="shared" si="9"/>
        <v>基礎數學5-體育一甲</v>
      </c>
      <c r="D594" s="9" t="s">
        <v>172</v>
      </c>
      <c r="E594" s="9" t="s">
        <v>173</v>
      </c>
      <c r="F594" s="10">
        <v>53</v>
      </c>
      <c r="G594" s="10" t="s">
        <v>583</v>
      </c>
      <c r="H594" s="10">
        <v>1</v>
      </c>
      <c r="I594" s="43"/>
    </row>
    <row r="595" spans="1:9">
      <c r="A595" s="48" t="s">
        <v>1962</v>
      </c>
      <c r="B595" s="9" t="s">
        <v>171</v>
      </c>
      <c r="C595" s="9" t="str">
        <f t="shared" si="9"/>
        <v>基礎數學5-體育一甲</v>
      </c>
      <c r="D595" s="9" t="s">
        <v>700</v>
      </c>
      <c r="E595" s="9" t="s">
        <v>701</v>
      </c>
      <c r="F595" s="10">
        <v>48</v>
      </c>
      <c r="G595" s="10" t="s">
        <v>583</v>
      </c>
      <c r="H595" s="10">
        <v>1</v>
      </c>
      <c r="I595" s="43"/>
    </row>
    <row r="596" spans="1:9">
      <c r="A596" s="42" t="s">
        <v>920</v>
      </c>
      <c r="B596" s="9" t="s">
        <v>335</v>
      </c>
      <c r="C596" s="9" t="str">
        <f t="shared" si="9"/>
        <v>會計學-資處一乙</v>
      </c>
      <c r="D596" s="9" t="s">
        <v>387</v>
      </c>
      <c r="E596" s="9" t="s">
        <v>388</v>
      </c>
      <c r="F596" s="10">
        <v>52</v>
      </c>
      <c r="G596" s="10" t="s">
        <v>11</v>
      </c>
      <c r="H596" s="10">
        <v>3</v>
      </c>
      <c r="I596" s="43"/>
    </row>
    <row r="597" spans="1:9">
      <c r="A597" s="42" t="s">
        <v>920</v>
      </c>
      <c r="B597" s="9" t="s">
        <v>335</v>
      </c>
      <c r="C597" s="9" t="str">
        <f t="shared" si="9"/>
        <v>會計學-資處一乙</v>
      </c>
      <c r="D597" s="9" t="s">
        <v>395</v>
      </c>
      <c r="E597" s="9" t="s">
        <v>396</v>
      </c>
      <c r="F597" s="10">
        <v>43</v>
      </c>
      <c r="G597" s="10" t="s">
        <v>11</v>
      </c>
      <c r="H597" s="10">
        <v>3</v>
      </c>
      <c r="I597" s="43"/>
    </row>
    <row r="598" spans="1:9">
      <c r="A598" s="42" t="s">
        <v>920</v>
      </c>
      <c r="B598" s="9" t="s">
        <v>335</v>
      </c>
      <c r="C598" s="9" t="str">
        <f t="shared" si="9"/>
        <v>會計學-資處一乙</v>
      </c>
      <c r="D598" s="9" t="s">
        <v>659</v>
      </c>
      <c r="E598" s="9" t="s">
        <v>660</v>
      </c>
      <c r="F598" s="10">
        <v>48</v>
      </c>
      <c r="G598" s="10" t="s">
        <v>11</v>
      </c>
      <c r="H598" s="10">
        <v>3</v>
      </c>
      <c r="I598" s="43"/>
    </row>
    <row r="599" spans="1:9">
      <c r="A599" s="42" t="s">
        <v>920</v>
      </c>
      <c r="B599" s="9" t="s">
        <v>335</v>
      </c>
      <c r="C599" s="9" t="str">
        <f t="shared" si="9"/>
        <v>會計學-資處一乙</v>
      </c>
      <c r="D599" s="9" t="s">
        <v>661</v>
      </c>
      <c r="E599" s="9" t="s">
        <v>662</v>
      </c>
      <c r="F599" s="10">
        <v>47</v>
      </c>
      <c r="G599" s="10" t="s">
        <v>11</v>
      </c>
      <c r="H599" s="10">
        <v>3</v>
      </c>
      <c r="I599" s="43"/>
    </row>
    <row r="600" spans="1:9">
      <c r="A600" s="42" t="s">
        <v>920</v>
      </c>
      <c r="B600" s="9" t="s">
        <v>335</v>
      </c>
      <c r="C600" s="9" t="str">
        <f t="shared" si="9"/>
        <v>會計學-資處一乙</v>
      </c>
      <c r="D600" s="9" t="s">
        <v>336</v>
      </c>
      <c r="E600" s="9" t="s">
        <v>337</v>
      </c>
      <c r="F600" s="10">
        <v>46</v>
      </c>
      <c r="G600" s="10" t="s">
        <v>11</v>
      </c>
      <c r="H600" s="10">
        <v>3</v>
      </c>
      <c r="I600" s="43"/>
    </row>
    <row r="601" spans="1:9">
      <c r="A601" s="42" t="s">
        <v>920</v>
      </c>
      <c r="B601" s="9" t="s">
        <v>234</v>
      </c>
      <c r="C601" s="9" t="str">
        <f t="shared" si="9"/>
        <v>會計學-資處一甲</v>
      </c>
      <c r="D601" s="9" t="s">
        <v>918</v>
      </c>
      <c r="E601" s="9" t="s">
        <v>919</v>
      </c>
      <c r="F601" s="10">
        <v>42</v>
      </c>
      <c r="G601" s="10" t="s">
        <v>11</v>
      </c>
      <c r="H601" s="10">
        <v>3</v>
      </c>
      <c r="I601" s="43"/>
    </row>
    <row r="602" spans="1:9">
      <c r="A602" s="42" t="s">
        <v>920</v>
      </c>
      <c r="B602" s="9" t="s">
        <v>234</v>
      </c>
      <c r="C602" s="9" t="str">
        <f t="shared" si="9"/>
        <v>會計學-資處一甲</v>
      </c>
      <c r="D602" s="9" t="s">
        <v>614</v>
      </c>
      <c r="E602" s="9" t="s">
        <v>615</v>
      </c>
      <c r="F602" s="10">
        <v>40</v>
      </c>
      <c r="G602" s="10" t="s">
        <v>11</v>
      </c>
      <c r="H602" s="10">
        <v>3</v>
      </c>
      <c r="I602" s="43"/>
    </row>
    <row r="603" spans="1:9">
      <c r="A603" s="42" t="s">
        <v>920</v>
      </c>
      <c r="B603" s="9" t="s">
        <v>234</v>
      </c>
      <c r="C603" s="9" t="str">
        <f t="shared" si="9"/>
        <v>會計學-資處一甲</v>
      </c>
      <c r="D603" s="9" t="s">
        <v>921</v>
      </c>
      <c r="E603" s="9" t="s">
        <v>922</v>
      </c>
      <c r="F603" s="10">
        <v>47</v>
      </c>
      <c r="G603" s="10" t="s">
        <v>11</v>
      </c>
      <c r="H603" s="10">
        <v>3</v>
      </c>
      <c r="I603" s="43"/>
    </row>
    <row r="604" spans="1:9">
      <c r="A604" s="42" t="s">
        <v>920</v>
      </c>
      <c r="B604" s="9" t="s">
        <v>234</v>
      </c>
      <c r="C604" s="9" t="str">
        <f t="shared" si="9"/>
        <v>會計學-資處一甲</v>
      </c>
      <c r="D604" s="9" t="s">
        <v>655</v>
      </c>
      <c r="E604" s="9" t="s">
        <v>656</v>
      </c>
      <c r="F604" s="10">
        <v>49</v>
      </c>
      <c r="G604" s="10" t="s">
        <v>11</v>
      </c>
      <c r="H604" s="10">
        <v>3</v>
      </c>
      <c r="I604" s="43"/>
    </row>
    <row r="605" spans="1:9">
      <c r="A605" s="42" t="s">
        <v>935</v>
      </c>
      <c r="B605" s="9" t="s">
        <v>239</v>
      </c>
      <c r="C605" s="9" t="str">
        <f t="shared" si="9"/>
        <v>數位科技概論-應英一甲</v>
      </c>
      <c r="D605" s="9" t="s">
        <v>562</v>
      </c>
      <c r="E605" s="9" t="s">
        <v>563</v>
      </c>
      <c r="F605" s="10">
        <v>50</v>
      </c>
      <c r="G605" s="10" t="s">
        <v>11</v>
      </c>
      <c r="H605" s="10">
        <v>2</v>
      </c>
      <c r="I605" s="43"/>
    </row>
    <row r="606" spans="1:9">
      <c r="A606" s="42" t="s">
        <v>935</v>
      </c>
      <c r="B606" s="9" t="s">
        <v>239</v>
      </c>
      <c r="C606" s="9" t="str">
        <f t="shared" si="9"/>
        <v>數位科技概論-應英一甲</v>
      </c>
      <c r="D606" s="9" t="s">
        <v>564</v>
      </c>
      <c r="E606" s="9" t="s">
        <v>565</v>
      </c>
      <c r="F606" s="10">
        <v>53</v>
      </c>
      <c r="G606" s="10" t="s">
        <v>11</v>
      </c>
      <c r="H606" s="10">
        <v>2</v>
      </c>
      <c r="I606" s="43"/>
    </row>
    <row r="607" spans="1:9">
      <c r="A607" s="42" t="s">
        <v>935</v>
      </c>
      <c r="B607" s="9" t="s">
        <v>239</v>
      </c>
      <c r="C607" s="9" t="str">
        <f t="shared" si="9"/>
        <v>數位科技概論-應英一甲</v>
      </c>
      <c r="D607" s="9" t="s">
        <v>240</v>
      </c>
      <c r="E607" s="9" t="s">
        <v>241</v>
      </c>
      <c r="F607" s="10">
        <v>44</v>
      </c>
      <c r="G607" s="10" t="s">
        <v>11</v>
      </c>
      <c r="H607" s="10">
        <v>2</v>
      </c>
      <c r="I607" s="43"/>
    </row>
    <row r="608" spans="1:9">
      <c r="A608" s="42" t="s">
        <v>935</v>
      </c>
      <c r="B608" s="9" t="s">
        <v>239</v>
      </c>
      <c r="C608" s="9" t="str">
        <f t="shared" si="9"/>
        <v>數位科技概論-應英一甲</v>
      </c>
      <c r="D608" s="9" t="s">
        <v>242</v>
      </c>
      <c r="E608" s="9" t="s">
        <v>243</v>
      </c>
      <c r="F608" s="10">
        <v>51</v>
      </c>
      <c r="G608" s="10" t="s">
        <v>11</v>
      </c>
      <c r="H608" s="10">
        <v>2</v>
      </c>
      <c r="I608" s="43"/>
    </row>
    <row r="609" spans="1:9">
      <c r="A609" s="42" t="s">
        <v>907</v>
      </c>
      <c r="B609" s="9" t="s">
        <v>158</v>
      </c>
      <c r="C609" s="9" t="str">
        <f t="shared" si="9"/>
        <v>數位邏輯設計-電機一乙</v>
      </c>
      <c r="D609" s="9" t="s">
        <v>507</v>
      </c>
      <c r="E609" s="9" t="s">
        <v>508</v>
      </c>
      <c r="F609" s="10">
        <v>40</v>
      </c>
      <c r="G609" s="10" t="s">
        <v>11</v>
      </c>
      <c r="H609" s="10">
        <v>2</v>
      </c>
      <c r="I609" s="43"/>
    </row>
    <row r="610" spans="1:9">
      <c r="A610" s="42" t="s">
        <v>907</v>
      </c>
      <c r="B610" s="9" t="s">
        <v>158</v>
      </c>
      <c r="C610" s="9" t="str">
        <f t="shared" si="9"/>
        <v>數位邏輯設計-電機一乙</v>
      </c>
      <c r="D610" s="9" t="s">
        <v>639</v>
      </c>
      <c r="E610" s="9" t="s">
        <v>640</v>
      </c>
      <c r="F610" s="10">
        <v>42</v>
      </c>
      <c r="G610" s="10" t="s">
        <v>11</v>
      </c>
      <c r="H610" s="10">
        <v>2</v>
      </c>
      <c r="I610" s="43"/>
    </row>
    <row r="611" spans="1:9">
      <c r="A611" s="42" t="s">
        <v>907</v>
      </c>
      <c r="B611" s="9" t="s">
        <v>158</v>
      </c>
      <c r="C611" s="9" t="str">
        <f t="shared" si="9"/>
        <v>數位邏輯設計-電機一乙</v>
      </c>
      <c r="D611" s="9" t="s">
        <v>161</v>
      </c>
      <c r="E611" s="9" t="s">
        <v>162</v>
      </c>
      <c r="F611" s="10">
        <v>40</v>
      </c>
      <c r="G611" s="10" t="s">
        <v>11</v>
      </c>
      <c r="H611" s="10">
        <v>2</v>
      </c>
      <c r="I611" s="43"/>
    </row>
    <row r="612" spans="1:9">
      <c r="A612" s="42" t="s">
        <v>907</v>
      </c>
      <c r="B612" s="9" t="s">
        <v>158</v>
      </c>
      <c r="C612" s="9" t="str">
        <f t="shared" si="9"/>
        <v>數位邏輯設計-電機一乙</v>
      </c>
      <c r="D612" s="9" t="s">
        <v>884</v>
      </c>
      <c r="E612" s="9" t="s">
        <v>885</v>
      </c>
      <c r="F612" s="10">
        <v>40</v>
      </c>
      <c r="G612" s="10" t="s">
        <v>11</v>
      </c>
      <c r="H612" s="10">
        <v>2</v>
      </c>
      <c r="I612" s="43"/>
    </row>
    <row r="613" spans="1:9">
      <c r="A613" s="42" t="s">
        <v>907</v>
      </c>
      <c r="B613" s="9" t="s">
        <v>158</v>
      </c>
      <c r="C613" s="9" t="str">
        <f t="shared" si="9"/>
        <v>數位邏輯設計-電機一乙</v>
      </c>
      <c r="D613" s="9" t="s">
        <v>169</v>
      </c>
      <c r="E613" s="9" t="s">
        <v>170</v>
      </c>
      <c r="F613" s="10">
        <v>40</v>
      </c>
      <c r="G613" s="10" t="s">
        <v>11</v>
      </c>
      <c r="H613" s="10">
        <v>2</v>
      </c>
      <c r="I613" s="43"/>
    </row>
    <row r="614" spans="1:9">
      <c r="A614" s="42" t="s">
        <v>907</v>
      </c>
      <c r="B614" s="9" t="s">
        <v>97</v>
      </c>
      <c r="C614" s="9" t="str">
        <f t="shared" si="9"/>
        <v>數位邏輯設計-電機一丙</v>
      </c>
      <c r="D614" s="9" t="s">
        <v>905</v>
      </c>
      <c r="E614" s="9" t="s">
        <v>906</v>
      </c>
      <c r="F614" s="10">
        <v>50</v>
      </c>
      <c r="G614" s="10" t="s">
        <v>11</v>
      </c>
      <c r="H614" s="10">
        <v>2</v>
      </c>
      <c r="I614" s="43"/>
    </row>
    <row r="615" spans="1:9">
      <c r="A615" s="42" t="s">
        <v>907</v>
      </c>
      <c r="B615" s="9" t="s">
        <v>97</v>
      </c>
      <c r="C615" s="9" t="str">
        <f t="shared" si="9"/>
        <v>數位邏輯設計-電機一丙</v>
      </c>
      <c r="D615" s="9" t="s">
        <v>100</v>
      </c>
      <c r="E615" s="9" t="s">
        <v>101</v>
      </c>
      <c r="F615" s="10">
        <v>41</v>
      </c>
      <c r="G615" s="10" t="s">
        <v>11</v>
      </c>
      <c r="H615" s="10">
        <v>2</v>
      </c>
      <c r="I615" s="43"/>
    </row>
    <row r="616" spans="1:9">
      <c r="A616" s="42" t="s">
        <v>907</v>
      </c>
      <c r="B616" s="9" t="s">
        <v>97</v>
      </c>
      <c r="C616" s="9" t="str">
        <f t="shared" si="9"/>
        <v>數位邏輯設計-電機一丙</v>
      </c>
      <c r="D616" s="9" t="s">
        <v>102</v>
      </c>
      <c r="E616" s="9" t="s">
        <v>103</v>
      </c>
      <c r="F616" s="10">
        <v>49</v>
      </c>
      <c r="G616" s="10" t="s">
        <v>11</v>
      </c>
      <c r="H616" s="10">
        <v>2</v>
      </c>
      <c r="I616" s="43"/>
    </row>
    <row r="617" spans="1:9">
      <c r="A617" s="42" t="s">
        <v>907</v>
      </c>
      <c r="B617" s="9" t="s">
        <v>97</v>
      </c>
      <c r="C617" s="9" t="str">
        <f t="shared" si="9"/>
        <v>數位邏輯設計-電機一丙</v>
      </c>
      <c r="D617" s="9" t="s">
        <v>110</v>
      </c>
      <c r="E617" s="9" t="s">
        <v>111</v>
      </c>
      <c r="F617" s="10">
        <v>35</v>
      </c>
      <c r="G617" s="10" t="s">
        <v>11</v>
      </c>
      <c r="H617" s="10">
        <v>2</v>
      </c>
      <c r="I617" s="43"/>
    </row>
    <row r="618" spans="1:9">
      <c r="A618" s="42" t="s">
        <v>907</v>
      </c>
      <c r="B618" s="9" t="s">
        <v>97</v>
      </c>
      <c r="C618" s="9" t="str">
        <f t="shared" si="9"/>
        <v>數位邏輯設計-電機一丙</v>
      </c>
      <c r="D618" s="9" t="s">
        <v>630</v>
      </c>
      <c r="E618" s="9" t="s">
        <v>631</v>
      </c>
      <c r="F618" s="10">
        <v>45</v>
      </c>
      <c r="G618" s="10" t="s">
        <v>11</v>
      </c>
      <c r="H618" s="10">
        <v>2</v>
      </c>
      <c r="I618" s="43"/>
    </row>
    <row r="619" spans="1:9">
      <c r="A619" s="42" t="s">
        <v>907</v>
      </c>
      <c r="B619" s="9" t="s">
        <v>97</v>
      </c>
      <c r="C619" s="9" t="str">
        <f t="shared" si="9"/>
        <v>數位邏輯設計-電機一丙</v>
      </c>
      <c r="D619" s="9" t="s">
        <v>908</v>
      </c>
      <c r="E619" s="9" t="s">
        <v>909</v>
      </c>
      <c r="F619" s="10">
        <v>54</v>
      </c>
      <c r="G619" s="10" t="s">
        <v>11</v>
      </c>
      <c r="H619" s="10">
        <v>2</v>
      </c>
      <c r="I619" s="43"/>
    </row>
    <row r="620" spans="1:9">
      <c r="A620" s="42" t="s">
        <v>907</v>
      </c>
      <c r="B620" s="9" t="s">
        <v>97</v>
      </c>
      <c r="C620" s="9" t="str">
        <f t="shared" si="9"/>
        <v>數位邏輯設計-電機一丙</v>
      </c>
      <c r="D620" s="9" t="s">
        <v>896</v>
      </c>
      <c r="E620" s="9" t="s">
        <v>897</v>
      </c>
      <c r="F620" s="10">
        <v>38</v>
      </c>
      <c r="G620" s="10" t="s">
        <v>11</v>
      </c>
      <c r="H620" s="10">
        <v>2</v>
      </c>
      <c r="I620" s="43"/>
    </row>
    <row r="621" spans="1:9">
      <c r="A621" s="42" t="s">
        <v>907</v>
      </c>
      <c r="B621" s="9" t="s">
        <v>44</v>
      </c>
      <c r="C621" s="9" t="str">
        <f t="shared" si="9"/>
        <v>數位邏輯設計-電機一甲</v>
      </c>
      <c r="D621" s="9" t="s">
        <v>608</v>
      </c>
      <c r="E621" s="9" t="s">
        <v>609</v>
      </c>
      <c r="F621" s="10">
        <v>40</v>
      </c>
      <c r="G621" s="10" t="s">
        <v>11</v>
      </c>
      <c r="H621" s="10">
        <v>2</v>
      </c>
      <c r="I621" s="43"/>
    </row>
    <row r="622" spans="1:9">
      <c r="A622" s="42" t="s">
        <v>907</v>
      </c>
      <c r="B622" s="9" t="s">
        <v>44</v>
      </c>
      <c r="C622" s="9" t="str">
        <f t="shared" si="9"/>
        <v>數位邏輯設計-電機一甲</v>
      </c>
      <c r="D622" s="9" t="s">
        <v>610</v>
      </c>
      <c r="E622" s="9" t="s">
        <v>611</v>
      </c>
      <c r="F622" s="10">
        <v>40</v>
      </c>
      <c r="G622" s="10" t="s">
        <v>11</v>
      </c>
      <c r="H622" s="10">
        <v>2</v>
      </c>
      <c r="I622" s="43"/>
    </row>
    <row r="623" spans="1:9">
      <c r="A623" s="42" t="s">
        <v>907</v>
      </c>
      <c r="B623" s="9" t="s">
        <v>44</v>
      </c>
      <c r="C623" s="9" t="str">
        <f t="shared" si="9"/>
        <v>數位邏輯設計-電機一甲</v>
      </c>
      <c r="D623" s="9" t="s">
        <v>51</v>
      </c>
      <c r="E623" s="9" t="s">
        <v>52</v>
      </c>
      <c r="F623" s="10">
        <v>41</v>
      </c>
      <c r="G623" s="10" t="s">
        <v>11</v>
      </c>
      <c r="H623" s="10">
        <v>2</v>
      </c>
      <c r="I623" s="43"/>
    </row>
    <row r="624" spans="1:9">
      <c r="A624" s="42" t="s">
        <v>907</v>
      </c>
      <c r="B624" s="9" t="s">
        <v>44</v>
      </c>
      <c r="C624" s="9" t="str">
        <f t="shared" si="9"/>
        <v>數位邏輯設計-電機一甲</v>
      </c>
      <c r="D624" s="9" t="s">
        <v>910</v>
      </c>
      <c r="E624" s="9" t="s">
        <v>911</v>
      </c>
      <c r="F624" s="10">
        <v>40</v>
      </c>
      <c r="G624" s="10" t="s">
        <v>11</v>
      </c>
      <c r="H624" s="10">
        <v>2</v>
      </c>
      <c r="I624" s="43"/>
    </row>
    <row r="625" spans="1:9">
      <c r="A625" s="42" t="s">
        <v>907</v>
      </c>
      <c r="B625" s="9" t="s">
        <v>44</v>
      </c>
      <c r="C625" s="9" t="str">
        <f t="shared" si="9"/>
        <v>數位邏輯設計-電機一甲</v>
      </c>
      <c r="D625" s="9" t="s">
        <v>681</v>
      </c>
      <c r="E625" s="9" t="s">
        <v>682</v>
      </c>
      <c r="F625" s="10">
        <v>40</v>
      </c>
      <c r="G625" s="10" t="s">
        <v>11</v>
      </c>
      <c r="H625" s="10">
        <v>2</v>
      </c>
      <c r="I625" s="43"/>
    </row>
    <row r="626" spans="1:9">
      <c r="A626" s="42" t="s">
        <v>907</v>
      </c>
      <c r="B626" s="9" t="s">
        <v>44</v>
      </c>
      <c r="C626" s="9" t="str">
        <f t="shared" si="9"/>
        <v>數位邏輯設計-電機一甲</v>
      </c>
      <c r="D626" s="9" t="s">
        <v>61</v>
      </c>
      <c r="E626" s="9" t="s">
        <v>62</v>
      </c>
      <c r="F626" s="10">
        <v>40</v>
      </c>
      <c r="G626" s="10" t="s">
        <v>11</v>
      </c>
      <c r="H626" s="10">
        <v>2</v>
      </c>
      <c r="I626" s="43"/>
    </row>
    <row r="627" spans="1:9">
      <c r="A627" s="42" t="s">
        <v>636</v>
      </c>
      <c r="B627" s="9" t="s">
        <v>174</v>
      </c>
      <c r="C627" s="9" t="str">
        <f t="shared" si="9"/>
        <v>數學-汽車一乙</v>
      </c>
      <c r="D627" s="9" t="s">
        <v>177</v>
      </c>
      <c r="E627" s="9" t="s">
        <v>178</v>
      </c>
      <c r="F627" s="10">
        <v>50</v>
      </c>
      <c r="G627" s="10" t="s">
        <v>11</v>
      </c>
      <c r="H627" s="10">
        <v>4</v>
      </c>
      <c r="I627" s="43"/>
    </row>
    <row r="628" spans="1:9">
      <c r="A628" s="42" t="s">
        <v>636</v>
      </c>
      <c r="B628" s="9" t="s">
        <v>174</v>
      </c>
      <c r="C628" s="9" t="str">
        <f t="shared" si="9"/>
        <v>數學-汽車一乙</v>
      </c>
      <c r="D628" s="9" t="s">
        <v>495</v>
      </c>
      <c r="E628" s="9" t="s">
        <v>496</v>
      </c>
      <c r="F628" s="10">
        <v>50</v>
      </c>
      <c r="G628" s="10" t="s">
        <v>11</v>
      </c>
      <c r="H628" s="10">
        <v>4</v>
      </c>
      <c r="I628" s="43"/>
    </row>
    <row r="629" spans="1:9">
      <c r="A629" s="42" t="s">
        <v>636</v>
      </c>
      <c r="B629" s="9" t="s">
        <v>174</v>
      </c>
      <c r="C629" s="9" t="str">
        <f t="shared" si="9"/>
        <v>數學-汽車一乙</v>
      </c>
      <c r="D629" s="9" t="s">
        <v>679</v>
      </c>
      <c r="E629" s="9" t="s">
        <v>680</v>
      </c>
      <c r="F629" s="10">
        <v>52</v>
      </c>
      <c r="G629" s="10" t="s">
        <v>11</v>
      </c>
      <c r="H629" s="10">
        <v>4</v>
      </c>
      <c r="I629" s="43"/>
    </row>
    <row r="630" spans="1:9">
      <c r="A630" s="42" t="s">
        <v>636</v>
      </c>
      <c r="B630" s="9" t="s">
        <v>174</v>
      </c>
      <c r="C630" s="9" t="str">
        <f t="shared" si="9"/>
        <v>數學-汽車一乙</v>
      </c>
      <c r="D630" s="9" t="s">
        <v>189</v>
      </c>
      <c r="E630" s="9" t="s">
        <v>190</v>
      </c>
      <c r="F630" s="10">
        <v>51</v>
      </c>
      <c r="G630" s="10" t="s">
        <v>11</v>
      </c>
      <c r="H630" s="10">
        <v>4</v>
      </c>
      <c r="I630" s="43"/>
    </row>
    <row r="631" spans="1:9">
      <c r="A631" s="42" t="s">
        <v>636</v>
      </c>
      <c r="B631" s="9" t="s">
        <v>174</v>
      </c>
      <c r="C631" s="9" t="str">
        <f t="shared" si="9"/>
        <v>數學-汽車一乙</v>
      </c>
      <c r="D631" s="9" t="s">
        <v>191</v>
      </c>
      <c r="E631" s="9" t="s">
        <v>151</v>
      </c>
      <c r="F631" s="10">
        <v>50</v>
      </c>
      <c r="G631" s="10" t="s">
        <v>11</v>
      </c>
      <c r="H631" s="10">
        <v>4</v>
      </c>
      <c r="I631" s="43"/>
    </row>
    <row r="632" spans="1:9">
      <c r="A632" s="42" t="s">
        <v>636</v>
      </c>
      <c r="B632" s="9" t="s">
        <v>174</v>
      </c>
      <c r="C632" s="9" t="str">
        <f t="shared" si="9"/>
        <v>數學-汽車一乙</v>
      </c>
      <c r="D632" s="9" t="s">
        <v>505</v>
      </c>
      <c r="E632" s="9" t="s">
        <v>506</v>
      </c>
      <c r="F632" s="10">
        <v>40</v>
      </c>
      <c r="G632" s="10" t="s">
        <v>11</v>
      </c>
      <c r="H632" s="10">
        <v>4</v>
      </c>
      <c r="I632" s="43"/>
    </row>
    <row r="633" spans="1:9">
      <c r="A633" s="42" t="s">
        <v>636</v>
      </c>
      <c r="B633" s="9" t="s">
        <v>279</v>
      </c>
      <c r="C633" s="9" t="str">
        <f t="shared" si="9"/>
        <v>數學-汽車一甲</v>
      </c>
      <c r="D633" s="9" t="s">
        <v>280</v>
      </c>
      <c r="E633" s="9" t="s">
        <v>281</v>
      </c>
      <c r="F633" s="10">
        <v>47</v>
      </c>
      <c r="G633" s="10" t="s">
        <v>11</v>
      </c>
      <c r="H633" s="10">
        <v>4</v>
      </c>
      <c r="I633" s="43"/>
    </row>
    <row r="634" spans="1:9">
      <c r="A634" s="42" t="s">
        <v>636</v>
      </c>
      <c r="B634" s="9" t="s">
        <v>279</v>
      </c>
      <c r="C634" s="9" t="str">
        <f t="shared" si="9"/>
        <v>數學-汽車一甲</v>
      </c>
      <c r="D634" s="9" t="s">
        <v>353</v>
      </c>
      <c r="E634" s="9" t="s">
        <v>354</v>
      </c>
      <c r="F634" s="10">
        <v>50</v>
      </c>
      <c r="G634" s="10" t="s">
        <v>11</v>
      </c>
      <c r="H634" s="10">
        <v>4</v>
      </c>
      <c r="I634" s="43"/>
    </row>
    <row r="635" spans="1:9">
      <c r="A635" s="42" t="s">
        <v>636</v>
      </c>
      <c r="B635" s="9" t="s">
        <v>279</v>
      </c>
      <c r="C635" s="9" t="str">
        <f t="shared" si="9"/>
        <v>數學-汽車一甲</v>
      </c>
      <c r="D635" s="9" t="s">
        <v>286</v>
      </c>
      <c r="E635" s="9" t="s">
        <v>287</v>
      </c>
      <c r="F635" s="10">
        <v>48</v>
      </c>
      <c r="G635" s="10" t="s">
        <v>11</v>
      </c>
      <c r="H635" s="10">
        <v>4</v>
      </c>
      <c r="I635" s="43"/>
    </row>
    <row r="636" spans="1:9">
      <c r="A636" s="42" t="s">
        <v>636</v>
      </c>
      <c r="B636" s="9" t="s">
        <v>279</v>
      </c>
      <c r="C636" s="9" t="str">
        <f t="shared" si="9"/>
        <v>數學-汽車一甲</v>
      </c>
      <c r="D636" s="9" t="s">
        <v>357</v>
      </c>
      <c r="E636" s="9" t="s">
        <v>358</v>
      </c>
      <c r="F636" s="10">
        <v>40</v>
      </c>
      <c r="G636" s="10" t="s">
        <v>11</v>
      </c>
      <c r="H636" s="10">
        <v>4</v>
      </c>
      <c r="I636" s="43"/>
    </row>
    <row r="637" spans="1:9">
      <c r="A637" s="42" t="s">
        <v>636</v>
      </c>
      <c r="B637" s="9" t="s">
        <v>279</v>
      </c>
      <c r="C637" s="9" t="str">
        <f t="shared" si="9"/>
        <v>數學-汽車一甲</v>
      </c>
      <c r="D637" s="9" t="s">
        <v>687</v>
      </c>
      <c r="E637" s="9" t="s">
        <v>688</v>
      </c>
      <c r="F637" s="10">
        <v>47</v>
      </c>
      <c r="G637" s="10" t="s">
        <v>11</v>
      </c>
      <c r="H637" s="10">
        <v>4</v>
      </c>
      <c r="I637" s="43"/>
    </row>
    <row r="638" spans="1:9">
      <c r="A638" s="42" t="s">
        <v>636</v>
      </c>
      <c r="B638" s="9" t="s">
        <v>279</v>
      </c>
      <c r="C638" s="9" t="str">
        <f t="shared" si="9"/>
        <v>數學-汽車一甲</v>
      </c>
      <c r="D638" s="9" t="s">
        <v>361</v>
      </c>
      <c r="E638" s="9" t="s">
        <v>362</v>
      </c>
      <c r="F638" s="10">
        <v>40</v>
      </c>
      <c r="G638" s="10" t="s">
        <v>11</v>
      </c>
      <c r="H638" s="10">
        <v>4</v>
      </c>
      <c r="I638" s="43"/>
    </row>
    <row r="639" spans="1:9">
      <c r="A639" s="42" t="s">
        <v>636</v>
      </c>
      <c r="B639" s="9" t="s">
        <v>279</v>
      </c>
      <c r="C639" s="9" t="str">
        <f t="shared" si="9"/>
        <v>數學-汽車一甲</v>
      </c>
      <c r="D639" s="9" t="s">
        <v>584</v>
      </c>
      <c r="E639" s="9" t="s">
        <v>585</v>
      </c>
      <c r="F639" s="10">
        <v>40</v>
      </c>
      <c r="G639" s="10" t="s">
        <v>11</v>
      </c>
      <c r="H639" s="10">
        <v>4</v>
      </c>
      <c r="I639" s="43"/>
    </row>
    <row r="640" spans="1:9">
      <c r="A640" s="42" t="s">
        <v>636</v>
      </c>
      <c r="B640" s="9" t="s">
        <v>65</v>
      </c>
      <c r="C640" s="9" t="str">
        <f t="shared" si="9"/>
        <v>數學-資訊一甲</v>
      </c>
      <c r="D640" s="9" t="s">
        <v>72</v>
      </c>
      <c r="E640" s="9" t="s">
        <v>73</v>
      </c>
      <c r="F640" s="10">
        <v>54</v>
      </c>
      <c r="G640" s="10" t="s">
        <v>11</v>
      </c>
      <c r="H640" s="10">
        <v>4</v>
      </c>
      <c r="I640" s="43"/>
    </row>
    <row r="641" spans="1:9">
      <c r="A641" s="42" t="s">
        <v>636</v>
      </c>
      <c r="B641" s="9" t="s">
        <v>65</v>
      </c>
      <c r="C641" s="9" t="str">
        <f t="shared" si="9"/>
        <v>數學-資訊一甲</v>
      </c>
      <c r="D641" s="9" t="s">
        <v>74</v>
      </c>
      <c r="E641" s="9" t="s">
        <v>75</v>
      </c>
      <c r="F641" s="10">
        <v>48</v>
      </c>
      <c r="G641" s="10" t="s">
        <v>11</v>
      </c>
      <c r="H641" s="10">
        <v>4</v>
      </c>
      <c r="I641" s="43"/>
    </row>
    <row r="642" spans="1:9">
      <c r="A642" s="42" t="s">
        <v>636</v>
      </c>
      <c r="B642" s="9" t="s">
        <v>65</v>
      </c>
      <c r="C642" s="9" t="str">
        <f t="shared" si="9"/>
        <v>數學-資訊一甲</v>
      </c>
      <c r="D642" s="9" t="s">
        <v>689</v>
      </c>
      <c r="E642" s="9" t="s">
        <v>690</v>
      </c>
      <c r="F642" s="10">
        <v>54</v>
      </c>
      <c r="G642" s="10" t="s">
        <v>11</v>
      </c>
      <c r="H642" s="10">
        <v>4</v>
      </c>
      <c r="I642" s="43"/>
    </row>
    <row r="643" spans="1:9">
      <c r="A643" s="42" t="s">
        <v>636</v>
      </c>
      <c r="B643" s="9" t="s">
        <v>65</v>
      </c>
      <c r="C643" s="9" t="str">
        <f t="shared" ref="C643:C706" si="10">A643&amp;"-"&amp;B643</f>
        <v>數學-資訊一甲</v>
      </c>
      <c r="D643" s="9" t="s">
        <v>691</v>
      </c>
      <c r="E643" s="9" t="s">
        <v>692</v>
      </c>
      <c r="F643" s="10">
        <v>57</v>
      </c>
      <c r="G643" s="10" t="s">
        <v>11</v>
      </c>
      <c r="H643" s="10">
        <v>4</v>
      </c>
      <c r="I643" s="43"/>
    </row>
    <row r="644" spans="1:9">
      <c r="A644" s="42" t="s">
        <v>636</v>
      </c>
      <c r="B644" s="9" t="s">
        <v>65</v>
      </c>
      <c r="C644" s="9" t="str">
        <f t="shared" si="10"/>
        <v>數學-資訊一甲</v>
      </c>
      <c r="D644" s="9" t="s">
        <v>78</v>
      </c>
      <c r="E644" s="9" t="s">
        <v>79</v>
      </c>
      <c r="F644" s="10">
        <v>53</v>
      </c>
      <c r="G644" s="10" t="s">
        <v>11</v>
      </c>
      <c r="H644" s="10">
        <v>4</v>
      </c>
      <c r="I644" s="43"/>
    </row>
    <row r="645" spans="1:9">
      <c r="A645" s="42" t="s">
        <v>636</v>
      </c>
      <c r="B645" s="9" t="s">
        <v>65</v>
      </c>
      <c r="C645" s="9" t="str">
        <f t="shared" si="10"/>
        <v>數學-資訊一甲</v>
      </c>
      <c r="D645" s="9" t="s">
        <v>80</v>
      </c>
      <c r="E645" s="9" t="s">
        <v>81</v>
      </c>
      <c r="F645" s="10">
        <v>55</v>
      </c>
      <c r="G645" s="10" t="s">
        <v>11</v>
      </c>
      <c r="H645" s="10">
        <v>4</v>
      </c>
      <c r="I645" s="43"/>
    </row>
    <row r="646" spans="1:9">
      <c r="A646" s="48" t="s">
        <v>1887</v>
      </c>
      <c r="B646" s="9" t="s">
        <v>335</v>
      </c>
      <c r="C646" s="9" t="str">
        <f t="shared" si="10"/>
        <v>數學2-資處一乙</v>
      </c>
      <c r="D646" s="9" t="s">
        <v>387</v>
      </c>
      <c r="E646" s="9" t="s">
        <v>388</v>
      </c>
      <c r="F646" s="10">
        <v>53</v>
      </c>
      <c r="G646" s="10" t="s">
        <v>11</v>
      </c>
      <c r="H646" s="10">
        <v>3</v>
      </c>
      <c r="I646" s="43"/>
    </row>
    <row r="647" spans="1:9">
      <c r="A647" s="48" t="s">
        <v>1887</v>
      </c>
      <c r="B647" s="9" t="s">
        <v>335</v>
      </c>
      <c r="C647" s="9" t="str">
        <f t="shared" si="10"/>
        <v>數學2-資處一乙</v>
      </c>
      <c r="D647" s="9" t="s">
        <v>391</v>
      </c>
      <c r="E647" s="9" t="s">
        <v>392</v>
      </c>
      <c r="F647" s="10">
        <v>40</v>
      </c>
      <c r="G647" s="10" t="s">
        <v>11</v>
      </c>
      <c r="H647" s="10">
        <v>3</v>
      </c>
      <c r="I647" s="43"/>
    </row>
    <row r="648" spans="1:9">
      <c r="A648" s="48" t="s">
        <v>1887</v>
      </c>
      <c r="B648" s="9" t="s">
        <v>335</v>
      </c>
      <c r="C648" s="9" t="str">
        <f t="shared" si="10"/>
        <v>數學2-資處一乙</v>
      </c>
      <c r="D648" s="9" t="s">
        <v>393</v>
      </c>
      <c r="E648" s="9" t="s">
        <v>394</v>
      </c>
      <c r="F648" s="10">
        <v>42</v>
      </c>
      <c r="G648" s="10" t="s">
        <v>11</v>
      </c>
      <c r="H648" s="10">
        <v>3</v>
      </c>
      <c r="I648" s="43"/>
    </row>
    <row r="649" spans="1:9">
      <c r="A649" s="48" t="s">
        <v>1887</v>
      </c>
      <c r="B649" s="9" t="s">
        <v>335</v>
      </c>
      <c r="C649" s="9" t="str">
        <f t="shared" si="10"/>
        <v>數學2-資處一乙</v>
      </c>
      <c r="D649" s="9" t="s">
        <v>397</v>
      </c>
      <c r="E649" s="9" t="s">
        <v>398</v>
      </c>
      <c r="F649" s="10">
        <v>53</v>
      </c>
      <c r="G649" s="10" t="s">
        <v>11</v>
      </c>
      <c r="H649" s="10">
        <v>3</v>
      </c>
      <c r="I649" s="43"/>
    </row>
    <row r="650" spans="1:9">
      <c r="A650" s="48" t="s">
        <v>1887</v>
      </c>
      <c r="B650" s="9" t="s">
        <v>335</v>
      </c>
      <c r="C650" s="9" t="str">
        <f t="shared" si="10"/>
        <v>數學2-資處一乙</v>
      </c>
      <c r="D650" s="9" t="s">
        <v>659</v>
      </c>
      <c r="E650" s="9" t="s">
        <v>660</v>
      </c>
      <c r="F650" s="10">
        <v>42</v>
      </c>
      <c r="G650" s="10" t="s">
        <v>11</v>
      </c>
      <c r="H650" s="10">
        <v>3</v>
      </c>
      <c r="I650" s="43"/>
    </row>
    <row r="651" spans="1:9">
      <c r="A651" s="48" t="s">
        <v>1887</v>
      </c>
      <c r="B651" s="9" t="s">
        <v>335</v>
      </c>
      <c r="C651" s="9" t="str">
        <f t="shared" si="10"/>
        <v>數學2-資處一乙</v>
      </c>
      <c r="D651" s="9" t="s">
        <v>661</v>
      </c>
      <c r="E651" s="9" t="s">
        <v>662</v>
      </c>
      <c r="F651" s="10">
        <v>59</v>
      </c>
      <c r="G651" s="10" t="s">
        <v>11</v>
      </c>
      <c r="H651" s="10">
        <v>3</v>
      </c>
      <c r="I651" s="43"/>
    </row>
    <row r="652" spans="1:9">
      <c r="A652" s="48" t="s">
        <v>1887</v>
      </c>
      <c r="B652" s="9" t="s">
        <v>335</v>
      </c>
      <c r="C652" s="9" t="str">
        <f t="shared" si="10"/>
        <v>數學2-資處一乙</v>
      </c>
      <c r="D652" s="9" t="s">
        <v>401</v>
      </c>
      <c r="E652" s="9" t="s">
        <v>402</v>
      </c>
      <c r="F652" s="10">
        <v>49</v>
      </c>
      <c r="G652" s="10" t="s">
        <v>11</v>
      </c>
      <c r="H652" s="10">
        <v>3</v>
      </c>
      <c r="I652" s="43"/>
    </row>
    <row r="653" spans="1:9">
      <c r="A653" s="48" t="s">
        <v>1887</v>
      </c>
      <c r="B653" s="9" t="s">
        <v>335</v>
      </c>
      <c r="C653" s="9" t="str">
        <f t="shared" si="10"/>
        <v>數學2-資處一乙</v>
      </c>
      <c r="D653" s="9" t="s">
        <v>663</v>
      </c>
      <c r="E653" s="9" t="s">
        <v>664</v>
      </c>
      <c r="F653" s="10">
        <v>41</v>
      </c>
      <c r="G653" s="10" t="s">
        <v>11</v>
      </c>
      <c r="H653" s="10">
        <v>3</v>
      </c>
      <c r="I653" s="43"/>
    </row>
    <row r="654" spans="1:9">
      <c r="A654" s="48" t="s">
        <v>1887</v>
      </c>
      <c r="B654" s="9" t="s">
        <v>335</v>
      </c>
      <c r="C654" s="9" t="str">
        <f t="shared" si="10"/>
        <v>數學2-資處一乙</v>
      </c>
      <c r="D654" s="9" t="s">
        <v>665</v>
      </c>
      <c r="E654" s="9" t="s">
        <v>666</v>
      </c>
      <c r="F654" s="10">
        <v>45</v>
      </c>
      <c r="G654" s="10" t="s">
        <v>11</v>
      </c>
      <c r="H654" s="10">
        <v>3</v>
      </c>
      <c r="I654" s="43"/>
    </row>
    <row r="655" spans="1:9">
      <c r="A655" s="48" t="s">
        <v>1887</v>
      </c>
      <c r="B655" s="9" t="s">
        <v>335</v>
      </c>
      <c r="C655" s="9" t="str">
        <f t="shared" si="10"/>
        <v>數學2-資處一乙</v>
      </c>
      <c r="D655" s="9" t="s">
        <v>403</v>
      </c>
      <c r="E655" s="9" t="s">
        <v>404</v>
      </c>
      <c r="F655" s="10">
        <v>40</v>
      </c>
      <c r="G655" s="10" t="s">
        <v>11</v>
      </c>
      <c r="H655" s="10">
        <v>3</v>
      </c>
      <c r="I655" s="43"/>
    </row>
    <row r="656" spans="1:9">
      <c r="A656" s="48" t="s">
        <v>1887</v>
      </c>
      <c r="B656" s="9" t="s">
        <v>335</v>
      </c>
      <c r="C656" s="9" t="str">
        <f t="shared" si="10"/>
        <v>數學2-資處一乙</v>
      </c>
      <c r="D656" s="9" t="s">
        <v>405</v>
      </c>
      <c r="E656" s="9" t="s">
        <v>406</v>
      </c>
      <c r="F656" s="10">
        <v>40</v>
      </c>
      <c r="G656" s="10" t="s">
        <v>11</v>
      </c>
      <c r="H656" s="10">
        <v>3</v>
      </c>
      <c r="I656" s="43"/>
    </row>
    <row r="657" spans="1:9">
      <c r="A657" s="48" t="s">
        <v>1887</v>
      </c>
      <c r="B657" s="9" t="s">
        <v>234</v>
      </c>
      <c r="C657" s="9" t="str">
        <f t="shared" si="10"/>
        <v>數學2-資處一甲</v>
      </c>
      <c r="D657" s="9" t="s">
        <v>643</v>
      </c>
      <c r="E657" s="9" t="s">
        <v>644</v>
      </c>
      <c r="F657" s="10">
        <v>51</v>
      </c>
      <c r="G657" s="10" t="s">
        <v>11</v>
      </c>
      <c r="H657" s="10">
        <v>3</v>
      </c>
      <c r="I657" s="43"/>
    </row>
    <row r="658" spans="1:9">
      <c r="A658" s="48" t="s">
        <v>1887</v>
      </c>
      <c r="B658" s="9" t="s">
        <v>234</v>
      </c>
      <c r="C658" s="9" t="str">
        <f t="shared" si="10"/>
        <v>數學2-資處一甲</v>
      </c>
      <c r="D658" s="9" t="s">
        <v>645</v>
      </c>
      <c r="E658" s="9" t="s">
        <v>646</v>
      </c>
      <c r="F658" s="10">
        <v>58</v>
      </c>
      <c r="G658" s="10" t="s">
        <v>11</v>
      </c>
      <c r="H658" s="10">
        <v>3</v>
      </c>
      <c r="I658" s="43"/>
    </row>
    <row r="659" spans="1:9">
      <c r="A659" s="48" t="s">
        <v>1887</v>
      </c>
      <c r="B659" s="9" t="s">
        <v>234</v>
      </c>
      <c r="C659" s="9" t="str">
        <f t="shared" si="10"/>
        <v>數學2-資處一甲</v>
      </c>
      <c r="D659" s="9" t="s">
        <v>647</v>
      </c>
      <c r="E659" s="9" t="s">
        <v>648</v>
      </c>
      <c r="F659" s="10">
        <v>42</v>
      </c>
      <c r="G659" s="10" t="s">
        <v>11</v>
      </c>
      <c r="H659" s="10">
        <v>3</v>
      </c>
      <c r="I659" s="43"/>
    </row>
    <row r="660" spans="1:9">
      <c r="A660" s="48" t="s">
        <v>1887</v>
      </c>
      <c r="B660" s="9" t="s">
        <v>234</v>
      </c>
      <c r="C660" s="9" t="str">
        <f t="shared" si="10"/>
        <v>數學2-資處一甲</v>
      </c>
      <c r="D660" s="9" t="s">
        <v>649</v>
      </c>
      <c r="E660" s="9" t="s">
        <v>650</v>
      </c>
      <c r="F660" s="10">
        <v>57</v>
      </c>
      <c r="G660" s="10" t="s">
        <v>11</v>
      </c>
      <c r="H660" s="10">
        <v>3</v>
      </c>
      <c r="I660" s="43"/>
    </row>
    <row r="661" spans="1:9">
      <c r="A661" s="48" t="s">
        <v>1887</v>
      </c>
      <c r="B661" s="9" t="s">
        <v>234</v>
      </c>
      <c r="C661" s="9" t="str">
        <f t="shared" si="10"/>
        <v>數學2-資處一甲</v>
      </c>
      <c r="D661" s="9" t="s">
        <v>651</v>
      </c>
      <c r="E661" s="9" t="s">
        <v>652</v>
      </c>
      <c r="F661" s="10">
        <v>58</v>
      </c>
      <c r="G661" s="10" t="s">
        <v>11</v>
      </c>
      <c r="H661" s="10">
        <v>3</v>
      </c>
      <c r="I661" s="43"/>
    </row>
    <row r="662" spans="1:9">
      <c r="A662" s="48" t="s">
        <v>1887</v>
      </c>
      <c r="B662" s="9" t="s">
        <v>234</v>
      </c>
      <c r="C662" s="9" t="str">
        <f t="shared" si="10"/>
        <v>數學2-資處一甲</v>
      </c>
      <c r="D662" s="9" t="s">
        <v>235</v>
      </c>
      <c r="E662" s="9" t="s">
        <v>236</v>
      </c>
      <c r="F662" s="10">
        <v>53</v>
      </c>
      <c r="G662" s="10" t="s">
        <v>11</v>
      </c>
      <c r="H662" s="10">
        <v>3</v>
      </c>
      <c r="I662" s="43"/>
    </row>
    <row r="663" spans="1:9">
      <c r="A663" s="48" t="s">
        <v>1887</v>
      </c>
      <c r="B663" s="9" t="s">
        <v>234</v>
      </c>
      <c r="C663" s="9" t="str">
        <f t="shared" si="10"/>
        <v>數學2-資處一甲</v>
      </c>
      <c r="D663" s="9" t="s">
        <v>653</v>
      </c>
      <c r="E663" s="9" t="s">
        <v>654</v>
      </c>
      <c r="F663" s="10">
        <v>56</v>
      </c>
      <c r="G663" s="10" t="s">
        <v>11</v>
      </c>
      <c r="H663" s="10">
        <v>3</v>
      </c>
      <c r="I663" s="43"/>
    </row>
    <row r="664" spans="1:9">
      <c r="A664" s="48" t="s">
        <v>1887</v>
      </c>
      <c r="B664" s="9" t="s">
        <v>234</v>
      </c>
      <c r="C664" s="9" t="str">
        <f t="shared" si="10"/>
        <v>數學2-資處一甲</v>
      </c>
      <c r="D664" s="9" t="s">
        <v>655</v>
      </c>
      <c r="E664" s="9" t="s">
        <v>656</v>
      </c>
      <c r="F664" s="10">
        <v>47</v>
      </c>
      <c r="G664" s="10" t="s">
        <v>11</v>
      </c>
      <c r="H664" s="10">
        <v>3</v>
      </c>
      <c r="I664" s="43"/>
    </row>
    <row r="665" spans="1:9">
      <c r="A665" s="48" t="s">
        <v>1887</v>
      </c>
      <c r="B665" s="9" t="s">
        <v>234</v>
      </c>
      <c r="C665" s="9" t="str">
        <f t="shared" si="10"/>
        <v>數學2-資處一甲</v>
      </c>
      <c r="D665" s="9" t="s">
        <v>657</v>
      </c>
      <c r="E665" s="9" t="s">
        <v>658</v>
      </c>
      <c r="F665" s="10">
        <v>44</v>
      </c>
      <c r="G665" s="10" t="s">
        <v>11</v>
      </c>
      <c r="H665" s="10">
        <v>3</v>
      </c>
      <c r="I665" s="43"/>
    </row>
    <row r="666" spans="1:9">
      <c r="A666" s="42" t="s">
        <v>636</v>
      </c>
      <c r="B666" s="9" t="s">
        <v>158</v>
      </c>
      <c r="C666" s="9" t="str">
        <f t="shared" si="10"/>
        <v>數學-電機一乙</v>
      </c>
      <c r="D666" s="9" t="s">
        <v>637</v>
      </c>
      <c r="E666" s="9" t="s">
        <v>638</v>
      </c>
      <c r="F666" s="10">
        <v>45</v>
      </c>
      <c r="G666" s="10" t="s">
        <v>11</v>
      </c>
      <c r="H666" s="10">
        <v>4</v>
      </c>
      <c r="I666" s="43"/>
    </row>
    <row r="667" spans="1:9">
      <c r="A667" s="42" t="s">
        <v>636</v>
      </c>
      <c r="B667" s="9" t="s">
        <v>158</v>
      </c>
      <c r="C667" s="9" t="str">
        <f t="shared" si="10"/>
        <v>數學-電機一乙</v>
      </c>
      <c r="D667" s="9" t="s">
        <v>639</v>
      </c>
      <c r="E667" s="9" t="s">
        <v>640</v>
      </c>
      <c r="F667" s="10">
        <v>40</v>
      </c>
      <c r="G667" s="10" t="s">
        <v>11</v>
      </c>
      <c r="H667" s="10">
        <v>4</v>
      </c>
      <c r="I667" s="43"/>
    </row>
    <row r="668" spans="1:9">
      <c r="A668" s="42" t="s">
        <v>636</v>
      </c>
      <c r="B668" s="9" t="s">
        <v>158</v>
      </c>
      <c r="C668" s="9" t="str">
        <f t="shared" si="10"/>
        <v>數學-電機一乙</v>
      </c>
      <c r="D668" s="9" t="s">
        <v>641</v>
      </c>
      <c r="E668" s="9" t="s">
        <v>642</v>
      </c>
      <c r="F668" s="10">
        <v>40</v>
      </c>
      <c r="G668" s="10" t="s">
        <v>11</v>
      </c>
      <c r="H668" s="10">
        <v>4</v>
      </c>
      <c r="I668" s="43"/>
    </row>
    <row r="669" spans="1:9">
      <c r="A669" s="42" t="s">
        <v>636</v>
      </c>
      <c r="B669" s="9" t="s">
        <v>158</v>
      </c>
      <c r="C669" s="9" t="str">
        <f t="shared" si="10"/>
        <v>數學-電機一乙</v>
      </c>
      <c r="D669" s="9" t="s">
        <v>513</v>
      </c>
      <c r="E669" s="9" t="s">
        <v>514</v>
      </c>
      <c r="F669" s="10">
        <v>50</v>
      </c>
      <c r="G669" s="10" t="s">
        <v>11</v>
      </c>
      <c r="H669" s="10">
        <v>4</v>
      </c>
      <c r="I669" s="43"/>
    </row>
    <row r="670" spans="1:9">
      <c r="A670" s="42" t="s">
        <v>636</v>
      </c>
      <c r="B670" s="9" t="s">
        <v>97</v>
      </c>
      <c r="C670" s="9" t="str">
        <f t="shared" si="10"/>
        <v>數學-電機一丙</v>
      </c>
      <c r="D670" s="9" t="s">
        <v>110</v>
      </c>
      <c r="E670" s="9" t="s">
        <v>111</v>
      </c>
      <c r="F670" s="10">
        <v>38</v>
      </c>
      <c r="G670" s="10" t="s">
        <v>11</v>
      </c>
      <c r="H670" s="10">
        <v>4</v>
      </c>
      <c r="I670" s="43"/>
    </row>
    <row r="671" spans="1:9">
      <c r="A671" s="42" t="s">
        <v>636</v>
      </c>
      <c r="B671" s="9" t="s">
        <v>44</v>
      </c>
      <c r="C671" s="9" t="str">
        <f t="shared" si="10"/>
        <v>數學-電機一甲</v>
      </c>
      <c r="D671" s="9" t="s">
        <v>610</v>
      </c>
      <c r="E671" s="9" t="s">
        <v>611</v>
      </c>
      <c r="F671" s="10">
        <v>40</v>
      </c>
      <c r="G671" s="10" t="s">
        <v>11</v>
      </c>
      <c r="H671" s="10">
        <v>4</v>
      </c>
      <c r="I671" s="43"/>
    </row>
    <row r="672" spans="1:9">
      <c r="A672" s="42" t="s">
        <v>636</v>
      </c>
      <c r="B672" s="9" t="s">
        <v>44</v>
      </c>
      <c r="C672" s="9" t="str">
        <f t="shared" si="10"/>
        <v>數學-電機一甲</v>
      </c>
      <c r="D672" s="9" t="s">
        <v>51</v>
      </c>
      <c r="E672" s="9" t="s">
        <v>52</v>
      </c>
      <c r="F672" s="10">
        <v>40</v>
      </c>
      <c r="G672" s="10" t="s">
        <v>11</v>
      </c>
      <c r="H672" s="10">
        <v>4</v>
      </c>
      <c r="I672" s="43"/>
    </row>
    <row r="673" spans="1:9">
      <c r="A673" s="42" t="s">
        <v>636</v>
      </c>
      <c r="B673" s="9" t="s">
        <v>44</v>
      </c>
      <c r="C673" s="9" t="str">
        <f t="shared" si="10"/>
        <v>數學-電機一甲</v>
      </c>
      <c r="D673" s="9" t="s">
        <v>681</v>
      </c>
      <c r="E673" s="9" t="s">
        <v>682</v>
      </c>
      <c r="F673" s="10">
        <v>48</v>
      </c>
      <c r="G673" s="10" t="s">
        <v>11</v>
      </c>
      <c r="H673" s="10">
        <v>4</v>
      </c>
      <c r="I673" s="43"/>
    </row>
    <row r="674" spans="1:9">
      <c r="A674" s="42" t="s">
        <v>636</v>
      </c>
      <c r="B674" s="9" t="s">
        <v>44</v>
      </c>
      <c r="C674" s="9" t="str">
        <f t="shared" si="10"/>
        <v>數學-電機一甲</v>
      </c>
      <c r="D674" s="9" t="s">
        <v>683</v>
      </c>
      <c r="E674" s="9" t="s">
        <v>684</v>
      </c>
      <c r="F674" s="10">
        <v>52</v>
      </c>
      <c r="G674" s="10" t="s">
        <v>11</v>
      </c>
      <c r="H674" s="10">
        <v>4</v>
      </c>
      <c r="I674" s="43"/>
    </row>
    <row r="675" spans="1:9">
      <c r="A675" s="42" t="s">
        <v>636</v>
      </c>
      <c r="B675" s="9" t="s">
        <v>44</v>
      </c>
      <c r="C675" s="9" t="str">
        <f t="shared" si="10"/>
        <v>數學-電機一甲</v>
      </c>
      <c r="D675" s="9" t="s">
        <v>685</v>
      </c>
      <c r="E675" s="9" t="s">
        <v>686</v>
      </c>
      <c r="F675" s="10">
        <v>52</v>
      </c>
      <c r="G675" s="10" t="s">
        <v>11</v>
      </c>
      <c r="H675" s="10">
        <v>4</v>
      </c>
      <c r="I675" s="43"/>
    </row>
    <row r="676" spans="1:9">
      <c r="A676" s="42" t="s">
        <v>636</v>
      </c>
      <c r="B676" s="9" t="s">
        <v>44</v>
      </c>
      <c r="C676" s="9" t="str">
        <f t="shared" si="10"/>
        <v>數學-電機一甲</v>
      </c>
      <c r="D676" s="9" t="s">
        <v>59</v>
      </c>
      <c r="E676" s="9" t="s">
        <v>60</v>
      </c>
      <c r="F676" s="10">
        <v>47</v>
      </c>
      <c r="G676" s="10" t="s">
        <v>11</v>
      </c>
      <c r="H676" s="10">
        <v>4</v>
      </c>
      <c r="I676" s="43"/>
    </row>
    <row r="677" spans="1:9">
      <c r="A677" s="42" t="s">
        <v>636</v>
      </c>
      <c r="B677" s="9" t="s">
        <v>44</v>
      </c>
      <c r="C677" s="9" t="str">
        <f t="shared" si="10"/>
        <v>數學-電機一甲</v>
      </c>
      <c r="D677" s="9" t="s">
        <v>61</v>
      </c>
      <c r="E677" s="9" t="s">
        <v>62</v>
      </c>
      <c r="F677" s="10">
        <v>54</v>
      </c>
      <c r="G677" s="10" t="s">
        <v>11</v>
      </c>
      <c r="H677" s="10">
        <v>4</v>
      </c>
      <c r="I677" s="43"/>
    </row>
    <row r="678" spans="1:9">
      <c r="A678" s="42" t="s">
        <v>636</v>
      </c>
      <c r="B678" s="9" t="s">
        <v>44</v>
      </c>
      <c r="C678" s="9" t="str">
        <f t="shared" si="10"/>
        <v>數學-電機一甲</v>
      </c>
      <c r="D678" s="9" t="s">
        <v>63</v>
      </c>
      <c r="E678" s="9" t="s">
        <v>64</v>
      </c>
      <c r="F678" s="10">
        <v>53</v>
      </c>
      <c r="G678" s="10" t="s">
        <v>11</v>
      </c>
      <c r="H678" s="10">
        <v>4</v>
      </c>
      <c r="I678" s="43"/>
    </row>
    <row r="679" spans="1:9">
      <c r="A679" s="42" t="s">
        <v>636</v>
      </c>
      <c r="B679" s="9" t="s">
        <v>44</v>
      </c>
      <c r="C679" s="9" t="str">
        <f t="shared" si="10"/>
        <v>數學-電機一甲</v>
      </c>
      <c r="D679" s="9" t="s">
        <v>461</v>
      </c>
      <c r="E679" s="9" t="s">
        <v>462</v>
      </c>
      <c r="F679" s="10">
        <v>50</v>
      </c>
      <c r="G679" s="10" t="s">
        <v>11</v>
      </c>
      <c r="H679" s="10">
        <v>4</v>
      </c>
      <c r="I679" s="43"/>
    </row>
    <row r="680" spans="1:9">
      <c r="A680" s="42" t="s">
        <v>636</v>
      </c>
      <c r="B680" s="9" t="s">
        <v>217</v>
      </c>
      <c r="C680" s="9" t="str">
        <f t="shared" si="10"/>
        <v>數學-製圖一乙</v>
      </c>
      <c r="D680" s="9" t="s">
        <v>220</v>
      </c>
      <c r="E680" s="9" t="s">
        <v>221</v>
      </c>
      <c r="F680" s="10">
        <v>40</v>
      </c>
      <c r="G680" s="10" t="s">
        <v>11</v>
      </c>
      <c r="H680" s="10">
        <v>4</v>
      </c>
      <c r="I680" s="43"/>
    </row>
    <row r="681" spans="1:9">
      <c r="A681" s="42" t="s">
        <v>636</v>
      </c>
      <c r="B681" s="9" t="s">
        <v>217</v>
      </c>
      <c r="C681" s="9" t="str">
        <f t="shared" si="10"/>
        <v>數學-製圖一乙</v>
      </c>
      <c r="D681" s="9" t="s">
        <v>224</v>
      </c>
      <c r="E681" s="9" t="s">
        <v>225</v>
      </c>
      <c r="F681" s="10">
        <v>51</v>
      </c>
      <c r="G681" s="10" t="s">
        <v>11</v>
      </c>
      <c r="H681" s="10">
        <v>4</v>
      </c>
      <c r="I681" s="43"/>
    </row>
    <row r="682" spans="1:9">
      <c r="A682" s="42" t="s">
        <v>636</v>
      </c>
      <c r="B682" s="9" t="s">
        <v>217</v>
      </c>
      <c r="C682" s="9" t="str">
        <f t="shared" si="10"/>
        <v>數學-製圖一乙</v>
      </c>
      <c r="D682" s="9" t="s">
        <v>675</v>
      </c>
      <c r="E682" s="9" t="s">
        <v>676</v>
      </c>
      <c r="F682" s="10">
        <v>31</v>
      </c>
      <c r="G682" s="10" t="s">
        <v>11</v>
      </c>
      <c r="H682" s="10">
        <v>4</v>
      </c>
      <c r="I682" s="43"/>
    </row>
    <row r="683" spans="1:9">
      <c r="A683" s="42" t="s">
        <v>636</v>
      </c>
      <c r="B683" s="9" t="s">
        <v>217</v>
      </c>
      <c r="C683" s="9" t="str">
        <f t="shared" si="10"/>
        <v>數學-製圖一乙</v>
      </c>
      <c r="D683" s="9" t="s">
        <v>232</v>
      </c>
      <c r="E683" s="9" t="s">
        <v>233</v>
      </c>
      <c r="F683" s="10">
        <v>40</v>
      </c>
      <c r="G683" s="10" t="s">
        <v>11</v>
      </c>
      <c r="H683" s="10">
        <v>4</v>
      </c>
      <c r="I683" s="43"/>
    </row>
    <row r="684" spans="1:9">
      <c r="A684" s="42" t="s">
        <v>636</v>
      </c>
      <c r="B684" s="9" t="s">
        <v>322</v>
      </c>
      <c r="C684" s="9" t="str">
        <f t="shared" si="10"/>
        <v>數學-製圖一甲</v>
      </c>
      <c r="D684" s="9" t="s">
        <v>325</v>
      </c>
      <c r="E684" s="9" t="s">
        <v>326</v>
      </c>
      <c r="F684" s="10">
        <v>50</v>
      </c>
      <c r="G684" s="10" t="s">
        <v>11</v>
      </c>
      <c r="H684" s="10">
        <v>4</v>
      </c>
      <c r="I684" s="43"/>
    </row>
    <row r="685" spans="1:9">
      <c r="A685" s="42" t="s">
        <v>636</v>
      </c>
      <c r="B685" s="9" t="s">
        <v>194</v>
      </c>
      <c r="C685" s="9" t="str">
        <f t="shared" si="10"/>
        <v>數學-模具一乙</v>
      </c>
      <c r="D685" s="9" t="s">
        <v>203</v>
      </c>
      <c r="E685" s="9" t="s">
        <v>204</v>
      </c>
      <c r="F685" s="10">
        <v>40</v>
      </c>
      <c r="G685" s="10" t="s">
        <v>11</v>
      </c>
      <c r="H685" s="10">
        <v>4</v>
      </c>
      <c r="I685" s="43"/>
    </row>
    <row r="686" spans="1:9">
      <c r="A686" s="42" t="s">
        <v>636</v>
      </c>
      <c r="B686" s="9" t="s">
        <v>194</v>
      </c>
      <c r="C686" s="9" t="str">
        <f t="shared" si="10"/>
        <v>數學-模具一乙</v>
      </c>
      <c r="D686" s="9" t="s">
        <v>527</v>
      </c>
      <c r="E686" s="9" t="s">
        <v>528</v>
      </c>
      <c r="F686" s="10">
        <v>40</v>
      </c>
      <c r="G686" s="10" t="s">
        <v>11</v>
      </c>
      <c r="H686" s="10">
        <v>4</v>
      </c>
      <c r="I686" s="43"/>
    </row>
    <row r="687" spans="1:9">
      <c r="A687" s="42" t="s">
        <v>636</v>
      </c>
      <c r="B687" s="9" t="s">
        <v>301</v>
      </c>
      <c r="C687" s="9" t="str">
        <f t="shared" si="10"/>
        <v>數學-模具一甲</v>
      </c>
      <c r="D687" s="9" t="s">
        <v>463</v>
      </c>
      <c r="E687" s="9" t="s">
        <v>464</v>
      </c>
      <c r="F687" s="10">
        <v>40</v>
      </c>
      <c r="G687" s="10" t="s">
        <v>11</v>
      </c>
      <c r="H687" s="10">
        <v>4</v>
      </c>
      <c r="I687" s="43"/>
    </row>
    <row r="688" spans="1:9">
      <c r="A688" s="42" t="s">
        <v>636</v>
      </c>
      <c r="B688" s="9" t="s">
        <v>301</v>
      </c>
      <c r="C688" s="9" t="str">
        <f t="shared" si="10"/>
        <v>數學-模具一甲</v>
      </c>
      <c r="D688" s="9" t="s">
        <v>306</v>
      </c>
      <c r="E688" s="9" t="s">
        <v>307</v>
      </c>
      <c r="F688" s="10">
        <v>50</v>
      </c>
      <c r="G688" s="10" t="s">
        <v>11</v>
      </c>
      <c r="H688" s="10">
        <v>4</v>
      </c>
      <c r="I688" s="43"/>
    </row>
    <row r="689" spans="1:9">
      <c r="A689" s="42" t="s">
        <v>636</v>
      </c>
      <c r="B689" s="9" t="s">
        <v>301</v>
      </c>
      <c r="C689" s="9" t="str">
        <f t="shared" si="10"/>
        <v>數學-模具一甲</v>
      </c>
      <c r="D689" s="9" t="s">
        <v>308</v>
      </c>
      <c r="E689" s="9" t="s">
        <v>309</v>
      </c>
      <c r="F689" s="10">
        <v>40</v>
      </c>
      <c r="G689" s="10" t="s">
        <v>11</v>
      </c>
      <c r="H689" s="10">
        <v>4</v>
      </c>
      <c r="I689" s="43"/>
    </row>
    <row r="690" spans="1:9">
      <c r="A690" s="42" t="s">
        <v>636</v>
      </c>
      <c r="B690" s="9" t="s">
        <v>301</v>
      </c>
      <c r="C690" s="9" t="str">
        <f t="shared" si="10"/>
        <v>數學-模具一甲</v>
      </c>
      <c r="D690" s="9" t="s">
        <v>310</v>
      </c>
      <c r="E690" s="9" t="s">
        <v>311</v>
      </c>
      <c r="F690" s="10">
        <v>43</v>
      </c>
      <c r="G690" s="10" t="s">
        <v>11</v>
      </c>
      <c r="H690" s="10">
        <v>4</v>
      </c>
      <c r="I690" s="43"/>
    </row>
    <row r="691" spans="1:9">
      <c r="A691" s="42" t="s">
        <v>636</v>
      </c>
      <c r="B691" s="9" t="s">
        <v>301</v>
      </c>
      <c r="C691" s="9" t="str">
        <f t="shared" si="10"/>
        <v>數學-模具一甲</v>
      </c>
      <c r="D691" s="9" t="s">
        <v>314</v>
      </c>
      <c r="E691" s="9" t="s">
        <v>315</v>
      </c>
      <c r="F691" s="10">
        <v>40</v>
      </c>
      <c r="G691" s="10" t="s">
        <v>11</v>
      </c>
      <c r="H691" s="10">
        <v>4</v>
      </c>
      <c r="I691" s="43"/>
    </row>
    <row r="692" spans="1:9">
      <c r="A692" s="42" t="s">
        <v>636</v>
      </c>
      <c r="B692" s="9" t="s">
        <v>301</v>
      </c>
      <c r="C692" s="9" t="str">
        <f t="shared" si="10"/>
        <v>數學-模具一甲</v>
      </c>
      <c r="D692" s="9" t="s">
        <v>316</v>
      </c>
      <c r="E692" s="9" t="s">
        <v>317</v>
      </c>
      <c r="F692" s="10">
        <v>50</v>
      </c>
      <c r="G692" s="10" t="s">
        <v>11</v>
      </c>
      <c r="H692" s="10">
        <v>4</v>
      </c>
      <c r="I692" s="43"/>
    </row>
    <row r="693" spans="1:9">
      <c r="A693" s="42" t="s">
        <v>636</v>
      </c>
      <c r="B693" s="9" t="s">
        <v>301</v>
      </c>
      <c r="C693" s="9" t="str">
        <f t="shared" si="10"/>
        <v>數學-模具一甲</v>
      </c>
      <c r="D693" s="9" t="s">
        <v>467</v>
      </c>
      <c r="E693" s="9" t="s">
        <v>468</v>
      </c>
      <c r="F693" s="10">
        <v>44</v>
      </c>
      <c r="G693" s="10" t="s">
        <v>11</v>
      </c>
      <c r="H693" s="10">
        <v>4</v>
      </c>
      <c r="I693" s="43"/>
    </row>
    <row r="694" spans="1:9">
      <c r="A694" s="42" t="s">
        <v>636</v>
      </c>
      <c r="B694" s="9" t="s">
        <v>301</v>
      </c>
      <c r="C694" s="9" t="str">
        <f t="shared" si="10"/>
        <v>數學-模具一甲</v>
      </c>
      <c r="D694" s="9" t="s">
        <v>469</v>
      </c>
      <c r="E694" s="9" t="s">
        <v>470</v>
      </c>
      <c r="F694" s="10">
        <v>43</v>
      </c>
      <c r="G694" s="10" t="s">
        <v>11</v>
      </c>
      <c r="H694" s="10">
        <v>4</v>
      </c>
      <c r="I694" s="43"/>
    </row>
    <row r="695" spans="1:9">
      <c r="A695" s="42" t="s">
        <v>636</v>
      </c>
      <c r="B695" s="9" t="s">
        <v>301</v>
      </c>
      <c r="C695" s="9" t="str">
        <f t="shared" si="10"/>
        <v>數學-模具一甲</v>
      </c>
      <c r="D695" s="9" t="s">
        <v>320</v>
      </c>
      <c r="E695" s="9" t="s">
        <v>321</v>
      </c>
      <c r="F695" s="10">
        <v>40</v>
      </c>
      <c r="G695" s="10" t="s">
        <v>11</v>
      </c>
      <c r="H695" s="10">
        <v>4</v>
      </c>
      <c r="I695" s="43"/>
    </row>
    <row r="696" spans="1:9">
      <c r="A696" s="42" t="s">
        <v>636</v>
      </c>
      <c r="B696" s="9" t="s">
        <v>301</v>
      </c>
      <c r="C696" s="9" t="str">
        <f t="shared" si="10"/>
        <v>數學-模具一甲</v>
      </c>
      <c r="D696" s="9" t="s">
        <v>677</v>
      </c>
      <c r="E696" s="9" t="s">
        <v>678</v>
      </c>
      <c r="F696" s="10">
        <v>45</v>
      </c>
      <c r="G696" s="10" t="s">
        <v>11</v>
      </c>
      <c r="H696" s="10">
        <v>4</v>
      </c>
      <c r="I696" s="43"/>
    </row>
    <row r="697" spans="1:9">
      <c r="A697" s="42" t="s">
        <v>636</v>
      </c>
      <c r="B697" s="9" t="s">
        <v>7</v>
      </c>
      <c r="C697" s="9" t="str">
        <f t="shared" si="10"/>
        <v>數學-機械一甲</v>
      </c>
      <c r="D697" s="9" t="s">
        <v>8</v>
      </c>
      <c r="E697" s="9" t="s">
        <v>9</v>
      </c>
      <c r="F697" s="10">
        <v>42</v>
      </c>
      <c r="G697" s="10" t="s">
        <v>11</v>
      </c>
      <c r="H697" s="10">
        <v>4</v>
      </c>
      <c r="I697" s="43"/>
    </row>
    <row r="698" spans="1:9">
      <c r="A698" s="42" t="s">
        <v>636</v>
      </c>
      <c r="B698" s="9" t="s">
        <v>7</v>
      </c>
      <c r="C698" s="9" t="str">
        <f t="shared" si="10"/>
        <v>數學-機械一甲</v>
      </c>
      <c r="D698" s="9" t="s">
        <v>13</v>
      </c>
      <c r="E698" s="9" t="s">
        <v>14</v>
      </c>
      <c r="F698" s="10">
        <v>57</v>
      </c>
      <c r="G698" s="10" t="s">
        <v>11</v>
      </c>
      <c r="H698" s="10">
        <v>4</v>
      </c>
      <c r="I698" s="43"/>
    </row>
    <row r="699" spans="1:9">
      <c r="A699" s="42" t="s">
        <v>636</v>
      </c>
      <c r="B699" s="9" t="s">
        <v>7</v>
      </c>
      <c r="C699" s="9" t="str">
        <f t="shared" si="10"/>
        <v>數學-機械一甲</v>
      </c>
      <c r="D699" s="9" t="s">
        <v>15</v>
      </c>
      <c r="E699" s="9" t="s">
        <v>16</v>
      </c>
      <c r="F699" s="10">
        <v>43</v>
      </c>
      <c r="G699" s="10" t="s">
        <v>11</v>
      </c>
      <c r="H699" s="10">
        <v>4</v>
      </c>
      <c r="I699" s="43"/>
    </row>
    <row r="700" spans="1:9">
      <c r="A700" s="42" t="s">
        <v>636</v>
      </c>
      <c r="B700" s="9" t="s">
        <v>7</v>
      </c>
      <c r="C700" s="9" t="str">
        <f t="shared" si="10"/>
        <v>數學-機械一甲</v>
      </c>
      <c r="D700" s="9" t="s">
        <v>17</v>
      </c>
      <c r="E700" s="9" t="s">
        <v>18</v>
      </c>
      <c r="F700" s="10">
        <v>56</v>
      </c>
      <c r="G700" s="10" t="s">
        <v>11</v>
      </c>
      <c r="H700" s="10">
        <v>4</v>
      </c>
      <c r="I700" s="43"/>
    </row>
    <row r="701" spans="1:9">
      <c r="A701" s="42" t="s">
        <v>636</v>
      </c>
      <c r="B701" s="9" t="s">
        <v>7</v>
      </c>
      <c r="C701" s="9" t="str">
        <f t="shared" si="10"/>
        <v>數學-機械一甲</v>
      </c>
      <c r="D701" s="9" t="s">
        <v>667</v>
      </c>
      <c r="E701" s="9" t="s">
        <v>668</v>
      </c>
      <c r="F701" s="10">
        <v>44</v>
      </c>
      <c r="G701" s="10" t="s">
        <v>11</v>
      </c>
      <c r="H701" s="10">
        <v>4</v>
      </c>
      <c r="I701" s="43"/>
    </row>
    <row r="702" spans="1:9">
      <c r="A702" s="42" t="s">
        <v>636</v>
      </c>
      <c r="B702" s="9" t="s">
        <v>7</v>
      </c>
      <c r="C702" s="9" t="str">
        <f t="shared" si="10"/>
        <v>數學-機械一甲</v>
      </c>
      <c r="D702" s="9" t="s">
        <v>548</v>
      </c>
      <c r="E702" s="9" t="s">
        <v>549</v>
      </c>
      <c r="F702" s="10">
        <v>56</v>
      </c>
      <c r="G702" s="10" t="s">
        <v>11</v>
      </c>
      <c r="H702" s="10">
        <v>4</v>
      </c>
      <c r="I702" s="43"/>
    </row>
    <row r="703" spans="1:9">
      <c r="A703" s="42" t="s">
        <v>636</v>
      </c>
      <c r="B703" s="9" t="s">
        <v>25</v>
      </c>
      <c r="C703" s="9" t="str">
        <f t="shared" si="10"/>
        <v>數學-鑄造一甲</v>
      </c>
      <c r="D703" s="9" t="s">
        <v>669</v>
      </c>
      <c r="E703" s="9" t="s">
        <v>670</v>
      </c>
      <c r="F703" s="10">
        <v>45</v>
      </c>
      <c r="G703" s="10" t="s">
        <v>11</v>
      </c>
      <c r="H703" s="10">
        <v>4</v>
      </c>
      <c r="I703" s="43"/>
    </row>
    <row r="704" spans="1:9">
      <c r="A704" s="42" t="s">
        <v>636</v>
      </c>
      <c r="B704" s="9" t="s">
        <v>25</v>
      </c>
      <c r="C704" s="9" t="str">
        <f t="shared" si="10"/>
        <v>數學-鑄造一甲</v>
      </c>
      <c r="D704" s="9" t="s">
        <v>347</v>
      </c>
      <c r="E704" s="9" t="s">
        <v>348</v>
      </c>
      <c r="F704" s="10">
        <v>44</v>
      </c>
      <c r="G704" s="10" t="s">
        <v>11</v>
      </c>
      <c r="H704" s="10">
        <v>4</v>
      </c>
      <c r="I704" s="43"/>
    </row>
    <row r="705" spans="1:9">
      <c r="A705" s="42" t="s">
        <v>636</v>
      </c>
      <c r="B705" s="9" t="s">
        <v>25</v>
      </c>
      <c r="C705" s="9" t="str">
        <f t="shared" si="10"/>
        <v>數學-鑄造一甲</v>
      </c>
      <c r="D705" s="9" t="s">
        <v>671</v>
      </c>
      <c r="E705" s="9" t="s">
        <v>672</v>
      </c>
      <c r="F705" s="10">
        <v>42</v>
      </c>
      <c r="G705" s="10" t="s">
        <v>11</v>
      </c>
      <c r="H705" s="10">
        <v>4</v>
      </c>
      <c r="I705" s="43"/>
    </row>
    <row r="706" spans="1:9">
      <c r="A706" s="42" t="s">
        <v>636</v>
      </c>
      <c r="B706" s="9" t="s">
        <v>25</v>
      </c>
      <c r="C706" s="9" t="str">
        <f t="shared" si="10"/>
        <v>數學-鑄造一甲</v>
      </c>
      <c r="D706" s="9" t="s">
        <v>673</v>
      </c>
      <c r="E706" s="9" t="s">
        <v>674</v>
      </c>
      <c r="F706" s="10">
        <v>37</v>
      </c>
      <c r="G706" s="10" t="s">
        <v>11</v>
      </c>
      <c r="H706" s="10">
        <v>4</v>
      </c>
      <c r="I706" s="43"/>
    </row>
    <row r="707" spans="1:9">
      <c r="A707" s="42" t="s">
        <v>636</v>
      </c>
      <c r="B707" s="9" t="s">
        <v>25</v>
      </c>
      <c r="C707" s="9" t="str">
        <f t="shared" ref="C707:C770" si="11">A707&amp;"-"&amp;B707</f>
        <v>數學-鑄造一甲</v>
      </c>
      <c r="D707" s="9" t="s">
        <v>38</v>
      </c>
      <c r="E707" s="9" t="s">
        <v>39</v>
      </c>
      <c r="F707" s="10">
        <v>42</v>
      </c>
      <c r="G707" s="10" t="s">
        <v>11</v>
      </c>
      <c r="H707" s="10">
        <v>4</v>
      </c>
      <c r="I707" s="43"/>
    </row>
    <row r="708" spans="1:9">
      <c r="A708" s="42" t="s">
        <v>636</v>
      </c>
      <c r="B708" s="9" t="s">
        <v>25</v>
      </c>
      <c r="C708" s="9" t="str">
        <f t="shared" si="11"/>
        <v>數學-鑄造一甲</v>
      </c>
      <c r="D708" s="9" t="s">
        <v>42</v>
      </c>
      <c r="E708" s="9" t="s">
        <v>43</v>
      </c>
      <c r="F708" s="10">
        <v>49</v>
      </c>
      <c r="G708" s="10" t="s">
        <v>11</v>
      </c>
      <c r="H708" s="10">
        <v>4</v>
      </c>
      <c r="I708" s="43"/>
    </row>
    <row r="709" spans="1:9">
      <c r="A709" s="42" t="s">
        <v>636</v>
      </c>
      <c r="B709" s="9" t="s">
        <v>25</v>
      </c>
      <c r="C709" s="9" t="str">
        <f t="shared" si="11"/>
        <v>數學-鑄造一甲</v>
      </c>
      <c r="D709" s="9" t="s">
        <v>349</v>
      </c>
      <c r="E709" s="9" t="s">
        <v>350</v>
      </c>
      <c r="F709" s="10">
        <v>48</v>
      </c>
      <c r="G709" s="10" t="s">
        <v>11</v>
      </c>
      <c r="H709" s="10">
        <v>4</v>
      </c>
      <c r="I709" s="43"/>
    </row>
    <row r="710" spans="1:9">
      <c r="A710" s="48" t="s">
        <v>1889</v>
      </c>
      <c r="B710" s="9" t="s">
        <v>171</v>
      </c>
      <c r="C710" s="9" t="str">
        <f t="shared" si="11"/>
        <v>數學5-體育一甲</v>
      </c>
      <c r="D710" s="9" t="s">
        <v>483</v>
      </c>
      <c r="E710" s="9" t="s">
        <v>484</v>
      </c>
      <c r="F710" s="10">
        <v>48</v>
      </c>
      <c r="G710" s="10" t="s">
        <v>11</v>
      </c>
      <c r="H710" s="10">
        <v>2</v>
      </c>
      <c r="I710" s="43"/>
    </row>
    <row r="711" spans="1:9">
      <c r="A711" s="48" t="s">
        <v>1889</v>
      </c>
      <c r="B711" s="9" t="s">
        <v>171</v>
      </c>
      <c r="C711" s="9" t="str">
        <f t="shared" si="11"/>
        <v>數學5-體育一甲</v>
      </c>
      <c r="D711" s="9" t="s">
        <v>487</v>
      </c>
      <c r="E711" s="9" t="s">
        <v>488</v>
      </c>
      <c r="F711" s="10">
        <v>45</v>
      </c>
      <c r="G711" s="10" t="s">
        <v>11</v>
      </c>
      <c r="H711" s="10">
        <v>2</v>
      </c>
      <c r="I711" s="43"/>
    </row>
    <row r="712" spans="1:9">
      <c r="A712" s="42" t="s">
        <v>838</v>
      </c>
      <c r="B712" s="9" t="s">
        <v>217</v>
      </c>
      <c r="C712" s="9" t="str">
        <f t="shared" si="11"/>
        <v>機械製造-製圖一乙</v>
      </c>
      <c r="D712" s="9" t="s">
        <v>220</v>
      </c>
      <c r="E712" s="9" t="s">
        <v>221</v>
      </c>
      <c r="F712" s="10">
        <v>40</v>
      </c>
      <c r="G712" s="10" t="s">
        <v>11</v>
      </c>
      <c r="H712" s="10">
        <v>2</v>
      </c>
      <c r="I712" s="43"/>
    </row>
    <row r="713" spans="1:9">
      <c r="A713" s="42" t="s">
        <v>838</v>
      </c>
      <c r="B713" s="9" t="s">
        <v>217</v>
      </c>
      <c r="C713" s="9" t="str">
        <f t="shared" si="11"/>
        <v>機械製造-製圖一乙</v>
      </c>
      <c r="D713" s="9" t="s">
        <v>848</v>
      </c>
      <c r="E713" s="9" t="s">
        <v>849</v>
      </c>
      <c r="F713" s="10">
        <v>43</v>
      </c>
      <c r="G713" s="10" t="s">
        <v>11</v>
      </c>
      <c r="H713" s="10">
        <v>2</v>
      </c>
      <c r="I713" s="43"/>
    </row>
    <row r="714" spans="1:9">
      <c r="A714" s="42" t="s">
        <v>838</v>
      </c>
      <c r="B714" s="9" t="s">
        <v>217</v>
      </c>
      <c r="C714" s="9" t="str">
        <f t="shared" si="11"/>
        <v>機械製造-製圖一乙</v>
      </c>
      <c r="D714" s="9" t="s">
        <v>381</v>
      </c>
      <c r="E714" s="9" t="s">
        <v>382</v>
      </c>
      <c r="F714" s="10">
        <v>40</v>
      </c>
      <c r="G714" s="10" t="s">
        <v>11</v>
      </c>
      <c r="H714" s="10">
        <v>2</v>
      </c>
      <c r="I714" s="43"/>
    </row>
    <row r="715" spans="1:9">
      <c r="A715" s="42" t="s">
        <v>838</v>
      </c>
      <c r="B715" s="9" t="s">
        <v>217</v>
      </c>
      <c r="C715" s="9" t="str">
        <f t="shared" si="11"/>
        <v>機械製造-製圖一乙</v>
      </c>
      <c r="D715" s="9" t="s">
        <v>801</v>
      </c>
      <c r="E715" s="9" t="s">
        <v>802</v>
      </c>
      <c r="F715" s="10">
        <v>48</v>
      </c>
      <c r="G715" s="10" t="s">
        <v>11</v>
      </c>
      <c r="H715" s="10">
        <v>2</v>
      </c>
      <c r="I715" s="43"/>
    </row>
    <row r="716" spans="1:9">
      <c r="A716" s="42" t="s">
        <v>838</v>
      </c>
      <c r="B716" s="9" t="s">
        <v>122</v>
      </c>
      <c r="C716" s="9" t="str">
        <f t="shared" si="11"/>
        <v>機械製造-製圖一丙</v>
      </c>
      <c r="D716" s="9" t="s">
        <v>123</v>
      </c>
      <c r="E716" s="9" t="s">
        <v>124</v>
      </c>
      <c r="F716" s="10">
        <v>50</v>
      </c>
      <c r="G716" s="10" t="s">
        <v>11</v>
      </c>
      <c r="H716" s="10">
        <v>2</v>
      </c>
      <c r="I716" s="43"/>
    </row>
    <row r="717" spans="1:9">
      <c r="A717" s="42" t="s">
        <v>838</v>
      </c>
      <c r="B717" s="9" t="s">
        <v>122</v>
      </c>
      <c r="C717" s="9" t="str">
        <f t="shared" si="11"/>
        <v>機械製造-製圖一丙</v>
      </c>
      <c r="D717" s="9" t="s">
        <v>779</v>
      </c>
      <c r="E717" s="9" t="s">
        <v>780</v>
      </c>
      <c r="F717" s="10">
        <v>50</v>
      </c>
      <c r="G717" s="10" t="s">
        <v>11</v>
      </c>
      <c r="H717" s="10">
        <v>2</v>
      </c>
      <c r="I717" s="43"/>
    </row>
    <row r="718" spans="1:9">
      <c r="A718" s="42" t="s">
        <v>838</v>
      </c>
      <c r="B718" s="9" t="s">
        <v>122</v>
      </c>
      <c r="C718" s="9" t="str">
        <f t="shared" si="11"/>
        <v>機械製造-製圖一丙</v>
      </c>
      <c r="D718" s="9" t="s">
        <v>125</v>
      </c>
      <c r="E718" s="9" t="s">
        <v>126</v>
      </c>
      <c r="F718" s="10">
        <v>50</v>
      </c>
      <c r="G718" s="10" t="s">
        <v>11</v>
      </c>
      <c r="H718" s="10">
        <v>2</v>
      </c>
      <c r="I718" s="43"/>
    </row>
    <row r="719" spans="1:9">
      <c r="A719" s="42" t="s">
        <v>838</v>
      </c>
      <c r="B719" s="9" t="s">
        <v>122</v>
      </c>
      <c r="C719" s="9" t="str">
        <f t="shared" si="11"/>
        <v>機械製造-製圖一丙</v>
      </c>
      <c r="D719" s="9" t="s">
        <v>822</v>
      </c>
      <c r="E719" s="9" t="s">
        <v>823</v>
      </c>
      <c r="F719" s="10">
        <v>55</v>
      </c>
      <c r="G719" s="10" t="s">
        <v>11</v>
      </c>
      <c r="H719" s="10">
        <v>2</v>
      </c>
      <c r="I719" s="43"/>
    </row>
    <row r="720" spans="1:9">
      <c r="A720" s="42" t="s">
        <v>838</v>
      </c>
      <c r="B720" s="9" t="s">
        <v>122</v>
      </c>
      <c r="C720" s="9" t="str">
        <f t="shared" si="11"/>
        <v>機械製造-製圖一丙</v>
      </c>
      <c r="D720" s="9" t="s">
        <v>433</v>
      </c>
      <c r="E720" s="9" t="s">
        <v>434</v>
      </c>
      <c r="F720" s="10">
        <v>50</v>
      </c>
      <c r="G720" s="10" t="s">
        <v>11</v>
      </c>
      <c r="H720" s="10">
        <v>2</v>
      </c>
      <c r="I720" s="43"/>
    </row>
    <row r="721" spans="1:9">
      <c r="A721" s="42" t="s">
        <v>838</v>
      </c>
      <c r="B721" s="9" t="s">
        <v>122</v>
      </c>
      <c r="C721" s="9" t="str">
        <f t="shared" si="11"/>
        <v>機械製造-製圖一丙</v>
      </c>
      <c r="D721" s="9" t="s">
        <v>127</v>
      </c>
      <c r="E721" s="9" t="s">
        <v>128</v>
      </c>
      <c r="F721" s="10">
        <v>40</v>
      </c>
      <c r="G721" s="10" t="s">
        <v>11</v>
      </c>
      <c r="H721" s="10">
        <v>2</v>
      </c>
      <c r="I721" s="43"/>
    </row>
    <row r="722" spans="1:9">
      <c r="A722" s="42" t="s">
        <v>838</v>
      </c>
      <c r="B722" s="9" t="s">
        <v>122</v>
      </c>
      <c r="C722" s="9" t="str">
        <f t="shared" si="11"/>
        <v>機械製造-製圖一丙</v>
      </c>
      <c r="D722" s="9" t="s">
        <v>435</v>
      </c>
      <c r="E722" s="9" t="s">
        <v>436</v>
      </c>
      <c r="F722" s="10">
        <v>40</v>
      </c>
      <c r="G722" s="10" t="s">
        <v>11</v>
      </c>
      <c r="H722" s="10">
        <v>2</v>
      </c>
      <c r="I722" s="43"/>
    </row>
    <row r="723" spans="1:9">
      <c r="A723" s="42" t="s">
        <v>838</v>
      </c>
      <c r="B723" s="9" t="s">
        <v>122</v>
      </c>
      <c r="C723" s="9" t="str">
        <f t="shared" si="11"/>
        <v>機械製造-製圖一丙</v>
      </c>
      <c r="D723" s="9" t="s">
        <v>789</v>
      </c>
      <c r="E723" s="9" t="s">
        <v>790</v>
      </c>
      <c r="F723" s="10">
        <v>52</v>
      </c>
      <c r="G723" s="10" t="s">
        <v>11</v>
      </c>
      <c r="H723" s="10">
        <v>2</v>
      </c>
      <c r="I723" s="43"/>
    </row>
    <row r="724" spans="1:9">
      <c r="A724" s="42" t="s">
        <v>838</v>
      </c>
      <c r="B724" s="9" t="s">
        <v>122</v>
      </c>
      <c r="C724" s="9" t="str">
        <f t="shared" si="11"/>
        <v>機械製造-製圖一丙</v>
      </c>
      <c r="D724" s="9" t="s">
        <v>133</v>
      </c>
      <c r="E724" s="9" t="s">
        <v>134</v>
      </c>
      <c r="F724" s="10">
        <v>40</v>
      </c>
      <c r="G724" s="10" t="s">
        <v>11</v>
      </c>
      <c r="H724" s="10">
        <v>2</v>
      </c>
      <c r="I724" s="43"/>
    </row>
    <row r="725" spans="1:9">
      <c r="A725" s="42" t="s">
        <v>838</v>
      </c>
      <c r="B725" s="9" t="s">
        <v>122</v>
      </c>
      <c r="C725" s="9" t="str">
        <f t="shared" si="11"/>
        <v>機械製造-製圖一丙</v>
      </c>
      <c r="D725" s="9" t="s">
        <v>135</v>
      </c>
      <c r="E725" s="9" t="s">
        <v>136</v>
      </c>
      <c r="F725" s="10">
        <v>53</v>
      </c>
      <c r="G725" s="10" t="s">
        <v>11</v>
      </c>
      <c r="H725" s="10">
        <v>2</v>
      </c>
      <c r="I725" s="43"/>
    </row>
    <row r="726" spans="1:9">
      <c r="A726" s="42" t="s">
        <v>838</v>
      </c>
      <c r="B726" s="9" t="s">
        <v>122</v>
      </c>
      <c r="C726" s="9" t="str">
        <f t="shared" si="11"/>
        <v>機械製造-製圖一丙</v>
      </c>
      <c r="D726" s="9" t="s">
        <v>137</v>
      </c>
      <c r="E726" s="9" t="s">
        <v>138</v>
      </c>
      <c r="F726" s="10">
        <v>40</v>
      </c>
      <c r="G726" s="10" t="s">
        <v>11</v>
      </c>
      <c r="H726" s="10">
        <v>2</v>
      </c>
      <c r="I726" s="43"/>
    </row>
    <row r="727" spans="1:9">
      <c r="A727" s="42" t="s">
        <v>838</v>
      </c>
      <c r="B727" s="9" t="s">
        <v>122</v>
      </c>
      <c r="C727" s="9" t="str">
        <f t="shared" si="11"/>
        <v>機械製造-製圖一丙</v>
      </c>
      <c r="D727" s="9" t="s">
        <v>139</v>
      </c>
      <c r="E727" s="9" t="s">
        <v>140</v>
      </c>
      <c r="F727" s="10">
        <v>51</v>
      </c>
      <c r="G727" s="10" t="s">
        <v>11</v>
      </c>
      <c r="H727" s="10">
        <v>2</v>
      </c>
      <c r="I727" s="43"/>
    </row>
    <row r="728" spans="1:9">
      <c r="A728" s="42" t="s">
        <v>838</v>
      </c>
      <c r="B728" s="9" t="s">
        <v>322</v>
      </c>
      <c r="C728" s="9" t="str">
        <f t="shared" si="11"/>
        <v>機械製造-製圖一甲</v>
      </c>
      <c r="D728" s="9" t="s">
        <v>773</v>
      </c>
      <c r="E728" s="9" t="s">
        <v>774</v>
      </c>
      <c r="F728" s="10">
        <v>50</v>
      </c>
      <c r="G728" s="10" t="s">
        <v>11</v>
      </c>
      <c r="H728" s="10">
        <v>2</v>
      </c>
      <c r="I728" s="43"/>
    </row>
    <row r="729" spans="1:9">
      <c r="A729" s="42" t="s">
        <v>838</v>
      </c>
      <c r="B729" s="9" t="s">
        <v>322</v>
      </c>
      <c r="C729" s="9" t="str">
        <f t="shared" si="11"/>
        <v>機械製造-製圖一甲</v>
      </c>
      <c r="D729" s="9" t="s">
        <v>323</v>
      </c>
      <c r="E729" s="9" t="s">
        <v>324</v>
      </c>
      <c r="F729" s="10">
        <v>51</v>
      </c>
      <c r="G729" s="10" t="s">
        <v>11</v>
      </c>
      <c r="H729" s="10">
        <v>2</v>
      </c>
      <c r="I729" s="43"/>
    </row>
    <row r="730" spans="1:9">
      <c r="A730" s="42" t="s">
        <v>838</v>
      </c>
      <c r="B730" s="9" t="s">
        <v>322</v>
      </c>
      <c r="C730" s="9" t="str">
        <f t="shared" si="11"/>
        <v>機械製造-製圖一甲</v>
      </c>
      <c r="D730" s="9" t="s">
        <v>842</v>
      </c>
      <c r="E730" s="9" t="s">
        <v>843</v>
      </c>
      <c r="F730" s="10">
        <v>55</v>
      </c>
      <c r="G730" s="10" t="s">
        <v>11</v>
      </c>
      <c r="H730" s="10">
        <v>2</v>
      </c>
      <c r="I730" s="43"/>
    </row>
    <row r="731" spans="1:9">
      <c r="A731" s="42" t="s">
        <v>838</v>
      </c>
      <c r="B731" s="9" t="s">
        <v>322</v>
      </c>
      <c r="C731" s="9" t="str">
        <f t="shared" si="11"/>
        <v>機械製造-製圖一甲</v>
      </c>
      <c r="D731" s="9" t="s">
        <v>844</v>
      </c>
      <c r="E731" s="9" t="s">
        <v>845</v>
      </c>
      <c r="F731" s="10">
        <v>52</v>
      </c>
      <c r="G731" s="10" t="s">
        <v>11</v>
      </c>
      <c r="H731" s="10">
        <v>2</v>
      </c>
      <c r="I731" s="43"/>
    </row>
    <row r="732" spans="1:9">
      <c r="A732" s="42" t="s">
        <v>838</v>
      </c>
      <c r="B732" s="9" t="s">
        <v>322</v>
      </c>
      <c r="C732" s="9" t="str">
        <f t="shared" si="11"/>
        <v>機械製造-製圖一甲</v>
      </c>
      <c r="D732" s="9" t="s">
        <v>325</v>
      </c>
      <c r="E732" s="9" t="s">
        <v>326</v>
      </c>
      <c r="F732" s="10">
        <v>40</v>
      </c>
      <c r="G732" s="10" t="s">
        <v>11</v>
      </c>
      <c r="H732" s="10">
        <v>2</v>
      </c>
      <c r="I732" s="43"/>
    </row>
    <row r="733" spans="1:9">
      <c r="A733" s="42" t="s">
        <v>838</v>
      </c>
      <c r="B733" s="9" t="s">
        <v>322</v>
      </c>
      <c r="C733" s="9" t="str">
        <f t="shared" si="11"/>
        <v>機械製造-製圖一甲</v>
      </c>
      <c r="D733" s="9" t="s">
        <v>327</v>
      </c>
      <c r="E733" s="9" t="s">
        <v>328</v>
      </c>
      <c r="F733" s="10">
        <v>40</v>
      </c>
      <c r="G733" s="10" t="s">
        <v>11</v>
      </c>
      <c r="H733" s="10">
        <v>2</v>
      </c>
      <c r="I733" s="43"/>
    </row>
    <row r="734" spans="1:9">
      <c r="A734" s="42" t="s">
        <v>838</v>
      </c>
      <c r="B734" s="9" t="s">
        <v>322</v>
      </c>
      <c r="C734" s="9" t="str">
        <f t="shared" si="11"/>
        <v>機械製造-製圖一甲</v>
      </c>
      <c r="D734" s="9" t="s">
        <v>329</v>
      </c>
      <c r="E734" s="9" t="s">
        <v>330</v>
      </c>
      <c r="F734" s="10">
        <v>53</v>
      </c>
      <c r="G734" s="10" t="s">
        <v>11</v>
      </c>
      <c r="H734" s="10">
        <v>2</v>
      </c>
      <c r="I734" s="43"/>
    </row>
    <row r="735" spans="1:9">
      <c r="A735" s="42" t="s">
        <v>838</v>
      </c>
      <c r="B735" s="9" t="s">
        <v>322</v>
      </c>
      <c r="C735" s="9" t="str">
        <f t="shared" si="11"/>
        <v>機械製造-製圖一甲</v>
      </c>
      <c r="D735" s="9" t="s">
        <v>846</v>
      </c>
      <c r="E735" s="9" t="s">
        <v>847</v>
      </c>
      <c r="F735" s="10">
        <v>50</v>
      </c>
      <c r="G735" s="10" t="s">
        <v>11</v>
      </c>
      <c r="H735" s="10">
        <v>2</v>
      </c>
      <c r="I735" s="43"/>
    </row>
    <row r="736" spans="1:9">
      <c r="A736" s="42" t="s">
        <v>838</v>
      </c>
      <c r="B736" s="9" t="s">
        <v>301</v>
      </c>
      <c r="C736" s="9" t="str">
        <f t="shared" si="11"/>
        <v>機械製造-模具一甲</v>
      </c>
      <c r="D736" s="9" t="s">
        <v>306</v>
      </c>
      <c r="E736" s="9" t="s">
        <v>307</v>
      </c>
      <c r="F736" s="10">
        <v>49</v>
      </c>
      <c r="G736" s="10" t="s">
        <v>11</v>
      </c>
      <c r="H736" s="10">
        <v>2</v>
      </c>
      <c r="I736" s="43"/>
    </row>
    <row r="737" spans="1:9">
      <c r="A737" s="42" t="s">
        <v>838</v>
      </c>
      <c r="B737" s="9" t="s">
        <v>301</v>
      </c>
      <c r="C737" s="9" t="str">
        <f t="shared" si="11"/>
        <v>機械製造-模具一甲</v>
      </c>
      <c r="D737" s="9" t="s">
        <v>312</v>
      </c>
      <c r="E737" s="9" t="s">
        <v>313</v>
      </c>
      <c r="F737" s="10">
        <v>45</v>
      </c>
      <c r="G737" s="10" t="s">
        <v>11</v>
      </c>
      <c r="H737" s="10">
        <v>2</v>
      </c>
      <c r="I737" s="43"/>
    </row>
    <row r="738" spans="1:9">
      <c r="A738" s="42" t="s">
        <v>838</v>
      </c>
      <c r="B738" s="9" t="s">
        <v>301</v>
      </c>
      <c r="C738" s="9" t="str">
        <f t="shared" si="11"/>
        <v>機械製造-模具一甲</v>
      </c>
      <c r="D738" s="9" t="s">
        <v>314</v>
      </c>
      <c r="E738" s="9" t="s">
        <v>315</v>
      </c>
      <c r="F738" s="10">
        <v>42</v>
      </c>
      <c r="G738" s="10" t="s">
        <v>11</v>
      </c>
      <c r="H738" s="10">
        <v>2</v>
      </c>
      <c r="I738" s="43"/>
    </row>
    <row r="739" spans="1:9">
      <c r="A739" s="42" t="s">
        <v>838</v>
      </c>
      <c r="B739" s="9" t="s">
        <v>301</v>
      </c>
      <c r="C739" s="9" t="str">
        <f t="shared" si="11"/>
        <v>機械製造-模具一甲</v>
      </c>
      <c r="D739" s="9" t="s">
        <v>320</v>
      </c>
      <c r="E739" s="9" t="s">
        <v>321</v>
      </c>
      <c r="F739" s="10">
        <v>48</v>
      </c>
      <c r="G739" s="10" t="s">
        <v>11</v>
      </c>
      <c r="H739" s="10">
        <v>2</v>
      </c>
      <c r="I739" s="43"/>
    </row>
    <row r="740" spans="1:9">
      <c r="A740" s="42" t="s">
        <v>838</v>
      </c>
      <c r="B740" s="9" t="s">
        <v>301</v>
      </c>
      <c r="C740" s="9" t="str">
        <f t="shared" si="11"/>
        <v>機械製造-模具一甲</v>
      </c>
      <c r="D740" s="9" t="s">
        <v>473</v>
      </c>
      <c r="E740" s="9" t="s">
        <v>474</v>
      </c>
      <c r="F740" s="10">
        <v>47</v>
      </c>
      <c r="G740" s="10" t="s">
        <v>11</v>
      </c>
      <c r="H740" s="10">
        <v>2</v>
      </c>
      <c r="I740" s="43"/>
    </row>
    <row r="741" spans="1:9">
      <c r="A741" s="42" t="s">
        <v>838</v>
      </c>
      <c r="B741" s="9" t="s">
        <v>84</v>
      </c>
      <c r="C741" s="9" t="str">
        <f t="shared" si="11"/>
        <v>機械製造-機械一乙</v>
      </c>
      <c r="D741" s="9" t="s">
        <v>87</v>
      </c>
      <c r="E741" s="9" t="s">
        <v>88</v>
      </c>
      <c r="F741" s="10">
        <v>55</v>
      </c>
      <c r="G741" s="10" t="s">
        <v>11</v>
      </c>
      <c r="H741" s="10">
        <v>2</v>
      </c>
      <c r="I741" s="43"/>
    </row>
    <row r="742" spans="1:9">
      <c r="A742" s="42" t="s">
        <v>838</v>
      </c>
      <c r="B742" s="9" t="s">
        <v>84</v>
      </c>
      <c r="C742" s="9" t="str">
        <f t="shared" si="11"/>
        <v>機械製造-機械一乙</v>
      </c>
      <c r="D742" s="9" t="s">
        <v>89</v>
      </c>
      <c r="E742" s="9" t="s">
        <v>90</v>
      </c>
      <c r="F742" s="10">
        <v>49</v>
      </c>
      <c r="G742" s="10" t="s">
        <v>11</v>
      </c>
      <c r="H742" s="10">
        <v>2</v>
      </c>
      <c r="I742" s="43"/>
    </row>
    <row r="743" spans="1:9">
      <c r="A743" s="42" t="s">
        <v>838</v>
      </c>
      <c r="B743" s="9" t="s">
        <v>84</v>
      </c>
      <c r="C743" s="9" t="str">
        <f t="shared" si="11"/>
        <v>機械製造-機械一乙</v>
      </c>
      <c r="D743" s="9" t="s">
        <v>91</v>
      </c>
      <c r="E743" s="9" t="s">
        <v>92</v>
      </c>
      <c r="F743" s="10">
        <v>54</v>
      </c>
      <c r="G743" s="10" t="s">
        <v>11</v>
      </c>
      <c r="H743" s="10">
        <v>2</v>
      </c>
      <c r="I743" s="43"/>
    </row>
    <row r="744" spans="1:9">
      <c r="A744" s="42" t="s">
        <v>838</v>
      </c>
      <c r="B744" s="9" t="s">
        <v>84</v>
      </c>
      <c r="C744" s="9" t="str">
        <f t="shared" si="11"/>
        <v>機械製造-機械一乙</v>
      </c>
      <c r="D744" s="9" t="s">
        <v>839</v>
      </c>
      <c r="E744" s="9" t="s">
        <v>682</v>
      </c>
      <c r="F744" s="10">
        <v>46</v>
      </c>
      <c r="G744" s="10" t="s">
        <v>11</v>
      </c>
      <c r="H744" s="10">
        <v>2</v>
      </c>
      <c r="I744" s="43"/>
    </row>
    <row r="745" spans="1:9">
      <c r="A745" s="42" t="s">
        <v>838</v>
      </c>
      <c r="B745" s="9" t="s">
        <v>84</v>
      </c>
      <c r="C745" s="9" t="str">
        <f t="shared" si="11"/>
        <v>機械製造-機械一乙</v>
      </c>
      <c r="D745" s="9" t="s">
        <v>753</v>
      </c>
      <c r="E745" s="9" t="s">
        <v>754</v>
      </c>
      <c r="F745" s="10">
        <v>53</v>
      </c>
      <c r="G745" s="10" t="s">
        <v>11</v>
      </c>
      <c r="H745" s="10">
        <v>2</v>
      </c>
      <c r="I745" s="43"/>
    </row>
    <row r="746" spans="1:9">
      <c r="A746" s="42" t="s">
        <v>838</v>
      </c>
      <c r="B746" s="9" t="s">
        <v>84</v>
      </c>
      <c r="C746" s="9" t="str">
        <f t="shared" si="11"/>
        <v>機械製造-機械一乙</v>
      </c>
      <c r="D746" s="9" t="s">
        <v>755</v>
      </c>
      <c r="E746" s="9" t="s">
        <v>756</v>
      </c>
      <c r="F746" s="10">
        <v>51</v>
      </c>
      <c r="G746" s="10" t="s">
        <v>11</v>
      </c>
      <c r="H746" s="10">
        <v>2</v>
      </c>
      <c r="I746" s="43"/>
    </row>
    <row r="747" spans="1:9">
      <c r="A747" s="42" t="s">
        <v>838</v>
      </c>
      <c r="B747" s="9" t="s">
        <v>84</v>
      </c>
      <c r="C747" s="9" t="str">
        <f t="shared" si="11"/>
        <v>機械製造-機械一乙</v>
      </c>
      <c r="D747" s="9" t="s">
        <v>445</v>
      </c>
      <c r="E747" s="9" t="s">
        <v>446</v>
      </c>
      <c r="F747" s="10">
        <v>43</v>
      </c>
      <c r="G747" s="10" t="s">
        <v>11</v>
      </c>
      <c r="H747" s="10">
        <v>2</v>
      </c>
      <c r="I747" s="43"/>
    </row>
    <row r="748" spans="1:9">
      <c r="A748" s="42" t="s">
        <v>838</v>
      </c>
      <c r="B748" s="9" t="s">
        <v>84</v>
      </c>
      <c r="C748" s="9" t="str">
        <f t="shared" si="11"/>
        <v>機械製造-機械一乙</v>
      </c>
      <c r="D748" s="9" t="s">
        <v>840</v>
      </c>
      <c r="E748" s="9" t="s">
        <v>841</v>
      </c>
      <c r="F748" s="10">
        <v>46</v>
      </c>
      <c r="G748" s="10" t="s">
        <v>11</v>
      </c>
      <c r="H748" s="10">
        <v>2</v>
      </c>
      <c r="I748" s="43"/>
    </row>
    <row r="749" spans="1:9">
      <c r="A749" s="42" t="s">
        <v>838</v>
      </c>
      <c r="B749" s="9" t="s">
        <v>84</v>
      </c>
      <c r="C749" s="9" t="str">
        <f t="shared" si="11"/>
        <v>機械製造-機械一乙</v>
      </c>
      <c r="D749" s="9" t="s">
        <v>95</v>
      </c>
      <c r="E749" s="9" t="s">
        <v>96</v>
      </c>
      <c r="F749" s="10">
        <v>42</v>
      </c>
      <c r="G749" s="10" t="s">
        <v>11</v>
      </c>
      <c r="H749" s="10">
        <v>2</v>
      </c>
      <c r="I749" s="43"/>
    </row>
    <row r="750" spans="1:9">
      <c r="A750" s="42" t="s">
        <v>838</v>
      </c>
      <c r="B750" s="9" t="s">
        <v>7</v>
      </c>
      <c r="C750" s="9" t="str">
        <f t="shared" si="11"/>
        <v>機械製造-機械一甲</v>
      </c>
      <c r="D750" s="9" t="s">
        <v>836</v>
      </c>
      <c r="E750" s="9" t="s">
        <v>837</v>
      </c>
      <c r="F750" s="10">
        <v>51</v>
      </c>
      <c r="G750" s="10" t="s">
        <v>11</v>
      </c>
      <c r="H750" s="10">
        <v>2</v>
      </c>
      <c r="I750" s="43"/>
    </row>
    <row r="751" spans="1:9">
      <c r="A751" s="42" t="s">
        <v>838</v>
      </c>
      <c r="B751" s="9" t="s">
        <v>7</v>
      </c>
      <c r="C751" s="9" t="str">
        <f t="shared" si="11"/>
        <v>機械製造-機械一甲</v>
      </c>
      <c r="D751" s="9" t="s">
        <v>745</v>
      </c>
      <c r="E751" s="9" t="s">
        <v>746</v>
      </c>
      <c r="F751" s="10">
        <v>45</v>
      </c>
      <c r="G751" s="10" t="s">
        <v>11</v>
      </c>
      <c r="H751" s="10">
        <v>2</v>
      </c>
      <c r="I751" s="43"/>
    </row>
    <row r="752" spans="1:9">
      <c r="A752" s="42" t="s">
        <v>838</v>
      </c>
      <c r="B752" s="9" t="s">
        <v>7</v>
      </c>
      <c r="C752" s="9" t="str">
        <f t="shared" si="11"/>
        <v>機械製造-機械一甲</v>
      </c>
      <c r="D752" s="9" t="s">
        <v>15</v>
      </c>
      <c r="E752" s="9" t="s">
        <v>16</v>
      </c>
      <c r="F752" s="10">
        <v>50</v>
      </c>
      <c r="G752" s="10" t="s">
        <v>11</v>
      </c>
      <c r="H752" s="10">
        <v>2</v>
      </c>
      <c r="I752" s="43"/>
    </row>
    <row r="753" spans="1:9">
      <c r="A753" s="42" t="s">
        <v>838</v>
      </c>
      <c r="B753" s="9" t="s">
        <v>7</v>
      </c>
      <c r="C753" s="9" t="str">
        <f t="shared" si="11"/>
        <v>機械製造-機械一甲</v>
      </c>
      <c r="D753" s="9" t="s">
        <v>17</v>
      </c>
      <c r="E753" s="9" t="s">
        <v>18</v>
      </c>
      <c r="F753" s="10">
        <v>49</v>
      </c>
      <c r="G753" s="10" t="s">
        <v>11</v>
      </c>
      <c r="H753" s="10">
        <v>2</v>
      </c>
      <c r="I753" s="43"/>
    </row>
    <row r="754" spans="1:9">
      <c r="A754" s="42" t="s">
        <v>838</v>
      </c>
      <c r="B754" s="9" t="s">
        <v>7</v>
      </c>
      <c r="C754" s="9" t="str">
        <f t="shared" si="11"/>
        <v>機械製造-機械一甲</v>
      </c>
      <c r="D754" s="9" t="s">
        <v>23</v>
      </c>
      <c r="E754" s="9" t="s">
        <v>24</v>
      </c>
      <c r="F754" s="10">
        <v>40</v>
      </c>
      <c r="G754" s="10" t="s">
        <v>11</v>
      </c>
      <c r="H754" s="10">
        <v>2</v>
      </c>
      <c r="I754" s="43"/>
    </row>
    <row r="755" spans="1:9">
      <c r="A755" s="42" t="s">
        <v>838</v>
      </c>
      <c r="B755" s="9" t="s">
        <v>7</v>
      </c>
      <c r="C755" s="9" t="str">
        <f t="shared" si="11"/>
        <v>機械製造-機械一甲</v>
      </c>
      <c r="D755" s="9" t="s">
        <v>548</v>
      </c>
      <c r="E755" s="9" t="s">
        <v>549</v>
      </c>
      <c r="F755" s="10">
        <v>54</v>
      </c>
      <c r="G755" s="10" t="s">
        <v>11</v>
      </c>
      <c r="H755" s="10">
        <v>2</v>
      </c>
      <c r="I755" s="43"/>
    </row>
    <row r="756" spans="1:9">
      <c r="A756" s="42" t="s">
        <v>838</v>
      </c>
      <c r="B756" s="9" t="s">
        <v>246</v>
      </c>
      <c r="C756" s="9" t="str">
        <f t="shared" si="11"/>
        <v>機械製造-鑄造一乙</v>
      </c>
      <c r="D756" s="9" t="s">
        <v>249</v>
      </c>
      <c r="E756" s="9" t="s">
        <v>250</v>
      </c>
      <c r="F756" s="10">
        <v>42</v>
      </c>
      <c r="G756" s="10" t="s">
        <v>11</v>
      </c>
      <c r="H756" s="10">
        <v>2</v>
      </c>
      <c r="I756" s="43"/>
    </row>
    <row r="757" spans="1:9">
      <c r="A757" s="42" t="s">
        <v>838</v>
      </c>
      <c r="B757" s="9" t="s">
        <v>246</v>
      </c>
      <c r="C757" s="9" t="str">
        <f t="shared" si="11"/>
        <v>機械製造-鑄造一乙</v>
      </c>
      <c r="D757" s="9" t="s">
        <v>255</v>
      </c>
      <c r="E757" s="9" t="s">
        <v>256</v>
      </c>
      <c r="F757" s="10">
        <v>52</v>
      </c>
      <c r="G757" s="10" t="s">
        <v>11</v>
      </c>
      <c r="H757" s="10">
        <v>2</v>
      </c>
      <c r="I757" s="43"/>
    </row>
    <row r="758" spans="1:9">
      <c r="A758" s="42" t="s">
        <v>838</v>
      </c>
      <c r="B758" s="9" t="s">
        <v>246</v>
      </c>
      <c r="C758" s="9" t="str">
        <f t="shared" si="11"/>
        <v>機械製造-鑄造一乙</v>
      </c>
      <c r="D758" s="9" t="s">
        <v>411</v>
      </c>
      <c r="E758" s="9" t="s">
        <v>412</v>
      </c>
      <c r="F758" s="10">
        <v>45</v>
      </c>
      <c r="G758" s="10" t="s">
        <v>11</v>
      </c>
      <c r="H758" s="10">
        <v>2</v>
      </c>
      <c r="I758" s="43"/>
    </row>
    <row r="759" spans="1:9">
      <c r="A759" s="42" t="s">
        <v>838</v>
      </c>
      <c r="B759" s="9" t="s">
        <v>246</v>
      </c>
      <c r="C759" s="9" t="str">
        <f t="shared" si="11"/>
        <v>機械製造-鑄造一乙</v>
      </c>
      <c r="D759" s="9" t="s">
        <v>259</v>
      </c>
      <c r="E759" s="9" t="s">
        <v>260</v>
      </c>
      <c r="F759" s="10">
        <v>56</v>
      </c>
      <c r="G759" s="10" t="s">
        <v>11</v>
      </c>
      <c r="H759" s="10">
        <v>2</v>
      </c>
      <c r="I759" s="43"/>
    </row>
    <row r="760" spans="1:9">
      <c r="A760" s="42" t="s">
        <v>838</v>
      </c>
      <c r="B760" s="9" t="s">
        <v>246</v>
      </c>
      <c r="C760" s="9" t="str">
        <f t="shared" si="11"/>
        <v>機械製造-鑄造一乙</v>
      </c>
      <c r="D760" s="9" t="s">
        <v>590</v>
      </c>
      <c r="E760" s="9" t="s">
        <v>591</v>
      </c>
      <c r="F760" s="10">
        <v>40</v>
      </c>
      <c r="G760" s="10" t="s">
        <v>11</v>
      </c>
      <c r="H760" s="10">
        <v>2</v>
      </c>
      <c r="I760" s="43"/>
    </row>
    <row r="761" spans="1:9">
      <c r="A761" s="42" t="s">
        <v>838</v>
      </c>
      <c r="B761" s="9" t="s">
        <v>246</v>
      </c>
      <c r="C761" s="9" t="str">
        <f t="shared" si="11"/>
        <v>機械製造-鑄造一乙</v>
      </c>
      <c r="D761" s="9" t="s">
        <v>261</v>
      </c>
      <c r="E761" s="9" t="s">
        <v>262</v>
      </c>
      <c r="F761" s="10">
        <v>45</v>
      </c>
      <c r="G761" s="10" t="s">
        <v>11</v>
      </c>
      <c r="H761" s="10">
        <v>2</v>
      </c>
      <c r="I761" s="43"/>
    </row>
    <row r="762" spans="1:9">
      <c r="A762" s="42" t="s">
        <v>838</v>
      </c>
      <c r="B762" s="9" t="s">
        <v>246</v>
      </c>
      <c r="C762" s="9" t="str">
        <f t="shared" si="11"/>
        <v>機械製造-鑄造一乙</v>
      </c>
      <c r="D762" s="9" t="s">
        <v>263</v>
      </c>
      <c r="E762" s="9" t="s">
        <v>264</v>
      </c>
      <c r="F762" s="10">
        <v>43</v>
      </c>
      <c r="G762" s="10" t="s">
        <v>11</v>
      </c>
      <c r="H762" s="10">
        <v>2</v>
      </c>
      <c r="I762" s="43"/>
    </row>
    <row r="763" spans="1:9">
      <c r="A763" s="42" t="s">
        <v>838</v>
      </c>
      <c r="B763" s="9" t="s">
        <v>246</v>
      </c>
      <c r="C763" s="9" t="str">
        <f t="shared" si="11"/>
        <v>機械製造-鑄造一乙</v>
      </c>
      <c r="D763" s="9" t="s">
        <v>804</v>
      </c>
      <c r="E763" s="9" t="s">
        <v>805</v>
      </c>
      <c r="F763" s="10">
        <v>47</v>
      </c>
      <c r="G763" s="10" t="s">
        <v>11</v>
      </c>
      <c r="H763" s="10">
        <v>2</v>
      </c>
      <c r="I763" s="43"/>
    </row>
    <row r="764" spans="1:9">
      <c r="A764" s="42" t="s">
        <v>838</v>
      </c>
      <c r="B764" s="9" t="s">
        <v>246</v>
      </c>
      <c r="C764" s="9" t="str">
        <f t="shared" si="11"/>
        <v>機械製造-鑄造一乙</v>
      </c>
      <c r="D764" s="9" t="s">
        <v>829</v>
      </c>
      <c r="E764" s="9" t="s">
        <v>830</v>
      </c>
      <c r="F764" s="10">
        <v>40</v>
      </c>
      <c r="G764" s="10" t="s">
        <v>11</v>
      </c>
      <c r="H764" s="10">
        <v>2</v>
      </c>
      <c r="I764" s="43"/>
    </row>
    <row r="765" spans="1:9">
      <c r="A765" s="42" t="s">
        <v>838</v>
      </c>
      <c r="B765" s="9" t="s">
        <v>246</v>
      </c>
      <c r="C765" s="9" t="str">
        <f t="shared" si="11"/>
        <v>機械製造-鑄造一乙</v>
      </c>
      <c r="D765" s="9" t="s">
        <v>267</v>
      </c>
      <c r="E765" s="9" t="s">
        <v>268</v>
      </c>
      <c r="F765" s="10">
        <v>47</v>
      </c>
      <c r="G765" s="10" t="s">
        <v>11</v>
      </c>
      <c r="H765" s="10">
        <v>2</v>
      </c>
      <c r="I765" s="43"/>
    </row>
    <row r="766" spans="1:9">
      <c r="A766" s="42" t="s">
        <v>838</v>
      </c>
      <c r="B766" s="9" t="s">
        <v>25</v>
      </c>
      <c r="C766" s="9" t="str">
        <f t="shared" si="11"/>
        <v>機械製造-鑄造一甲</v>
      </c>
      <c r="D766" s="9" t="s">
        <v>338</v>
      </c>
      <c r="E766" s="9" t="s">
        <v>339</v>
      </c>
      <c r="F766" s="10">
        <v>46</v>
      </c>
      <c r="G766" s="10" t="s">
        <v>11</v>
      </c>
      <c r="H766" s="10">
        <v>2</v>
      </c>
      <c r="I766" s="43"/>
    </row>
    <row r="767" spans="1:9">
      <c r="A767" s="42" t="s">
        <v>838</v>
      </c>
      <c r="B767" s="9" t="s">
        <v>25</v>
      </c>
      <c r="C767" s="9" t="str">
        <f t="shared" si="11"/>
        <v>機械製造-鑄造一甲</v>
      </c>
      <c r="D767" s="9" t="s">
        <v>713</v>
      </c>
      <c r="E767" s="9" t="s">
        <v>714</v>
      </c>
      <c r="F767" s="10">
        <v>40</v>
      </c>
      <c r="G767" s="10" t="s">
        <v>11</v>
      </c>
      <c r="H767" s="10">
        <v>2</v>
      </c>
      <c r="I767" s="43"/>
    </row>
    <row r="768" spans="1:9">
      <c r="A768" s="42" t="s">
        <v>838</v>
      </c>
      <c r="B768" s="9" t="s">
        <v>25</v>
      </c>
      <c r="C768" s="9" t="str">
        <f t="shared" si="11"/>
        <v>機械製造-鑄造一甲</v>
      </c>
      <c r="D768" s="9" t="s">
        <v>347</v>
      </c>
      <c r="E768" s="9" t="s">
        <v>348</v>
      </c>
      <c r="F768" s="10">
        <v>44</v>
      </c>
      <c r="G768" s="10" t="s">
        <v>11</v>
      </c>
      <c r="H768" s="10">
        <v>2</v>
      </c>
      <c r="I768" s="43"/>
    </row>
    <row r="769" spans="1:9">
      <c r="A769" s="42" t="s">
        <v>838</v>
      </c>
      <c r="B769" s="9" t="s">
        <v>25</v>
      </c>
      <c r="C769" s="9" t="str">
        <f t="shared" si="11"/>
        <v>機械製造-鑄造一甲</v>
      </c>
      <c r="D769" s="9" t="s">
        <v>671</v>
      </c>
      <c r="E769" s="9" t="s">
        <v>672</v>
      </c>
      <c r="F769" s="10">
        <v>40</v>
      </c>
      <c r="G769" s="10" t="s">
        <v>11</v>
      </c>
      <c r="H769" s="10">
        <v>2</v>
      </c>
      <c r="I769" s="43"/>
    </row>
    <row r="770" spans="1:9">
      <c r="A770" s="42" t="s">
        <v>838</v>
      </c>
      <c r="B770" s="9" t="s">
        <v>25</v>
      </c>
      <c r="C770" s="9" t="str">
        <f t="shared" si="11"/>
        <v>機械製造-鑄造一甲</v>
      </c>
      <c r="D770" s="9" t="s">
        <v>36</v>
      </c>
      <c r="E770" s="9" t="s">
        <v>37</v>
      </c>
      <c r="F770" s="10">
        <v>56</v>
      </c>
      <c r="G770" s="10" t="s">
        <v>11</v>
      </c>
      <c r="H770" s="10">
        <v>2</v>
      </c>
      <c r="I770" s="43"/>
    </row>
    <row r="771" spans="1:9">
      <c r="A771" s="42" t="s">
        <v>838</v>
      </c>
      <c r="B771" s="9" t="s">
        <v>25</v>
      </c>
      <c r="C771" s="9" t="str">
        <f t="shared" ref="C771:C775" si="12">A771&amp;"-"&amp;B771</f>
        <v>機械製造-鑄造一甲</v>
      </c>
      <c r="D771" s="9" t="s">
        <v>38</v>
      </c>
      <c r="E771" s="9" t="s">
        <v>39</v>
      </c>
      <c r="F771" s="10">
        <v>40</v>
      </c>
      <c r="G771" s="10" t="s">
        <v>11</v>
      </c>
      <c r="H771" s="10">
        <v>2</v>
      </c>
      <c r="I771" s="43"/>
    </row>
    <row r="772" spans="1:9">
      <c r="A772" s="42" t="s">
        <v>838</v>
      </c>
      <c r="B772" s="9" t="s">
        <v>25</v>
      </c>
      <c r="C772" s="9" t="str">
        <f t="shared" si="12"/>
        <v>機械製造-鑄造一甲</v>
      </c>
      <c r="D772" s="9" t="s">
        <v>703</v>
      </c>
      <c r="E772" s="9" t="s">
        <v>704</v>
      </c>
      <c r="F772" s="10">
        <v>40</v>
      </c>
      <c r="G772" s="10" t="s">
        <v>11</v>
      </c>
      <c r="H772" s="10">
        <v>2</v>
      </c>
      <c r="I772" s="43"/>
    </row>
    <row r="773" spans="1:9">
      <c r="A773" s="42" t="s">
        <v>838</v>
      </c>
      <c r="B773" s="9" t="s">
        <v>25</v>
      </c>
      <c r="C773" s="9" t="str">
        <f t="shared" si="12"/>
        <v>機械製造-鑄造一甲</v>
      </c>
      <c r="D773" s="9" t="s">
        <v>42</v>
      </c>
      <c r="E773" s="9" t="s">
        <v>43</v>
      </c>
      <c r="F773" s="10">
        <v>47</v>
      </c>
      <c r="G773" s="10" t="s">
        <v>11</v>
      </c>
      <c r="H773" s="10">
        <v>2</v>
      </c>
      <c r="I773" s="43"/>
    </row>
    <row r="774" spans="1:9">
      <c r="A774" s="42" t="s">
        <v>838</v>
      </c>
      <c r="B774" s="9" t="s">
        <v>25</v>
      </c>
      <c r="C774" s="9" t="str">
        <f t="shared" si="12"/>
        <v>機械製造-鑄造一甲</v>
      </c>
      <c r="D774" s="9" t="s">
        <v>349</v>
      </c>
      <c r="E774" s="9" t="s">
        <v>350</v>
      </c>
      <c r="F774" s="10">
        <v>40</v>
      </c>
      <c r="G774" s="10" t="s">
        <v>11</v>
      </c>
      <c r="H774" s="10">
        <v>2</v>
      </c>
      <c r="I774" s="43"/>
    </row>
    <row r="775" spans="1:9" ht="16" thickBot="1">
      <c r="A775" s="44" t="s">
        <v>838</v>
      </c>
      <c r="B775" s="45" t="s">
        <v>25</v>
      </c>
      <c r="C775" s="9" t="str">
        <f t="shared" si="12"/>
        <v>機械製造-鑄造一甲</v>
      </c>
      <c r="D775" s="45" t="s">
        <v>351</v>
      </c>
      <c r="E775" s="45" t="s">
        <v>352</v>
      </c>
      <c r="F775" s="46">
        <v>41</v>
      </c>
      <c r="G775" s="46" t="s">
        <v>11</v>
      </c>
      <c r="H775" s="46">
        <v>2</v>
      </c>
      <c r="I775" s="47"/>
    </row>
    <row r="776" spans="1:9" ht="16" thickTop="1"/>
  </sheetData>
  <autoFilter ref="A1:I775" xr:uid="{D76AB162-C959-4B2E-A730-E67BAA0FA615}"/>
  <sortState xmlns:xlrd2="http://schemas.microsoft.com/office/spreadsheetml/2017/richdata2" ref="A2:I775">
    <sortCondition ref="A2:A775"/>
    <sortCondition ref="B2:B775"/>
    <sortCondition ref="D2:D775"/>
  </sortState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horizontalDpi="300" verticalDpi="300" r:id="rId1"/>
  <headerFooter>
    <oddFooter>&amp;R&amp;"新細明體,粗體"&amp;12第&amp;P頁-共&amp;N頁</oddFooter>
  </headerFooter>
  <colBreaks count="1" manualBreakCount="1">
    <brk id="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DBC1-0915-402D-9F30-3E4202BAE41B}">
  <dimension ref="A1:J1602"/>
  <sheetViews>
    <sheetView view="pageBreakPreview" topLeftCell="A1201" zoomScale="115" zoomScaleNormal="100" zoomScaleSheetLayoutView="115" workbookViewId="0">
      <selection activeCell="J1601" sqref="D1213:J1601"/>
    </sheetView>
  </sheetViews>
  <sheetFormatPr defaultRowHeight="15.5" outlineLevelRow="2"/>
  <cols>
    <col min="1" max="1" width="8.453125" style="20" bestFit="1" customWidth="1"/>
    <col min="2" max="2" width="17.08984375" style="20" customWidth="1"/>
    <col min="3" max="3" width="12.6328125" style="19" customWidth="1"/>
    <col min="4" max="4" width="29.08984375" style="37" bestFit="1" customWidth="1"/>
    <col min="5" max="5" width="8.90625" style="20" bestFit="1" customWidth="1"/>
    <col min="6" max="6" width="10.453125" style="20" bestFit="1" customWidth="1"/>
    <col min="7" max="7" width="6" style="20" bestFit="1" customWidth="1"/>
    <col min="8" max="9" width="9.81640625" style="20" bestFit="1" customWidth="1"/>
    <col min="10" max="10" width="12.6328125" style="20" bestFit="1" customWidth="1"/>
    <col min="11" max="11" width="6.36328125" style="20" customWidth="1"/>
    <col min="12" max="255" width="8.90625" style="20"/>
    <col min="256" max="256" width="11.453125" style="20" customWidth="1"/>
    <col min="257" max="257" width="10.36328125" style="20" customWidth="1"/>
    <col min="258" max="511" width="8.90625" style="20"/>
    <col min="512" max="512" width="11.453125" style="20" customWidth="1"/>
    <col min="513" max="513" width="10.36328125" style="20" customWidth="1"/>
    <col min="514" max="767" width="8.90625" style="20"/>
    <col min="768" max="768" width="11.453125" style="20" customWidth="1"/>
    <col min="769" max="769" width="10.36328125" style="20" customWidth="1"/>
    <col min="770" max="1023" width="8.90625" style="20"/>
    <col min="1024" max="1024" width="11.453125" style="20" customWidth="1"/>
    <col min="1025" max="1025" width="10.36328125" style="20" customWidth="1"/>
    <col min="1026" max="1279" width="8.90625" style="20"/>
    <col min="1280" max="1280" width="11.453125" style="20" customWidth="1"/>
    <col min="1281" max="1281" width="10.36328125" style="20" customWidth="1"/>
    <col min="1282" max="1535" width="8.90625" style="20"/>
    <col min="1536" max="1536" width="11.453125" style="20" customWidth="1"/>
    <col min="1537" max="1537" width="10.36328125" style="20" customWidth="1"/>
    <col min="1538" max="1791" width="8.90625" style="20"/>
    <col min="1792" max="1792" width="11.453125" style="20" customWidth="1"/>
    <col min="1793" max="1793" width="10.36328125" style="20" customWidth="1"/>
    <col min="1794" max="2047" width="8.90625" style="20"/>
    <col min="2048" max="2048" width="11.453125" style="20" customWidth="1"/>
    <col min="2049" max="2049" width="10.36328125" style="20" customWidth="1"/>
    <col min="2050" max="2303" width="8.90625" style="20"/>
    <col min="2304" max="2304" width="11.453125" style="20" customWidth="1"/>
    <col min="2305" max="2305" width="10.36328125" style="20" customWidth="1"/>
    <col min="2306" max="2559" width="8.90625" style="20"/>
    <col min="2560" max="2560" width="11.453125" style="20" customWidth="1"/>
    <col min="2561" max="2561" width="10.36328125" style="20" customWidth="1"/>
    <col min="2562" max="2815" width="8.90625" style="20"/>
    <col min="2816" max="2816" width="11.453125" style="20" customWidth="1"/>
    <col min="2817" max="2817" width="10.36328125" style="20" customWidth="1"/>
    <col min="2818" max="3071" width="8.90625" style="20"/>
    <col min="3072" max="3072" width="11.453125" style="20" customWidth="1"/>
    <col min="3073" max="3073" width="10.36328125" style="20" customWidth="1"/>
    <col min="3074" max="3327" width="8.90625" style="20"/>
    <col min="3328" max="3328" width="11.453125" style="20" customWidth="1"/>
    <col min="3329" max="3329" width="10.36328125" style="20" customWidth="1"/>
    <col min="3330" max="3583" width="8.90625" style="20"/>
    <col min="3584" max="3584" width="11.453125" style="20" customWidth="1"/>
    <col min="3585" max="3585" width="10.36328125" style="20" customWidth="1"/>
    <col min="3586" max="3839" width="8.90625" style="20"/>
    <col min="3840" max="3840" width="11.453125" style="20" customWidth="1"/>
    <col min="3841" max="3841" width="10.36328125" style="20" customWidth="1"/>
    <col min="3842" max="4095" width="8.90625" style="20"/>
    <col min="4096" max="4096" width="11.453125" style="20" customWidth="1"/>
    <col min="4097" max="4097" width="10.36328125" style="20" customWidth="1"/>
    <col min="4098" max="4351" width="8.90625" style="20"/>
    <col min="4352" max="4352" width="11.453125" style="20" customWidth="1"/>
    <col min="4353" max="4353" width="10.36328125" style="20" customWidth="1"/>
    <col min="4354" max="4607" width="8.90625" style="20"/>
    <col min="4608" max="4608" width="11.453125" style="20" customWidth="1"/>
    <col min="4609" max="4609" width="10.36328125" style="20" customWidth="1"/>
    <col min="4610" max="4863" width="8.90625" style="20"/>
    <col min="4864" max="4864" width="11.453125" style="20" customWidth="1"/>
    <col min="4865" max="4865" width="10.36328125" style="20" customWidth="1"/>
    <col min="4866" max="5119" width="8.90625" style="20"/>
    <col min="5120" max="5120" width="11.453125" style="20" customWidth="1"/>
    <col min="5121" max="5121" width="10.36328125" style="20" customWidth="1"/>
    <col min="5122" max="5375" width="8.90625" style="20"/>
    <col min="5376" max="5376" width="11.453125" style="20" customWidth="1"/>
    <col min="5377" max="5377" width="10.36328125" style="20" customWidth="1"/>
    <col min="5378" max="5631" width="8.90625" style="20"/>
    <col min="5632" max="5632" width="11.453125" style="20" customWidth="1"/>
    <col min="5633" max="5633" width="10.36328125" style="20" customWidth="1"/>
    <col min="5634" max="5887" width="8.90625" style="20"/>
    <col min="5888" max="5888" width="11.453125" style="20" customWidth="1"/>
    <col min="5889" max="5889" width="10.36328125" style="20" customWidth="1"/>
    <col min="5890" max="6143" width="8.90625" style="20"/>
    <col min="6144" max="6144" width="11.453125" style="20" customWidth="1"/>
    <col min="6145" max="6145" width="10.36328125" style="20" customWidth="1"/>
    <col min="6146" max="6399" width="8.90625" style="20"/>
    <col min="6400" max="6400" width="11.453125" style="20" customWidth="1"/>
    <col min="6401" max="6401" width="10.36328125" style="20" customWidth="1"/>
    <col min="6402" max="6655" width="8.90625" style="20"/>
    <col min="6656" max="6656" width="11.453125" style="20" customWidth="1"/>
    <col min="6657" max="6657" width="10.36328125" style="20" customWidth="1"/>
    <col min="6658" max="6911" width="8.90625" style="20"/>
    <col min="6912" max="6912" width="11.453125" style="20" customWidth="1"/>
    <col min="6913" max="6913" width="10.36328125" style="20" customWidth="1"/>
    <col min="6914" max="7167" width="8.90625" style="20"/>
    <col min="7168" max="7168" width="11.453125" style="20" customWidth="1"/>
    <col min="7169" max="7169" width="10.36328125" style="20" customWidth="1"/>
    <col min="7170" max="7423" width="8.90625" style="20"/>
    <col min="7424" max="7424" width="11.453125" style="20" customWidth="1"/>
    <col min="7425" max="7425" width="10.36328125" style="20" customWidth="1"/>
    <col min="7426" max="7679" width="8.90625" style="20"/>
    <col min="7680" max="7680" width="11.453125" style="20" customWidth="1"/>
    <col min="7681" max="7681" width="10.36328125" style="20" customWidth="1"/>
    <col min="7682" max="7935" width="8.90625" style="20"/>
    <col min="7936" max="7936" width="11.453125" style="20" customWidth="1"/>
    <col min="7937" max="7937" width="10.36328125" style="20" customWidth="1"/>
    <col min="7938" max="8191" width="8.90625" style="20"/>
    <col min="8192" max="8192" width="11.453125" style="20" customWidth="1"/>
    <col min="8193" max="8193" width="10.36328125" style="20" customWidth="1"/>
    <col min="8194" max="8447" width="8.90625" style="20"/>
    <col min="8448" max="8448" width="11.453125" style="20" customWidth="1"/>
    <col min="8449" max="8449" width="10.36328125" style="20" customWidth="1"/>
    <col min="8450" max="8703" width="8.90625" style="20"/>
    <col min="8704" max="8704" width="11.453125" style="20" customWidth="1"/>
    <col min="8705" max="8705" width="10.36328125" style="20" customWidth="1"/>
    <col min="8706" max="8959" width="8.90625" style="20"/>
    <col min="8960" max="8960" width="11.453125" style="20" customWidth="1"/>
    <col min="8961" max="8961" width="10.36328125" style="20" customWidth="1"/>
    <col min="8962" max="9215" width="8.90625" style="20"/>
    <col min="9216" max="9216" width="11.453125" style="20" customWidth="1"/>
    <col min="9217" max="9217" width="10.36328125" style="20" customWidth="1"/>
    <col min="9218" max="9471" width="8.90625" style="20"/>
    <col min="9472" max="9472" width="11.453125" style="20" customWidth="1"/>
    <col min="9473" max="9473" width="10.36328125" style="20" customWidth="1"/>
    <col min="9474" max="9727" width="8.90625" style="20"/>
    <col min="9728" max="9728" width="11.453125" style="20" customWidth="1"/>
    <col min="9729" max="9729" width="10.36328125" style="20" customWidth="1"/>
    <col min="9730" max="9983" width="8.90625" style="20"/>
    <col min="9984" max="9984" width="11.453125" style="20" customWidth="1"/>
    <col min="9985" max="9985" width="10.36328125" style="20" customWidth="1"/>
    <col min="9986" max="10239" width="8.90625" style="20"/>
    <col min="10240" max="10240" width="11.453125" style="20" customWidth="1"/>
    <col min="10241" max="10241" width="10.36328125" style="20" customWidth="1"/>
    <col min="10242" max="10495" width="8.90625" style="20"/>
    <col min="10496" max="10496" width="11.453125" style="20" customWidth="1"/>
    <col min="10497" max="10497" width="10.36328125" style="20" customWidth="1"/>
    <col min="10498" max="10751" width="8.90625" style="20"/>
    <col min="10752" max="10752" width="11.453125" style="20" customWidth="1"/>
    <col min="10753" max="10753" width="10.36328125" style="20" customWidth="1"/>
    <col min="10754" max="11007" width="8.90625" style="20"/>
    <col min="11008" max="11008" width="11.453125" style="20" customWidth="1"/>
    <col min="11009" max="11009" width="10.36328125" style="20" customWidth="1"/>
    <col min="11010" max="11263" width="8.90625" style="20"/>
    <col min="11264" max="11264" width="11.453125" style="20" customWidth="1"/>
    <col min="11265" max="11265" width="10.36328125" style="20" customWidth="1"/>
    <col min="11266" max="11519" width="8.90625" style="20"/>
    <col min="11520" max="11520" width="11.453125" style="20" customWidth="1"/>
    <col min="11521" max="11521" width="10.36328125" style="20" customWidth="1"/>
    <col min="11522" max="11775" width="8.90625" style="20"/>
    <col min="11776" max="11776" width="11.453125" style="20" customWidth="1"/>
    <col min="11777" max="11777" width="10.36328125" style="20" customWidth="1"/>
    <col min="11778" max="12031" width="8.90625" style="20"/>
    <col min="12032" max="12032" width="11.453125" style="20" customWidth="1"/>
    <col min="12033" max="12033" width="10.36328125" style="20" customWidth="1"/>
    <col min="12034" max="12287" width="8.90625" style="20"/>
    <col min="12288" max="12288" width="11.453125" style="20" customWidth="1"/>
    <col min="12289" max="12289" width="10.36328125" style="20" customWidth="1"/>
    <col min="12290" max="12543" width="8.90625" style="20"/>
    <col min="12544" max="12544" width="11.453125" style="20" customWidth="1"/>
    <col min="12545" max="12545" width="10.36328125" style="20" customWidth="1"/>
    <col min="12546" max="12799" width="8.90625" style="20"/>
    <col min="12800" max="12800" width="11.453125" style="20" customWidth="1"/>
    <col min="12801" max="12801" width="10.36328125" style="20" customWidth="1"/>
    <col min="12802" max="13055" width="8.90625" style="20"/>
    <col min="13056" max="13056" width="11.453125" style="20" customWidth="1"/>
    <col min="13057" max="13057" width="10.36328125" style="20" customWidth="1"/>
    <col min="13058" max="13311" width="8.90625" style="20"/>
    <col min="13312" max="13312" width="11.453125" style="20" customWidth="1"/>
    <col min="13313" max="13313" width="10.36328125" style="20" customWidth="1"/>
    <col min="13314" max="13567" width="8.90625" style="20"/>
    <col min="13568" max="13568" width="11.453125" style="20" customWidth="1"/>
    <col min="13569" max="13569" width="10.36328125" style="20" customWidth="1"/>
    <col min="13570" max="13823" width="8.90625" style="20"/>
    <col min="13824" max="13824" width="11.453125" style="20" customWidth="1"/>
    <col min="13825" max="13825" width="10.36328125" style="20" customWidth="1"/>
    <col min="13826" max="14079" width="8.90625" style="20"/>
    <col min="14080" max="14080" width="11.453125" style="20" customWidth="1"/>
    <col min="14081" max="14081" width="10.36328125" style="20" customWidth="1"/>
    <col min="14082" max="14335" width="8.90625" style="20"/>
    <col min="14336" max="14336" width="11.453125" style="20" customWidth="1"/>
    <col min="14337" max="14337" width="10.36328125" style="20" customWidth="1"/>
    <col min="14338" max="14591" width="8.90625" style="20"/>
    <col min="14592" max="14592" width="11.453125" style="20" customWidth="1"/>
    <col min="14593" max="14593" width="10.36328125" style="20" customWidth="1"/>
    <col min="14594" max="14847" width="8.90625" style="20"/>
    <col min="14848" max="14848" width="11.453125" style="20" customWidth="1"/>
    <col min="14849" max="14849" width="10.36328125" style="20" customWidth="1"/>
    <col min="14850" max="15103" width="8.90625" style="20"/>
    <col min="15104" max="15104" width="11.453125" style="20" customWidth="1"/>
    <col min="15105" max="15105" width="10.36328125" style="20" customWidth="1"/>
    <col min="15106" max="15359" width="8.90625" style="20"/>
    <col min="15360" max="15360" width="11.453125" style="20" customWidth="1"/>
    <col min="15361" max="15361" width="10.36328125" style="20" customWidth="1"/>
    <col min="15362" max="15615" width="8.90625" style="20"/>
    <col min="15616" max="15616" width="11.453125" style="20" customWidth="1"/>
    <col min="15617" max="15617" width="10.36328125" style="20" customWidth="1"/>
    <col min="15618" max="15871" width="8.90625" style="20"/>
    <col min="15872" max="15872" width="11.453125" style="20" customWidth="1"/>
    <col min="15873" max="15873" width="10.36328125" style="20" customWidth="1"/>
    <col min="15874" max="16127" width="8.90625" style="20"/>
    <col min="16128" max="16128" width="11.453125" style="20" customWidth="1"/>
    <col min="16129" max="16129" width="10.36328125" style="20" customWidth="1"/>
    <col min="16130" max="16384" width="8.90625" style="20"/>
  </cols>
  <sheetData>
    <row r="1" spans="1:10" ht="22.25" customHeight="1" thickTop="1">
      <c r="A1" s="33" t="s">
        <v>2260</v>
      </c>
      <c r="B1" s="35" t="s">
        <v>3</v>
      </c>
      <c r="C1" s="38" t="s">
        <v>0</v>
      </c>
      <c r="D1" s="34" t="s">
        <v>1883</v>
      </c>
      <c r="E1" s="35" t="s">
        <v>1</v>
      </c>
      <c r="F1" s="35" t="s">
        <v>2</v>
      </c>
      <c r="G1" s="35" t="s">
        <v>4</v>
      </c>
      <c r="H1" s="35" t="s">
        <v>5</v>
      </c>
      <c r="I1" s="35" t="s">
        <v>967</v>
      </c>
      <c r="J1" s="36" t="s">
        <v>1882</v>
      </c>
    </row>
    <row r="2" spans="1:10" ht="17" hidden="1" outlineLevel="2">
      <c r="A2" s="23">
        <v>1</v>
      </c>
      <c r="B2" s="49" t="s">
        <v>2261</v>
      </c>
      <c r="C2" s="39" t="s">
        <v>171</v>
      </c>
      <c r="D2" s="41" t="s">
        <v>2056</v>
      </c>
      <c r="E2" s="22" t="s">
        <v>172</v>
      </c>
      <c r="F2" s="22" t="s">
        <v>173</v>
      </c>
      <c r="G2" s="22">
        <v>53</v>
      </c>
      <c r="H2" s="22">
        <v>1</v>
      </c>
      <c r="I2" s="22" t="s">
        <v>583</v>
      </c>
      <c r="J2" s="23"/>
    </row>
    <row r="3" spans="1:10" ht="17" hidden="1" outlineLevel="2">
      <c r="A3" s="23">
        <v>1</v>
      </c>
      <c r="B3" s="49" t="s">
        <v>2261</v>
      </c>
      <c r="C3" s="39" t="s">
        <v>171</v>
      </c>
      <c r="D3" s="41" t="s">
        <v>2056</v>
      </c>
      <c r="E3" s="22" t="s">
        <v>700</v>
      </c>
      <c r="F3" s="22" t="s">
        <v>701</v>
      </c>
      <c r="G3" s="22">
        <v>48</v>
      </c>
      <c r="H3" s="22">
        <v>1</v>
      </c>
      <c r="I3" s="22" t="s">
        <v>583</v>
      </c>
      <c r="J3" s="23"/>
    </row>
    <row r="4" spans="1:10" outlineLevel="1" collapsed="1">
      <c r="A4" s="23"/>
      <c r="B4" s="49"/>
      <c r="C4" s="39"/>
      <c r="D4" s="51" t="s">
        <v>2212</v>
      </c>
      <c r="E4" s="22">
        <f>SUBTOTAL(3,E2:E3)</f>
        <v>2</v>
      </c>
      <c r="F4" s="22"/>
      <c r="G4" s="22"/>
      <c r="H4" s="22"/>
      <c r="I4" s="22">
        <f>SUBTOTAL(3,I2:I3)</f>
        <v>2</v>
      </c>
      <c r="J4" s="23"/>
    </row>
    <row r="5" spans="1:10" hidden="1" outlineLevel="2">
      <c r="A5" s="23">
        <v>1</v>
      </c>
      <c r="B5" s="22" t="s">
        <v>2065</v>
      </c>
      <c r="C5" s="39" t="s">
        <v>335</v>
      </c>
      <c r="D5" s="41" t="s">
        <v>2066</v>
      </c>
      <c r="E5" s="22" t="s">
        <v>387</v>
      </c>
      <c r="F5" s="22" t="s">
        <v>388</v>
      </c>
      <c r="G5" s="22">
        <v>53</v>
      </c>
      <c r="H5" s="22">
        <v>3</v>
      </c>
      <c r="I5" s="22" t="s">
        <v>11</v>
      </c>
      <c r="J5" s="23"/>
    </row>
    <row r="6" spans="1:10" hidden="1" outlineLevel="2">
      <c r="A6" s="23">
        <v>1</v>
      </c>
      <c r="B6" s="22" t="s">
        <v>2065</v>
      </c>
      <c r="C6" s="39" t="s">
        <v>335</v>
      </c>
      <c r="D6" s="41" t="s">
        <v>2066</v>
      </c>
      <c r="E6" s="22" t="s">
        <v>391</v>
      </c>
      <c r="F6" s="22" t="s">
        <v>392</v>
      </c>
      <c r="G6" s="22">
        <v>40</v>
      </c>
      <c r="H6" s="22">
        <v>3</v>
      </c>
      <c r="I6" s="22" t="s">
        <v>11</v>
      </c>
      <c r="J6" s="23"/>
    </row>
    <row r="7" spans="1:10" hidden="1" outlineLevel="2">
      <c r="A7" s="23">
        <v>1</v>
      </c>
      <c r="B7" s="22" t="s">
        <v>2065</v>
      </c>
      <c r="C7" s="39" t="s">
        <v>335</v>
      </c>
      <c r="D7" s="41" t="s">
        <v>2066</v>
      </c>
      <c r="E7" s="22" t="s">
        <v>393</v>
      </c>
      <c r="F7" s="22" t="s">
        <v>394</v>
      </c>
      <c r="G7" s="22">
        <v>42</v>
      </c>
      <c r="H7" s="22">
        <v>3</v>
      </c>
      <c r="I7" s="22" t="s">
        <v>11</v>
      </c>
      <c r="J7" s="23"/>
    </row>
    <row r="8" spans="1:10" hidden="1" outlineLevel="2">
      <c r="A8" s="23">
        <v>1</v>
      </c>
      <c r="B8" s="22" t="s">
        <v>2065</v>
      </c>
      <c r="C8" s="39" t="s">
        <v>335</v>
      </c>
      <c r="D8" s="41" t="s">
        <v>2066</v>
      </c>
      <c r="E8" s="22" t="s">
        <v>397</v>
      </c>
      <c r="F8" s="22" t="s">
        <v>398</v>
      </c>
      <c r="G8" s="22">
        <v>53</v>
      </c>
      <c r="H8" s="22">
        <v>3</v>
      </c>
      <c r="I8" s="22" t="s">
        <v>11</v>
      </c>
      <c r="J8" s="23"/>
    </row>
    <row r="9" spans="1:10" hidden="1" outlineLevel="2">
      <c r="A9" s="23">
        <v>1</v>
      </c>
      <c r="B9" s="22" t="s">
        <v>2065</v>
      </c>
      <c r="C9" s="39" t="s">
        <v>335</v>
      </c>
      <c r="D9" s="41" t="s">
        <v>2066</v>
      </c>
      <c r="E9" s="22" t="s">
        <v>659</v>
      </c>
      <c r="F9" s="22" t="s">
        <v>660</v>
      </c>
      <c r="G9" s="22">
        <v>42</v>
      </c>
      <c r="H9" s="22">
        <v>3</v>
      </c>
      <c r="I9" s="22" t="s">
        <v>11</v>
      </c>
      <c r="J9" s="23"/>
    </row>
    <row r="10" spans="1:10" hidden="1" outlineLevel="2">
      <c r="A10" s="23">
        <v>1</v>
      </c>
      <c r="B10" s="22" t="s">
        <v>2065</v>
      </c>
      <c r="C10" s="39" t="s">
        <v>335</v>
      </c>
      <c r="D10" s="41" t="s">
        <v>2066</v>
      </c>
      <c r="E10" s="22" t="s">
        <v>661</v>
      </c>
      <c r="F10" s="22" t="s">
        <v>662</v>
      </c>
      <c r="G10" s="22">
        <v>59</v>
      </c>
      <c r="H10" s="22">
        <v>3</v>
      </c>
      <c r="I10" s="22" t="s">
        <v>11</v>
      </c>
      <c r="J10" s="23"/>
    </row>
    <row r="11" spans="1:10" hidden="1" outlineLevel="2">
      <c r="A11" s="23">
        <v>1</v>
      </c>
      <c r="B11" s="22" t="s">
        <v>2065</v>
      </c>
      <c r="C11" s="39" t="s">
        <v>335</v>
      </c>
      <c r="D11" s="41" t="s">
        <v>2066</v>
      </c>
      <c r="E11" s="22" t="s">
        <v>401</v>
      </c>
      <c r="F11" s="22" t="s">
        <v>402</v>
      </c>
      <c r="G11" s="22">
        <v>49</v>
      </c>
      <c r="H11" s="22">
        <v>3</v>
      </c>
      <c r="I11" s="22" t="s">
        <v>11</v>
      </c>
      <c r="J11" s="23"/>
    </row>
    <row r="12" spans="1:10" hidden="1" outlineLevel="2">
      <c r="A12" s="23">
        <v>1</v>
      </c>
      <c r="B12" s="22" t="s">
        <v>2065</v>
      </c>
      <c r="C12" s="39" t="s">
        <v>335</v>
      </c>
      <c r="D12" s="41" t="s">
        <v>2066</v>
      </c>
      <c r="E12" s="22" t="s">
        <v>663</v>
      </c>
      <c r="F12" s="22" t="s">
        <v>664</v>
      </c>
      <c r="G12" s="22">
        <v>41</v>
      </c>
      <c r="H12" s="22">
        <v>3</v>
      </c>
      <c r="I12" s="22" t="s">
        <v>11</v>
      </c>
      <c r="J12" s="23"/>
    </row>
    <row r="13" spans="1:10" hidden="1" outlineLevel="2">
      <c r="A13" s="23">
        <v>1</v>
      </c>
      <c r="B13" s="22" t="s">
        <v>2065</v>
      </c>
      <c r="C13" s="39" t="s">
        <v>335</v>
      </c>
      <c r="D13" s="41" t="s">
        <v>2066</v>
      </c>
      <c r="E13" s="22" t="s">
        <v>665</v>
      </c>
      <c r="F13" s="22" t="s">
        <v>666</v>
      </c>
      <c r="G13" s="22">
        <v>45</v>
      </c>
      <c r="H13" s="22">
        <v>3</v>
      </c>
      <c r="I13" s="22" t="s">
        <v>11</v>
      </c>
      <c r="J13" s="23"/>
    </row>
    <row r="14" spans="1:10" hidden="1" outlineLevel="2">
      <c r="A14" s="23">
        <v>1</v>
      </c>
      <c r="B14" s="22" t="s">
        <v>2065</v>
      </c>
      <c r="C14" s="39" t="s">
        <v>335</v>
      </c>
      <c r="D14" s="41" t="s">
        <v>2066</v>
      </c>
      <c r="E14" s="22" t="s">
        <v>403</v>
      </c>
      <c r="F14" s="22" t="s">
        <v>404</v>
      </c>
      <c r="G14" s="22">
        <v>40</v>
      </c>
      <c r="H14" s="22">
        <v>3</v>
      </c>
      <c r="I14" s="22" t="s">
        <v>11</v>
      </c>
      <c r="J14" s="23"/>
    </row>
    <row r="15" spans="1:10" hidden="1" outlineLevel="2">
      <c r="A15" s="23">
        <v>1</v>
      </c>
      <c r="B15" s="22" t="s">
        <v>2065</v>
      </c>
      <c r="C15" s="39" t="s">
        <v>335</v>
      </c>
      <c r="D15" s="41" t="s">
        <v>2066</v>
      </c>
      <c r="E15" s="22" t="s">
        <v>405</v>
      </c>
      <c r="F15" s="22" t="s">
        <v>406</v>
      </c>
      <c r="G15" s="22">
        <v>40</v>
      </c>
      <c r="H15" s="22">
        <v>3</v>
      </c>
      <c r="I15" s="22" t="s">
        <v>11</v>
      </c>
      <c r="J15" s="23"/>
    </row>
    <row r="16" spans="1:10" outlineLevel="1" collapsed="1">
      <c r="A16" s="23"/>
      <c r="B16" s="22"/>
      <c r="C16" s="39"/>
      <c r="D16" s="51" t="s">
        <v>2217</v>
      </c>
      <c r="E16" s="22">
        <f>SUBTOTAL(3,E5:E15)</f>
        <v>11</v>
      </c>
      <c r="F16" s="22"/>
      <c r="G16" s="22"/>
      <c r="H16" s="22"/>
      <c r="I16" s="22">
        <f>SUBTOTAL(3,I5:I15)</f>
        <v>11</v>
      </c>
      <c r="J16" s="23"/>
    </row>
    <row r="17" spans="1:10" hidden="1" outlineLevel="2">
      <c r="A17" s="23">
        <v>1</v>
      </c>
      <c r="B17" s="22" t="s">
        <v>2065</v>
      </c>
      <c r="C17" s="39" t="s">
        <v>234</v>
      </c>
      <c r="D17" s="41" t="s">
        <v>2067</v>
      </c>
      <c r="E17" s="22" t="s">
        <v>643</v>
      </c>
      <c r="F17" s="22" t="s">
        <v>644</v>
      </c>
      <c r="G17" s="22">
        <v>51</v>
      </c>
      <c r="H17" s="22">
        <v>3</v>
      </c>
      <c r="I17" s="22" t="s">
        <v>11</v>
      </c>
      <c r="J17" s="23"/>
    </row>
    <row r="18" spans="1:10" hidden="1" outlineLevel="2">
      <c r="A18" s="23">
        <v>1</v>
      </c>
      <c r="B18" s="22" t="s">
        <v>2065</v>
      </c>
      <c r="C18" s="39" t="s">
        <v>234</v>
      </c>
      <c r="D18" s="41" t="s">
        <v>2067</v>
      </c>
      <c r="E18" s="22" t="s">
        <v>645</v>
      </c>
      <c r="F18" s="22" t="s">
        <v>646</v>
      </c>
      <c r="G18" s="22">
        <v>58</v>
      </c>
      <c r="H18" s="22">
        <v>3</v>
      </c>
      <c r="I18" s="22" t="s">
        <v>11</v>
      </c>
      <c r="J18" s="23"/>
    </row>
    <row r="19" spans="1:10" hidden="1" outlineLevel="2">
      <c r="A19" s="23">
        <v>1</v>
      </c>
      <c r="B19" s="22" t="s">
        <v>2065</v>
      </c>
      <c r="C19" s="39" t="s">
        <v>234</v>
      </c>
      <c r="D19" s="41" t="s">
        <v>2067</v>
      </c>
      <c r="E19" s="22" t="s">
        <v>647</v>
      </c>
      <c r="F19" s="22" t="s">
        <v>648</v>
      </c>
      <c r="G19" s="22">
        <v>42</v>
      </c>
      <c r="H19" s="22">
        <v>3</v>
      </c>
      <c r="I19" s="22" t="s">
        <v>11</v>
      </c>
      <c r="J19" s="23"/>
    </row>
    <row r="20" spans="1:10" hidden="1" outlineLevel="2">
      <c r="A20" s="23">
        <v>1</v>
      </c>
      <c r="B20" s="22" t="s">
        <v>2065</v>
      </c>
      <c r="C20" s="39" t="s">
        <v>234</v>
      </c>
      <c r="D20" s="41" t="s">
        <v>2067</v>
      </c>
      <c r="E20" s="22" t="s">
        <v>649</v>
      </c>
      <c r="F20" s="22" t="s">
        <v>650</v>
      </c>
      <c r="G20" s="22">
        <v>57</v>
      </c>
      <c r="H20" s="22">
        <v>3</v>
      </c>
      <c r="I20" s="22" t="s">
        <v>11</v>
      </c>
      <c r="J20" s="23"/>
    </row>
    <row r="21" spans="1:10" hidden="1" outlineLevel="2">
      <c r="A21" s="23">
        <v>1</v>
      </c>
      <c r="B21" s="22" t="s">
        <v>2065</v>
      </c>
      <c r="C21" s="39" t="s">
        <v>234</v>
      </c>
      <c r="D21" s="41" t="s">
        <v>2067</v>
      </c>
      <c r="E21" s="22" t="s">
        <v>651</v>
      </c>
      <c r="F21" s="22" t="s">
        <v>652</v>
      </c>
      <c r="G21" s="22">
        <v>58</v>
      </c>
      <c r="H21" s="22">
        <v>3</v>
      </c>
      <c r="I21" s="22" t="s">
        <v>11</v>
      </c>
      <c r="J21" s="23"/>
    </row>
    <row r="22" spans="1:10" hidden="1" outlineLevel="2">
      <c r="A22" s="23">
        <v>1</v>
      </c>
      <c r="B22" s="22" t="s">
        <v>2065</v>
      </c>
      <c r="C22" s="39" t="s">
        <v>234</v>
      </c>
      <c r="D22" s="41" t="s">
        <v>2067</v>
      </c>
      <c r="E22" s="22" t="s">
        <v>235</v>
      </c>
      <c r="F22" s="22" t="s">
        <v>236</v>
      </c>
      <c r="G22" s="22">
        <v>53</v>
      </c>
      <c r="H22" s="22">
        <v>3</v>
      </c>
      <c r="I22" s="22" t="s">
        <v>11</v>
      </c>
      <c r="J22" s="23"/>
    </row>
    <row r="23" spans="1:10" hidden="1" outlineLevel="2">
      <c r="A23" s="23">
        <v>1</v>
      </c>
      <c r="B23" s="22" t="s">
        <v>2065</v>
      </c>
      <c r="C23" s="39" t="s">
        <v>234</v>
      </c>
      <c r="D23" s="41" t="s">
        <v>2067</v>
      </c>
      <c r="E23" s="22" t="s">
        <v>653</v>
      </c>
      <c r="F23" s="22" t="s">
        <v>654</v>
      </c>
      <c r="G23" s="22">
        <v>56</v>
      </c>
      <c r="H23" s="22">
        <v>3</v>
      </c>
      <c r="I23" s="22" t="s">
        <v>11</v>
      </c>
      <c r="J23" s="23"/>
    </row>
    <row r="24" spans="1:10" hidden="1" outlineLevel="2">
      <c r="A24" s="23">
        <v>1</v>
      </c>
      <c r="B24" s="22" t="s">
        <v>2065</v>
      </c>
      <c r="C24" s="39" t="s">
        <v>234</v>
      </c>
      <c r="D24" s="41" t="s">
        <v>2067</v>
      </c>
      <c r="E24" s="22" t="s">
        <v>655</v>
      </c>
      <c r="F24" s="22" t="s">
        <v>656</v>
      </c>
      <c r="G24" s="22">
        <v>47</v>
      </c>
      <c r="H24" s="22">
        <v>3</v>
      </c>
      <c r="I24" s="22" t="s">
        <v>11</v>
      </c>
      <c r="J24" s="23"/>
    </row>
    <row r="25" spans="1:10" hidden="1" outlineLevel="2">
      <c r="A25" s="23">
        <v>1</v>
      </c>
      <c r="B25" s="22" t="s">
        <v>2065</v>
      </c>
      <c r="C25" s="39" t="s">
        <v>234</v>
      </c>
      <c r="D25" s="41" t="s">
        <v>2067</v>
      </c>
      <c r="E25" s="22" t="s">
        <v>657</v>
      </c>
      <c r="F25" s="22" t="s">
        <v>658</v>
      </c>
      <c r="G25" s="22">
        <v>44</v>
      </c>
      <c r="H25" s="22">
        <v>3</v>
      </c>
      <c r="I25" s="22" t="s">
        <v>11</v>
      </c>
      <c r="J25" s="23"/>
    </row>
    <row r="26" spans="1:10" outlineLevel="1" collapsed="1">
      <c r="A26" s="23"/>
      <c r="B26" s="22"/>
      <c r="C26" s="39"/>
      <c r="D26" s="51" t="s">
        <v>2218</v>
      </c>
      <c r="E26" s="22">
        <f>SUBTOTAL(3,E17:E25)</f>
        <v>9</v>
      </c>
      <c r="F26" s="22"/>
      <c r="G26" s="22"/>
      <c r="H26" s="22"/>
      <c r="I26" s="22">
        <f>SUBTOTAL(3,I17:I25)</f>
        <v>9</v>
      </c>
      <c r="J26" s="23"/>
    </row>
    <row r="27" spans="1:10" hidden="1" outlineLevel="2">
      <c r="A27" s="23">
        <v>1</v>
      </c>
      <c r="B27" s="49" t="s">
        <v>1950</v>
      </c>
      <c r="C27" s="39" t="s">
        <v>1428</v>
      </c>
      <c r="D27" s="41" t="str">
        <f>B27&amp;"-"&amp;C27</f>
        <v>數學4B-資處二乙</v>
      </c>
      <c r="E27" s="22" t="s">
        <v>1471</v>
      </c>
      <c r="F27" s="22" t="s">
        <v>1472</v>
      </c>
      <c r="G27" s="22">
        <v>41</v>
      </c>
      <c r="H27" s="22">
        <v>3</v>
      </c>
      <c r="I27" s="22" t="s">
        <v>11</v>
      </c>
      <c r="J27" s="23"/>
    </row>
    <row r="28" spans="1:10" hidden="1" outlineLevel="2">
      <c r="A28" s="23">
        <v>1</v>
      </c>
      <c r="B28" s="49" t="s">
        <v>1950</v>
      </c>
      <c r="C28" s="39" t="s">
        <v>1428</v>
      </c>
      <c r="D28" s="41" t="str">
        <f>B28&amp;"-"&amp;C28</f>
        <v>數學4B-資處二乙</v>
      </c>
      <c r="E28" s="22" t="s">
        <v>1565</v>
      </c>
      <c r="F28" s="22" t="s">
        <v>1566</v>
      </c>
      <c r="G28" s="22">
        <v>58</v>
      </c>
      <c r="H28" s="22">
        <v>3</v>
      </c>
      <c r="I28" s="22" t="s">
        <v>11</v>
      </c>
      <c r="J28" s="23"/>
    </row>
    <row r="29" spans="1:10" outlineLevel="1" collapsed="1">
      <c r="A29" s="23"/>
      <c r="B29" s="49"/>
      <c r="C29" s="39"/>
      <c r="D29" s="51" t="s">
        <v>2219</v>
      </c>
      <c r="E29" s="22">
        <f>SUBTOTAL(3,E27:E28)</f>
        <v>2</v>
      </c>
      <c r="F29" s="22"/>
      <c r="G29" s="22"/>
      <c r="H29" s="22"/>
      <c r="I29" s="22">
        <f>SUBTOTAL(3,I27:I28)</f>
        <v>2</v>
      </c>
      <c r="J29" s="23"/>
    </row>
    <row r="30" spans="1:10" hidden="1" outlineLevel="2">
      <c r="A30" s="23">
        <v>1</v>
      </c>
      <c r="B30" s="49" t="s">
        <v>1950</v>
      </c>
      <c r="C30" s="39" t="s">
        <v>1135</v>
      </c>
      <c r="D30" s="41" t="str">
        <f>B30&amp;"-"&amp;C30</f>
        <v>數學4B-資處二甲</v>
      </c>
      <c r="E30" s="22" t="s">
        <v>1563</v>
      </c>
      <c r="F30" s="22" t="s">
        <v>1564</v>
      </c>
      <c r="G30" s="22">
        <v>52</v>
      </c>
      <c r="H30" s="22">
        <v>3</v>
      </c>
      <c r="I30" s="22" t="s">
        <v>11</v>
      </c>
      <c r="J30" s="23"/>
    </row>
    <row r="31" spans="1:10" hidden="1" outlineLevel="2">
      <c r="A31" s="23">
        <v>1</v>
      </c>
      <c r="B31" s="49" t="s">
        <v>1950</v>
      </c>
      <c r="C31" s="39" t="s">
        <v>1135</v>
      </c>
      <c r="D31" s="41" t="str">
        <f>B31&amp;"-"&amp;C31</f>
        <v>數學4B-資處二甲</v>
      </c>
      <c r="E31" s="22" t="s">
        <v>1341</v>
      </c>
      <c r="F31" s="22" t="s">
        <v>1342</v>
      </c>
      <c r="G31" s="22">
        <v>46</v>
      </c>
      <c r="H31" s="22">
        <v>3</v>
      </c>
      <c r="I31" s="22" t="s">
        <v>11</v>
      </c>
      <c r="J31" s="23"/>
    </row>
    <row r="32" spans="1:10" hidden="1" outlineLevel="2">
      <c r="A32" s="23">
        <v>1</v>
      </c>
      <c r="B32" s="49" t="s">
        <v>1950</v>
      </c>
      <c r="C32" s="39" t="s">
        <v>1135</v>
      </c>
      <c r="D32" s="41" t="str">
        <f>B32&amp;"-"&amp;C32</f>
        <v>數學4B-資處二甲</v>
      </c>
      <c r="E32" s="22" t="s">
        <v>1142</v>
      </c>
      <c r="F32" s="22" t="s">
        <v>1143</v>
      </c>
      <c r="G32" s="22">
        <v>58</v>
      </c>
      <c r="H32" s="22">
        <v>3</v>
      </c>
      <c r="I32" s="22" t="s">
        <v>11</v>
      </c>
      <c r="J32" s="23"/>
    </row>
    <row r="33" spans="1:10" hidden="1" outlineLevel="2">
      <c r="A33" s="23">
        <v>1</v>
      </c>
      <c r="B33" s="49" t="s">
        <v>1950</v>
      </c>
      <c r="C33" s="39" t="s">
        <v>1135</v>
      </c>
      <c r="D33" s="41" t="str">
        <f>B33&amp;"-"&amp;C33</f>
        <v>數學4B-資處二甲</v>
      </c>
      <c r="E33" s="22" t="s">
        <v>1349</v>
      </c>
      <c r="F33" s="22" t="s">
        <v>1350</v>
      </c>
      <c r="G33" s="22">
        <v>56</v>
      </c>
      <c r="H33" s="22">
        <v>3</v>
      </c>
      <c r="I33" s="22" t="s">
        <v>11</v>
      </c>
      <c r="J33" s="23"/>
    </row>
    <row r="34" spans="1:10" outlineLevel="1" collapsed="1">
      <c r="A34" s="23"/>
      <c r="B34" s="49"/>
      <c r="C34" s="39"/>
      <c r="D34" s="51" t="s">
        <v>2238</v>
      </c>
      <c r="E34" s="22">
        <f>SUBTOTAL(3,E30:E33)</f>
        <v>4</v>
      </c>
      <c r="F34" s="22"/>
      <c r="G34" s="22"/>
      <c r="H34" s="22"/>
      <c r="I34" s="22">
        <f>SUBTOTAL(3,I30:I33)</f>
        <v>4</v>
      </c>
      <c r="J34" s="23"/>
    </row>
    <row r="35" spans="1:10" hidden="1" outlineLevel="2">
      <c r="A35" s="23">
        <v>1</v>
      </c>
      <c r="B35" s="49" t="s">
        <v>1950</v>
      </c>
      <c r="C35" s="39" t="s">
        <v>1059</v>
      </c>
      <c r="D35" s="41" t="str">
        <f>B35&amp;"-"&amp;C35</f>
        <v>數學4B-應英二乙</v>
      </c>
      <c r="E35" s="22" t="s">
        <v>1487</v>
      </c>
      <c r="F35" s="22" t="s">
        <v>1488</v>
      </c>
      <c r="G35" s="22">
        <v>40</v>
      </c>
      <c r="H35" s="22">
        <v>3</v>
      </c>
      <c r="I35" s="22" t="s">
        <v>11</v>
      </c>
      <c r="J35" s="23"/>
    </row>
    <row r="36" spans="1:10" hidden="1" outlineLevel="2">
      <c r="A36" s="23">
        <v>1</v>
      </c>
      <c r="B36" s="49" t="s">
        <v>1950</v>
      </c>
      <c r="C36" s="39" t="s">
        <v>1059</v>
      </c>
      <c r="D36" s="41" t="str">
        <f>B36&amp;"-"&amp;C36</f>
        <v>數學4B-應英二乙</v>
      </c>
      <c r="E36" s="22" t="s">
        <v>1489</v>
      </c>
      <c r="F36" s="22" t="s">
        <v>1490</v>
      </c>
      <c r="G36" s="22">
        <v>40</v>
      </c>
      <c r="H36" s="22">
        <v>3</v>
      </c>
      <c r="I36" s="22" t="s">
        <v>11</v>
      </c>
      <c r="J36" s="23"/>
    </row>
    <row r="37" spans="1:10" hidden="1" outlineLevel="2">
      <c r="A37" s="23">
        <v>1</v>
      </c>
      <c r="B37" s="49" t="s">
        <v>1950</v>
      </c>
      <c r="C37" s="39" t="s">
        <v>1059</v>
      </c>
      <c r="D37" s="41" t="str">
        <f>B37&amp;"-"&amp;C37</f>
        <v>數學4B-應英二乙</v>
      </c>
      <c r="E37" s="22" t="s">
        <v>1491</v>
      </c>
      <c r="F37" s="22" t="s">
        <v>1492</v>
      </c>
      <c r="G37" s="22">
        <v>48</v>
      </c>
      <c r="H37" s="22">
        <v>3</v>
      </c>
      <c r="I37" s="22" t="s">
        <v>11</v>
      </c>
      <c r="J37" s="23"/>
    </row>
    <row r="38" spans="1:10" hidden="1" outlineLevel="2">
      <c r="A38" s="23">
        <v>1</v>
      </c>
      <c r="B38" s="49" t="s">
        <v>1950</v>
      </c>
      <c r="C38" s="39" t="s">
        <v>1059</v>
      </c>
      <c r="D38" s="41" t="str">
        <f>B38&amp;"-"&amp;C38</f>
        <v>數學4B-應英二乙</v>
      </c>
      <c r="E38" s="22" t="s">
        <v>1493</v>
      </c>
      <c r="F38" s="22" t="s">
        <v>1494</v>
      </c>
      <c r="G38" s="22">
        <v>55</v>
      </c>
      <c r="H38" s="22">
        <v>3</v>
      </c>
      <c r="I38" s="22" t="s">
        <v>11</v>
      </c>
      <c r="J38" s="23"/>
    </row>
    <row r="39" spans="1:10" hidden="1" outlineLevel="2">
      <c r="A39" s="23">
        <v>1</v>
      </c>
      <c r="B39" s="49" t="s">
        <v>1950</v>
      </c>
      <c r="C39" s="39" t="s">
        <v>1059</v>
      </c>
      <c r="D39" s="41" t="str">
        <f>B39&amp;"-"&amp;C39</f>
        <v>數學4B-應英二乙</v>
      </c>
      <c r="E39" s="22" t="s">
        <v>1495</v>
      </c>
      <c r="F39" s="22" t="s">
        <v>1496</v>
      </c>
      <c r="G39" s="22">
        <v>59</v>
      </c>
      <c r="H39" s="22">
        <v>3</v>
      </c>
      <c r="I39" s="22" t="s">
        <v>11</v>
      </c>
      <c r="J39" s="23"/>
    </row>
    <row r="40" spans="1:10" outlineLevel="1" collapsed="1">
      <c r="A40" s="23"/>
      <c r="B40" s="49"/>
      <c r="C40" s="39"/>
      <c r="D40" s="51" t="s">
        <v>2220</v>
      </c>
      <c r="E40" s="22">
        <f>SUBTOTAL(3,E35:E39)</f>
        <v>5</v>
      </c>
      <c r="F40" s="22"/>
      <c r="G40" s="22"/>
      <c r="H40" s="22"/>
      <c r="I40" s="22">
        <f>SUBTOTAL(3,I35:I39)</f>
        <v>5</v>
      </c>
      <c r="J40" s="23"/>
    </row>
    <row r="41" spans="1:10" hidden="1" outlineLevel="2">
      <c r="A41" s="23">
        <v>1</v>
      </c>
      <c r="B41" s="49" t="s">
        <v>1950</v>
      </c>
      <c r="C41" s="39" t="s">
        <v>1009</v>
      </c>
      <c r="D41" s="41" t="str">
        <f>B41&amp;"-"&amp;C41</f>
        <v>數學4B-應英二甲</v>
      </c>
      <c r="E41" s="22" t="s">
        <v>1485</v>
      </c>
      <c r="F41" s="22" t="s">
        <v>1486</v>
      </c>
      <c r="G41" s="22">
        <v>42</v>
      </c>
      <c r="H41" s="22">
        <v>3</v>
      </c>
      <c r="I41" s="22" t="s">
        <v>11</v>
      </c>
      <c r="J41" s="23"/>
    </row>
    <row r="42" spans="1:10" outlineLevel="1" collapsed="1">
      <c r="A42" s="23"/>
      <c r="B42" s="49"/>
      <c r="C42" s="39"/>
      <c r="D42" s="51" t="s">
        <v>2221</v>
      </c>
      <c r="E42" s="22">
        <f>SUBTOTAL(3,E41:E41)</f>
        <v>1</v>
      </c>
      <c r="F42" s="22"/>
      <c r="G42" s="22"/>
      <c r="H42" s="22"/>
      <c r="I42" s="22">
        <f>SUBTOTAL(3,I41:I41)</f>
        <v>1</v>
      </c>
      <c r="J42" s="23">
        <f>E42+E40+E34+E29+E26+E16+E4</f>
        <v>34</v>
      </c>
    </row>
    <row r="43" spans="1:10" hidden="1" outlineLevel="2">
      <c r="A43" s="23">
        <v>1</v>
      </c>
      <c r="B43" s="49" t="s">
        <v>1888</v>
      </c>
      <c r="C43" s="39" t="s">
        <v>1144</v>
      </c>
      <c r="D43" s="41" t="str">
        <f>B43&amp;"-"&amp;C43</f>
        <v>數學4-汽車二乙</v>
      </c>
      <c r="E43" s="22" t="s">
        <v>1153</v>
      </c>
      <c r="F43" s="22" t="s">
        <v>1154</v>
      </c>
      <c r="G43" s="22">
        <v>59</v>
      </c>
      <c r="H43" s="22">
        <v>4</v>
      </c>
      <c r="I43" s="22" t="s">
        <v>11</v>
      </c>
      <c r="J43" s="23"/>
    </row>
    <row r="44" spans="1:10" hidden="1" outlineLevel="2">
      <c r="A44" s="23">
        <v>1</v>
      </c>
      <c r="B44" s="49" t="s">
        <v>1888</v>
      </c>
      <c r="C44" s="39" t="s">
        <v>1144</v>
      </c>
      <c r="D44" s="41" t="str">
        <f>B44&amp;"-"&amp;C44</f>
        <v>數學4-汽車二乙</v>
      </c>
      <c r="E44" s="22" t="s">
        <v>1357</v>
      </c>
      <c r="F44" s="22" t="s">
        <v>1358</v>
      </c>
      <c r="G44" s="22">
        <v>52</v>
      </c>
      <c r="H44" s="22">
        <v>4</v>
      </c>
      <c r="I44" s="22" t="s">
        <v>11</v>
      </c>
      <c r="J44" s="23"/>
    </row>
    <row r="45" spans="1:10" hidden="1" outlineLevel="2">
      <c r="A45" s="23">
        <v>1</v>
      </c>
      <c r="B45" s="49" t="s">
        <v>1888</v>
      </c>
      <c r="C45" s="39" t="s">
        <v>1144</v>
      </c>
      <c r="D45" s="41" t="str">
        <f>B45&amp;"-"&amp;C45</f>
        <v>數學4-汽車二乙</v>
      </c>
      <c r="E45" s="22" t="s">
        <v>1359</v>
      </c>
      <c r="F45" s="22" t="s">
        <v>1360</v>
      </c>
      <c r="G45" s="22">
        <v>45</v>
      </c>
      <c r="H45" s="22">
        <v>4</v>
      </c>
      <c r="I45" s="22" t="s">
        <v>11</v>
      </c>
      <c r="J45" s="23"/>
    </row>
    <row r="46" spans="1:10" outlineLevel="1" collapsed="1">
      <c r="A46" s="23"/>
      <c r="B46" s="49"/>
      <c r="C46" s="39"/>
      <c r="D46" s="51" t="s">
        <v>2222</v>
      </c>
      <c r="E46" s="22">
        <f>SUBTOTAL(3,E43:E45)</f>
        <v>3</v>
      </c>
      <c r="F46" s="22"/>
      <c r="G46" s="22"/>
      <c r="H46" s="22"/>
      <c r="I46" s="22">
        <f>SUBTOTAL(3,I43:I45)</f>
        <v>3</v>
      </c>
      <c r="J46" s="23"/>
    </row>
    <row r="47" spans="1:10" hidden="1" outlineLevel="2">
      <c r="A47" s="23">
        <v>1</v>
      </c>
      <c r="B47" s="49" t="s">
        <v>1888</v>
      </c>
      <c r="C47" s="39" t="s">
        <v>1035</v>
      </c>
      <c r="D47" s="41" t="str">
        <f t="shared" ref="D47:D53" si="0">B47&amp;"-"&amp;C47</f>
        <v>數學4-汽車二甲</v>
      </c>
      <c r="E47" s="22" t="s">
        <v>1036</v>
      </c>
      <c r="F47" s="22" t="s">
        <v>1037</v>
      </c>
      <c r="G47" s="22">
        <v>40</v>
      </c>
      <c r="H47" s="22">
        <v>4</v>
      </c>
      <c r="I47" s="22" t="s">
        <v>11</v>
      </c>
      <c r="J47" s="23"/>
    </row>
    <row r="48" spans="1:10" hidden="1" outlineLevel="2">
      <c r="A48" s="23">
        <v>1</v>
      </c>
      <c r="B48" s="49" t="s">
        <v>1888</v>
      </c>
      <c r="C48" s="39" t="s">
        <v>1035</v>
      </c>
      <c r="D48" s="41" t="str">
        <f t="shared" si="0"/>
        <v>數學4-汽車二甲</v>
      </c>
      <c r="E48" s="22" t="s">
        <v>1038</v>
      </c>
      <c r="F48" s="22" t="s">
        <v>1039</v>
      </c>
      <c r="G48" s="22">
        <v>45</v>
      </c>
      <c r="H48" s="22">
        <v>4</v>
      </c>
      <c r="I48" s="22" t="s">
        <v>11</v>
      </c>
      <c r="J48" s="23"/>
    </row>
    <row r="49" spans="1:10" hidden="1" outlineLevel="2">
      <c r="A49" s="23">
        <v>1</v>
      </c>
      <c r="B49" s="49" t="s">
        <v>1888</v>
      </c>
      <c r="C49" s="39" t="s">
        <v>1035</v>
      </c>
      <c r="D49" s="41" t="str">
        <f t="shared" si="0"/>
        <v>數學4-汽車二甲</v>
      </c>
      <c r="E49" s="22" t="s">
        <v>1291</v>
      </c>
      <c r="F49" s="22" t="s">
        <v>1292</v>
      </c>
      <c r="G49" s="22">
        <v>49</v>
      </c>
      <c r="H49" s="22">
        <v>4</v>
      </c>
      <c r="I49" s="22" t="s">
        <v>11</v>
      </c>
      <c r="J49" s="23"/>
    </row>
    <row r="50" spans="1:10" hidden="1" outlineLevel="2">
      <c r="A50" s="23">
        <v>1</v>
      </c>
      <c r="B50" s="49" t="s">
        <v>1888</v>
      </c>
      <c r="C50" s="39" t="s">
        <v>1035</v>
      </c>
      <c r="D50" s="41" t="str">
        <f t="shared" si="0"/>
        <v>數學4-汽車二甲</v>
      </c>
      <c r="E50" s="22" t="s">
        <v>1549</v>
      </c>
      <c r="F50" s="22" t="s">
        <v>1550</v>
      </c>
      <c r="G50" s="22">
        <v>44</v>
      </c>
      <c r="H50" s="22">
        <v>4</v>
      </c>
      <c r="I50" s="22" t="s">
        <v>11</v>
      </c>
      <c r="J50" s="23"/>
    </row>
    <row r="51" spans="1:10" hidden="1" outlineLevel="2">
      <c r="A51" s="23">
        <v>1</v>
      </c>
      <c r="B51" s="49" t="s">
        <v>1888</v>
      </c>
      <c r="C51" s="39" t="s">
        <v>1035</v>
      </c>
      <c r="D51" s="41" t="str">
        <f t="shared" si="0"/>
        <v>數學4-汽車二甲</v>
      </c>
      <c r="E51" s="22" t="s">
        <v>1551</v>
      </c>
      <c r="F51" s="22" t="s">
        <v>1552</v>
      </c>
      <c r="G51" s="22">
        <v>42</v>
      </c>
      <c r="H51" s="22">
        <v>4</v>
      </c>
      <c r="I51" s="22" t="s">
        <v>11</v>
      </c>
      <c r="J51" s="23"/>
    </row>
    <row r="52" spans="1:10" hidden="1" outlineLevel="2">
      <c r="A52" s="23">
        <v>1</v>
      </c>
      <c r="B52" s="49" t="s">
        <v>1888</v>
      </c>
      <c r="C52" s="39" t="s">
        <v>1035</v>
      </c>
      <c r="D52" s="41" t="str">
        <f t="shared" si="0"/>
        <v>數學4-汽車二甲</v>
      </c>
      <c r="E52" s="22" t="s">
        <v>1553</v>
      </c>
      <c r="F52" s="22" t="s">
        <v>1554</v>
      </c>
      <c r="G52" s="22">
        <v>46</v>
      </c>
      <c r="H52" s="22">
        <v>4</v>
      </c>
      <c r="I52" s="22" t="s">
        <v>11</v>
      </c>
      <c r="J52" s="23"/>
    </row>
    <row r="53" spans="1:10" hidden="1" outlineLevel="2">
      <c r="A53" s="23">
        <v>1</v>
      </c>
      <c r="B53" s="49" t="s">
        <v>1888</v>
      </c>
      <c r="C53" s="39" t="s">
        <v>1035</v>
      </c>
      <c r="D53" s="41" t="str">
        <f t="shared" si="0"/>
        <v>數學4-汽車二甲</v>
      </c>
      <c r="E53" s="22" t="s">
        <v>1293</v>
      </c>
      <c r="F53" s="22" t="s">
        <v>1294</v>
      </c>
      <c r="G53" s="22">
        <v>52</v>
      </c>
      <c r="H53" s="22">
        <v>4</v>
      </c>
      <c r="I53" s="22" t="s">
        <v>11</v>
      </c>
      <c r="J53" s="23"/>
    </row>
    <row r="54" spans="1:10" outlineLevel="1" collapsed="1">
      <c r="A54" s="23"/>
      <c r="B54" s="49"/>
      <c r="C54" s="39"/>
      <c r="D54" s="51" t="s">
        <v>2223</v>
      </c>
      <c r="E54" s="22">
        <f>SUBTOTAL(3,E47:E53)</f>
        <v>7</v>
      </c>
      <c r="F54" s="22"/>
      <c r="G54" s="22"/>
      <c r="H54" s="22"/>
      <c r="I54" s="22">
        <f>SUBTOTAL(3,I47:I53)</f>
        <v>7</v>
      </c>
      <c r="J54" s="23"/>
    </row>
    <row r="55" spans="1:10" hidden="1" outlineLevel="2">
      <c r="A55" s="23">
        <v>1</v>
      </c>
      <c r="B55" s="49" t="s">
        <v>1888</v>
      </c>
      <c r="C55" s="39" t="s">
        <v>1083</v>
      </c>
      <c r="D55" s="41" t="str">
        <f>B55&amp;"-"&amp;C55</f>
        <v>數學4-資訊二甲</v>
      </c>
      <c r="E55" s="22" t="s">
        <v>1086</v>
      </c>
      <c r="F55" s="22" t="s">
        <v>1087</v>
      </c>
      <c r="G55" s="22">
        <v>51</v>
      </c>
      <c r="H55" s="22">
        <v>4</v>
      </c>
      <c r="I55" s="22" t="s">
        <v>11</v>
      </c>
      <c r="J55" s="23"/>
    </row>
    <row r="56" spans="1:10" hidden="1" outlineLevel="2">
      <c r="A56" s="23">
        <v>1</v>
      </c>
      <c r="B56" s="49" t="s">
        <v>1888</v>
      </c>
      <c r="C56" s="39" t="s">
        <v>1083</v>
      </c>
      <c r="D56" s="41" t="str">
        <f>B56&amp;"-"&amp;C56</f>
        <v>數學4-資訊二甲</v>
      </c>
      <c r="E56" s="22" t="s">
        <v>1399</v>
      </c>
      <c r="F56" s="22" t="s">
        <v>954</v>
      </c>
      <c r="G56" s="22">
        <v>55</v>
      </c>
      <c r="H56" s="22">
        <v>4</v>
      </c>
      <c r="I56" s="22" t="s">
        <v>11</v>
      </c>
      <c r="J56" s="23"/>
    </row>
    <row r="57" spans="1:10" hidden="1" outlineLevel="2">
      <c r="A57" s="23">
        <v>1</v>
      </c>
      <c r="B57" s="49" t="s">
        <v>1888</v>
      </c>
      <c r="C57" s="39" t="s">
        <v>1083</v>
      </c>
      <c r="D57" s="41" t="str">
        <f>B57&amp;"-"&amp;C57</f>
        <v>數學4-資訊二甲</v>
      </c>
      <c r="E57" s="22" t="s">
        <v>1400</v>
      </c>
      <c r="F57" s="22" t="s">
        <v>1401</v>
      </c>
      <c r="G57" s="22">
        <v>41</v>
      </c>
      <c r="H57" s="22">
        <v>4</v>
      </c>
      <c r="I57" s="22" t="s">
        <v>11</v>
      </c>
      <c r="J57" s="23"/>
    </row>
    <row r="58" spans="1:10" hidden="1" outlineLevel="2">
      <c r="A58" s="23">
        <v>1</v>
      </c>
      <c r="B58" s="49" t="s">
        <v>1888</v>
      </c>
      <c r="C58" s="39" t="s">
        <v>1083</v>
      </c>
      <c r="D58" s="41" t="str">
        <f>B58&amp;"-"&amp;C58</f>
        <v>數學4-資訊二甲</v>
      </c>
      <c r="E58" s="22" t="s">
        <v>1402</v>
      </c>
      <c r="F58" s="22" t="s">
        <v>1403</v>
      </c>
      <c r="G58" s="22">
        <v>57</v>
      </c>
      <c r="H58" s="22">
        <v>4</v>
      </c>
      <c r="I58" s="22" t="s">
        <v>11</v>
      </c>
      <c r="J58" s="23"/>
    </row>
    <row r="59" spans="1:10" hidden="1" outlineLevel="2">
      <c r="A59" s="23">
        <v>1</v>
      </c>
      <c r="B59" s="49" t="s">
        <v>1888</v>
      </c>
      <c r="C59" s="39" t="s">
        <v>1083</v>
      </c>
      <c r="D59" s="41" t="str">
        <f>B59&amp;"-"&amp;C59</f>
        <v>數學4-資訊二甲</v>
      </c>
      <c r="E59" s="22" t="s">
        <v>1100</v>
      </c>
      <c r="F59" s="22" t="s">
        <v>1101</v>
      </c>
      <c r="G59" s="22">
        <v>41</v>
      </c>
      <c r="H59" s="22">
        <v>4</v>
      </c>
      <c r="I59" s="22" t="s">
        <v>11</v>
      </c>
      <c r="J59" s="23"/>
    </row>
    <row r="60" spans="1:10" outlineLevel="1" collapsed="1">
      <c r="A60" s="23"/>
      <c r="B60" s="49"/>
      <c r="C60" s="39"/>
      <c r="D60" s="51" t="s">
        <v>2224</v>
      </c>
      <c r="E60" s="22">
        <f>SUBTOTAL(3,E55:E59)</f>
        <v>5</v>
      </c>
      <c r="F60" s="22"/>
      <c r="G60" s="22"/>
      <c r="H60" s="22"/>
      <c r="I60" s="22">
        <f>SUBTOTAL(3,I55:I59)</f>
        <v>5</v>
      </c>
      <c r="J60" s="23"/>
    </row>
    <row r="61" spans="1:10" hidden="1" outlineLevel="2">
      <c r="A61" s="23">
        <v>1</v>
      </c>
      <c r="B61" s="49" t="s">
        <v>1888</v>
      </c>
      <c r="C61" s="39" t="s">
        <v>1200</v>
      </c>
      <c r="D61" s="41" t="str">
        <f t="shared" ref="D61:D67" si="1">B61&amp;"-"&amp;C61</f>
        <v>數學4-電機二乙</v>
      </c>
      <c r="E61" s="22" t="s">
        <v>1515</v>
      </c>
      <c r="F61" s="22" t="s">
        <v>1516</v>
      </c>
      <c r="G61" s="22">
        <v>46</v>
      </c>
      <c r="H61" s="22">
        <v>4</v>
      </c>
      <c r="I61" s="22" t="s">
        <v>11</v>
      </c>
      <c r="J61" s="23"/>
    </row>
    <row r="62" spans="1:10" hidden="1" outlineLevel="2">
      <c r="A62" s="23">
        <v>1</v>
      </c>
      <c r="B62" s="49" t="s">
        <v>1888</v>
      </c>
      <c r="C62" s="39" t="s">
        <v>1200</v>
      </c>
      <c r="D62" s="41" t="str">
        <f t="shared" si="1"/>
        <v>數學4-電機二乙</v>
      </c>
      <c r="E62" s="22" t="s">
        <v>1201</v>
      </c>
      <c r="F62" s="22" t="s">
        <v>1202</v>
      </c>
      <c r="G62" s="22">
        <v>42</v>
      </c>
      <c r="H62" s="22">
        <v>4</v>
      </c>
      <c r="I62" s="22" t="s">
        <v>11</v>
      </c>
      <c r="J62" s="23"/>
    </row>
    <row r="63" spans="1:10" hidden="1" outlineLevel="2">
      <c r="A63" s="23">
        <v>1</v>
      </c>
      <c r="B63" s="49" t="s">
        <v>1888</v>
      </c>
      <c r="C63" s="39" t="s">
        <v>1200</v>
      </c>
      <c r="D63" s="41" t="str">
        <f t="shared" si="1"/>
        <v>數學4-電機二乙</v>
      </c>
      <c r="E63" s="22" t="s">
        <v>1203</v>
      </c>
      <c r="F63" s="22" t="s">
        <v>1204</v>
      </c>
      <c r="G63" s="22">
        <v>40</v>
      </c>
      <c r="H63" s="22">
        <v>4</v>
      </c>
      <c r="I63" s="22" t="s">
        <v>11</v>
      </c>
      <c r="J63" s="23"/>
    </row>
    <row r="64" spans="1:10" hidden="1" outlineLevel="2">
      <c r="A64" s="23">
        <v>1</v>
      </c>
      <c r="B64" s="49" t="s">
        <v>1888</v>
      </c>
      <c r="C64" s="39" t="s">
        <v>1200</v>
      </c>
      <c r="D64" s="41" t="str">
        <f t="shared" si="1"/>
        <v>數學4-電機二乙</v>
      </c>
      <c r="E64" s="22" t="s">
        <v>1209</v>
      </c>
      <c r="F64" s="22" t="s">
        <v>1210</v>
      </c>
      <c r="G64" s="22">
        <v>40</v>
      </c>
      <c r="H64" s="22">
        <v>4</v>
      </c>
      <c r="I64" s="22" t="s">
        <v>11</v>
      </c>
      <c r="J64" s="23"/>
    </row>
    <row r="65" spans="1:10" hidden="1" outlineLevel="2">
      <c r="A65" s="23">
        <v>1</v>
      </c>
      <c r="B65" s="49" t="s">
        <v>1888</v>
      </c>
      <c r="C65" s="39" t="s">
        <v>1200</v>
      </c>
      <c r="D65" s="41" t="str">
        <f t="shared" si="1"/>
        <v>數學4-電機二乙</v>
      </c>
      <c r="E65" s="22" t="s">
        <v>1211</v>
      </c>
      <c r="F65" s="22" t="s">
        <v>1212</v>
      </c>
      <c r="G65" s="22">
        <v>48</v>
      </c>
      <c r="H65" s="22">
        <v>4</v>
      </c>
      <c r="I65" s="22" t="s">
        <v>11</v>
      </c>
      <c r="J65" s="23"/>
    </row>
    <row r="66" spans="1:10" hidden="1" outlineLevel="2">
      <c r="A66" s="23">
        <v>1</v>
      </c>
      <c r="B66" s="49" t="s">
        <v>1888</v>
      </c>
      <c r="C66" s="39" t="s">
        <v>1200</v>
      </c>
      <c r="D66" s="41" t="str">
        <f t="shared" si="1"/>
        <v>數學4-電機二乙</v>
      </c>
      <c r="E66" s="22" t="s">
        <v>1213</v>
      </c>
      <c r="F66" s="22" t="s">
        <v>1214</v>
      </c>
      <c r="G66" s="22">
        <v>40</v>
      </c>
      <c r="H66" s="22">
        <v>4</v>
      </c>
      <c r="I66" s="22" t="s">
        <v>11</v>
      </c>
      <c r="J66" s="23"/>
    </row>
    <row r="67" spans="1:10" hidden="1" outlineLevel="2">
      <c r="A67" s="23">
        <v>1</v>
      </c>
      <c r="B67" s="49" t="s">
        <v>1888</v>
      </c>
      <c r="C67" s="39" t="s">
        <v>1200</v>
      </c>
      <c r="D67" s="41" t="str">
        <f t="shared" si="1"/>
        <v>數學4-電機二乙</v>
      </c>
      <c r="E67" s="22" t="s">
        <v>1215</v>
      </c>
      <c r="F67" s="22" t="s">
        <v>1216</v>
      </c>
      <c r="G67" s="22">
        <v>40</v>
      </c>
      <c r="H67" s="22">
        <v>4</v>
      </c>
      <c r="I67" s="22" t="s">
        <v>11</v>
      </c>
      <c r="J67" s="23"/>
    </row>
    <row r="68" spans="1:10" outlineLevel="1" collapsed="1">
      <c r="A68" s="23"/>
      <c r="B68" s="49"/>
      <c r="C68" s="39"/>
      <c r="D68" s="51" t="s">
        <v>2225</v>
      </c>
      <c r="E68" s="22">
        <f>SUBTOTAL(3,E61:E67)</f>
        <v>7</v>
      </c>
      <c r="F68" s="22"/>
      <c r="G68" s="22"/>
      <c r="H68" s="22"/>
      <c r="I68" s="22">
        <f>SUBTOTAL(3,I61:I67)</f>
        <v>7</v>
      </c>
      <c r="J68" s="23"/>
    </row>
    <row r="69" spans="1:10" hidden="1" outlineLevel="2">
      <c r="A69" s="23">
        <v>1</v>
      </c>
      <c r="B69" s="49" t="s">
        <v>1888</v>
      </c>
      <c r="C69" s="39" t="s">
        <v>1184</v>
      </c>
      <c r="D69" s="41" t="str">
        <f t="shared" ref="D69:D75" si="2">B69&amp;"-"&amp;C69</f>
        <v>數學4-電機二丙</v>
      </c>
      <c r="E69" s="22" t="s">
        <v>1517</v>
      </c>
      <c r="F69" s="22" t="s">
        <v>1518</v>
      </c>
      <c r="G69" s="22">
        <v>46</v>
      </c>
      <c r="H69" s="22">
        <v>4</v>
      </c>
      <c r="I69" s="22" t="s">
        <v>11</v>
      </c>
      <c r="J69" s="23"/>
    </row>
    <row r="70" spans="1:10" hidden="1" outlineLevel="2">
      <c r="A70" s="23">
        <v>1</v>
      </c>
      <c r="B70" s="49" t="s">
        <v>1888</v>
      </c>
      <c r="C70" s="39" t="s">
        <v>1184</v>
      </c>
      <c r="D70" s="41" t="str">
        <f t="shared" si="2"/>
        <v>數學4-電機二丙</v>
      </c>
      <c r="E70" s="22" t="s">
        <v>1519</v>
      </c>
      <c r="F70" s="22" t="s">
        <v>1520</v>
      </c>
      <c r="G70" s="22">
        <v>50</v>
      </c>
      <c r="H70" s="22">
        <v>4</v>
      </c>
      <c r="I70" s="22" t="s">
        <v>11</v>
      </c>
      <c r="J70" s="23"/>
    </row>
    <row r="71" spans="1:10" hidden="1" outlineLevel="2">
      <c r="A71" s="23">
        <v>1</v>
      </c>
      <c r="B71" s="49" t="s">
        <v>1888</v>
      </c>
      <c r="C71" s="39" t="s">
        <v>1184</v>
      </c>
      <c r="D71" s="41" t="str">
        <f t="shared" si="2"/>
        <v>數學4-電機二丙</v>
      </c>
      <c r="E71" s="22" t="s">
        <v>1187</v>
      </c>
      <c r="F71" s="22" t="s">
        <v>1188</v>
      </c>
      <c r="G71" s="22">
        <v>50</v>
      </c>
      <c r="H71" s="22">
        <v>4</v>
      </c>
      <c r="I71" s="22" t="s">
        <v>11</v>
      </c>
      <c r="J71" s="23"/>
    </row>
    <row r="72" spans="1:10" hidden="1" outlineLevel="2">
      <c r="A72" s="23">
        <v>1</v>
      </c>
      <c r="B72" s="49" t="s">
        <v>1888</v>
      </c>
      <c r="C72" s="39" t="s">
        <v>1184</v>
      </c>
      <c r="D72" s="41" t="str">
        <f t="shared" si="2"/>
        <v>數學4-電機二丙</v>
      </c>
      <c r="E72" s="22" t="s">
        <v>1521</v>
      </c>
      <c r="F72" s="22" t="s">
        <v>1522</v>
      </c>
      <c r="G72" s="22">
        <v>46</v>
      </c>
      <c r="H72" s="22">
        <v>4</v>
      </c>
      <c r="I72" s="22" t="s">
        <v>11</v>
      </c>
      <c r="J72" s="23"/>
    </row>
    <row r="73" spans="1:10" hidden="1" outlineLevel="2">
      <c r="A73" s="23">
        <v>1</v>
      </c>
      <c r="B73" s="49" t="s">
        <v>1888</v>
      </c>
      <c r="C73" s="39" t="s">
        <v>1184</v>
      </c>
      <c r="D73" s="41" t="str">
        <f t="shared" si="2"/>
        <v>數學4-電機二丙</v>
      </c>
      <c r="E73" s="22" t="s">
        <v>1523</v>
      </c>
      <c r="F73" s="22" t="s">
        <v>1524</v>
      </c>
      <c r="G73" s="22">
        <v>51</v>
      </c>
      <c r="H73" s="22">
        <v>4</v>
      </c>
      <c r="I73" s="22" t="s">
        <v>11</v>
      </c>
      <c r="J73" s="23"/>
    </row>
    <row r="74" spans="1:10" hidden="1" outlineLevel="2">
      <c r="A74" s="23">
        <v>1</v>
      </c>
      <c r="B74" s="49" t="s">
        <v>1888</v>
      </c>
      <c r="C74" s="39" t="s">
        <v>1184</v>
      </c>
      <c r="D74" s="41" t="str">
        <f t="shared" si="2"/>
        <v>數學4-電機二丙</v>
      </c>
      <c r="E74" s="22" t="s">
        <v>1393</v>
      </c>
      <c r="F74" s="22" t="s">
        <v>1394</v>
      </c>
      <c r="G74" s="22">
        <v>43</v>
      </c>
      <c r="H74" s="22">
        <v>4</v>
      </c>
      <c r="I74" s="22" t="s">
        <v>11</v>
      </c>
      <c r="J74" s="23"/>
    </row>
    <row r="75" spans="1:10" hidden="1" outlineLevel="2">
      <c r="A75" s="23">
        <v>1</v>
      </c>
      <c r="B75" s="49" t="s">
        <v>1888</v>
      </c>
      <c r="C75" s="39" t="s">
        <v>1184</v>
      </c>
      <c r="D75" s="41" t="str">
        <f t="shared" si="2"/>
        <v>數學4-電機二丙</v>
      </c>
      <c r="E75" s="22" t="s">
        <v>1395</v>
      </c>
      <c r="F75" s="22" t="s">
        <v>1396</v>
      </c>
      <c r="G75" s="22">
        <v>40</v>
      </c>
      <c r="H75" s="22">
        <v>4</v>
      </c>
      <c r="I75" s="22" t="s">
        <v>11</v>
      </c>
      <c r="J75" s="23"/>
    </row>
    <row r="76" spans="1:10" outlineLevel="1" collapsed="1">
      <c r="A76" s="23"/>
      <c r="B76" s="49"/>
      <c r="C76" s="39"/>
      <c r="D76" s="51" t="s">
        <v>2226</v>
      </c>
      <c r="E76" s="22">
        <f>SUBTOTAL(3,E69:E75)</f>
        <v>7</v>
      </c>
      <c r="F76" s="22"/>
      <c r="G76" s="22"/>
      <c r="H76" s="22"/>
      <c r="I76" s="22">
        <f>SUBTOTAL(3,I69:I75)</f>
        <v>7</v>
      </c>
      <c r="J76" s="23"/>
    </row>
    <row r="77" spans="1:10" hidden="1" outlineLevel="2">
      <c r="A77" s="23">
        <v>1</v>
      </c>
      <c r="B77" s="49" t="s">
        <v>1888</v>
      </c>
      <c r="C77" s="39" t="s">
        <v>1054</v>
      </c>
      <c r="D77" s="41" t="str">
        <f>B77&amp;"-"&amp;C77</f>
        <v>數學4-電機二甲</v>
      </c>
      <c r="E77" s="22" t="s">
        <v>1483</v>
      </c>
      <c r="F77" s="22" t="s">
        <v>1484</v>
      </c>
      <c r="G77" s="22">
        <v>40</v>
      </c>
      <c r="H77" s="22">
        <v>4</v>
      </c>
      <c r="I77" s="22" t="s">
        <v>11</v>
      </c>
      <c r="J77" s="23"/>
    </row>
    <row r="78" spans="1:10" outlineLevel="1" collapsed="1">
      <c r="A78" s="23"/>
      <c r="B78" s="49"/>
      <c r="C78" s="39"/>
      <c r="D78" s="51" t="s">
        <v>2227</v>
      </c>
      <c r="E78" s="22">
        <f>SUBTOTAL(3,E77:E77)</f>
        <v>1</v>
      </c>
      <c r="F78" s="22"/>
      <c r="G78" s="22"/>
      <c r="H78" s="22"/>
      <c r="I78" s="22">
        <f>SUBTOTAL(3,I77:I77)</f>
        <v>1</v>
      </c>
      <c r="J78" s="23">
        <f>E78+E76+E68+E60+E54+E46</f>
        <v>30</v>
      </c>
    </row>
    <row r="79" spans="1:10" hidden="1" outlineLevel="2">
      <c r="A79" s="23">
        <v>1</v>
      </c>
      <c r="B79" s="49" t="s">
        <v>1888</v>
      </c>
      <c r="C79" s="39" t="s">
        <v>1231</v>
      </c>
      <c r="D79" s="41" t="str">
        <f t="shared" ref="D79:D91" si="3">B79&amp;"-"&amp;C79</f>
        <v>數學4-製圖二乙</v>
      </c>
      <c r="E79" s="22" t="s">
        <v>1232</v>
      </c>
      <c r="F79" s="22" t="s">
        <v>1233</v>
      </c>
      <c r="G79" s="22">
        <v>46</v>
      </c>
      <c r="H79" s="22">
        <v>4</v>
      </c>
      <c r="I79" s="22" t="s">
        <v>11</v>
      </c>
      <c r="J79" s="23"/>
    </row>
    <row r="80" spans="1:10" hidden="1" outlineLevel="2">
      <c r="A80" s="23">
        <v>1</v>
      </c>
      <c r="B80" s="49" t="s">
        <v>1888</v>
      </c>
      <c r="C80" s="39" t="s">
        <v>1231</v>
      </c>
      <c r="D80" s="41" t="str">
        <f t="shared" si="3"/>
        <v>數學4-製圖二乙</v>
      </c>
      <c r="E80" s="22" t="s">
        <v>1412</v>
      </c>
      <c r="F80" s="22" t="s">
        <v>1413</v>
      </c>
      <c r="G80" s="22">
        <v>41</v>
      </c>
      <c r="H80" s="22">
        <v>4</v>
      </c>
      <c r="I80" s="22" t="s">
        <v>11</v>
      </c>
      <c r="J80" s="23"/>
    </row>
    <row r="81" spans="1:10" hidden="1" outlineLevel="2">
      <c r="A81" s="23">
        <v>1</v>
      </c>
      <c r="B81" s="49" t="s">
        <v>1888</v>
      </c>
      <c r="C81" s="39" t="s">
        <v>1231</v>
      </c>
      <c r="D81" s="41" t="str">
        <f t="shared" si="3"/>
        <v>數學4-製圖二乙</v>
      </c>
      <c r="E81" s="22" t="s">
        <v>1414</v>
      </c>
      <c r="F81" s="22" t="s">
        <v>1415</v>
      </c>
      <c r="G81" s="22">
        <v>54</v>
      </c>
      <c r="H81" s="22">
        <v>4</v>
      </c>
      <c r="I81" s="22" t="s">
        <v>11</v>
      </c>
      <c r="J81" s="23"/>
    </row>
    <row r="82" spans="1:10" hidden="1" outlineLevel="2">
      <c r="A82" s="23">
        <v>1</v>
      </c>
      <c r="B82" s="49" t="s">
        <v>1888</v>
      </c>
      <c r="C82" s="39" t="s">
        <v>1231</v>
      </c>
      <c r="D82" s="41" t="str">
        <f t="shared" si="3"/>
        <v>數學4-製圖二乙</v>
      </c>
      <c r="E82" s="22" t="s">
        <v>1465</v>
      </c>
      <c r="F82" s="22" t="s">
        <v>1466</v>
      </c>
      <c r="G82" s="22">
        <v>46</v>
      </c>
      <c r="H82" s="22">
        <v>4</v>
      </c>
      <c r="I82" s="22" t="s">
        <v>11</v>
      </c>
      <c r="J82" s="23"/>
    </row>
    <row r="83" spans="1:10" hidden="1" outlineLevel="2">
      <c r="A83" s="23">
        <v>1</v>
      </c>
      <c r="B83" s="49" t="s">
        <v>1888</v>
      </c>
      <c r="C83" s="39" t="s">
        <v>1231</v>
      </c>
      <c r="D83" s="41" t="str">
        <f t="shared" si="3"/>
        <v>數學4-製圖二乙</v>
      </c>
      <c r="E83" s="22" t="s">
        <v>1467</v>
      </c>
      <c r="F83" s="22" t="s">
        <v>1468</v>
      </c>
      <c r="G83" s="22">
        <v>47</v>
      </c>
      <c r="H83" s="22">
        <v>4</v>
      </c>
      <c r="I83" s="22" t="s">
        <v>11</v>
      </c>
      <c r="J83" s="23"/>
    </row>
    <row r="84" spans="1:10" hidden="1" outlineLevel="2">
      <c r="A84" s="23">
        <v>1</v>
      </c>
      <c r="B84" s="49" t="s">
        <v>1888</v>
      </c>
      <c r="C84" s="39" t="s">
        <v>1231</v>
      </c>
      <c r="D84" s="41" t="str">
        <f t="shared" si="3"/>
        <v>數學4-製圖二乙</v>
      </c>
      <c r="E84" s="22" t="s">
        <v>1418</v>
      </c>
      <c r="F84" s="22" t="s">
        <v>1419</v>
      </c>
      <c r="G84" s="22">
        <v>48</v>
      </c>
      <c r="H84" s="22">
        <v>4</v>
      </c>
      <c r="I84" s="22" t="s">
        <v>11</v>
      </c>
      <c r="J84" s="23"/>
    </row>
    <row r="85" spans="1:10" hidden="1" outlineLevel="2">
      <c r="A85" s="23">
        <v>1</v>
      </c>
      <c r="B85" s="49" t="s">
        <v>1888</v>
      </c>
      <c r="C85" s="39" t="s">
        <v>1231</v>
      </c>
      <c r="D85" s="41" t="str">
        <f t="shared" si="3"/>
        <v>數學4-製圖二乙</v>
      </c>
      <c r="E85" s="22" t="s">
        <v>1525</v>
      </c>
      <c r="F85" s="22" t="s">
        <v>1526</v>
      </c>
      <c r="G85" s="22">
        <v>55</v>
      </c>
      <c r="H85" s="22">
        <v>4</v>
      </c>
      <c r="I85" s="22" t="s">
        <v>11</v>
      </c>
      <c r="J85" s="23"/>
    </row>
    <row r="86" spans="1:10" hidden="1" outlineLevel="2">
      <c r="A86" s="23">
        <v>1</v>
      </c>
      <c r="B86" s="49" t="s">
        <v>1888</v>
      </c>
      <c r="C86" s="39" t="s">
        <v>1231</v>
      </c>
      <c r="D86" s="41" t="str">
        <f t="shared" si="3"/>
        <v>數學4-製圖二乙</v>
      </c>
      <c r="E86" s="22" t="s">
        <v>1238</v>
      </c>
      <c r="F86" s="22" t="s">
        <v>1239</v>
      </c>
      <c r="G86" s="22">
        <v>40</v>
      </c>
      <c r="H86" s="22">
        <v>4</v>
      </c>
      <c r="I86" s="22" t="s">
        <v>11</v>
      </c>
      <c r="J86" s="23"/>
    </row>
    <row r="87" spans="1:10" hidden="1" outlineLevel="2">
      <c r="A87" s="23">
        <v>1</v>
      </c>
      <c r="B87" s="49" t="s">
        <v>1888</v>
      </c>
      <c r="C87" s="39" t="s">
        <v>1231</v>
      </c>
      <c r="D87" s="41" t="str">
        <f t="shared" si="3"/>
        <v>數學4-製圖二乙</v>
      </c>
      <c r="E87" s="22" t="s">
        <v>1240</v>
      </c>
      <c r="F87" s="22" t="s">
        <v>157</v>
      </c>
      <c r="G87" s="22">
        <v>44</v>
      </c>
      <c r="H87" s="22">
        <v>4</v>
      </c>
      <c r="I87" s="22" t="s">
        <v>11</v>
      </c>
      <c r="J87" s="23"/>
    </row>
    <row r="88" spans="1:10" hidden="1" outlineLevel="2">
      <c r="A88" s="23">
        <v>1</v>
      </c>
      <c r="B88" s="49" t="s">
        <v>1888</v>
      </c>
      <c r="C88" s="39" t="s">
        <v>1231</v>
      </c>
      <c r="D88" s="41" t="str">
        <f t="shared" si="3"/>
        <v>數學4-製圖二乙</v>
      </c>
      <c r="E88" s="22" t="s">
        <v>1527</v>
      </c>
      <c r="F88" s="22" t="s">
        <v>1528</v>
      </c>
      <c r="G88" s="22">
        <v>48</v>
      </c>
      <c r="H88" s="22">
        <v>4</v>
      </c>
      <c r="I88" s="22" t="s">
        <v>11</v>
      </c>
      <c r="J88" s="23"/>
    </row>
    <row r="89" spans="1:10" hidden="1" outlineLevel="2">
      <c r="A89" s="23">
        <v>1</v>
      </c>
      <c r="B89" s="49" t="s">
        <v>1888</v>
      </c>
      <c r="C89" s="39" t="s">
        <v>1231</v>
      </c>
      <c r="D89" s="41" t="str">
        <f t="shared" si="3"/>
        <v>數學4-製圖二乙</v>
      </c>
      <c r="E89" s="22" t="s">
        <v>1529</v>
      </c>
      <c r="F89" s="22" t="s">
        <v>1530</v>
      </c>
      <c r="G89" s="22">
        <v>49</v>
      </c>
      <c r="H89" s="22">
        <v>4</v>
      </c>
      <c r="I89" s="22" t="s">
        <v>11</v>
      </c>
      <c r="J89" s="23"/>
    </row>
    <row r="90" spans="1:10" hidden="1" outlineLevel="2">
      <c r="A90" s="23">
        <v>1</v>
      </c>
      <c r="B90" s="49" t="s">
        <v>1888</v>
      </c>
      <c r="C90" s="39" t="s">
        <v>1231</v>
      </c>
      <c r="D90" s="41" t="str">
        <f t="shared" si="3"/>
        <v>數學4-製圖二乙</v>
      </c>
      <c r="E90" s="22" t="s">
        <v>1241</v>
      </c>
      <c r="F90" s="22" t="s">
        <v>1242</v>
      </c>
      <c r="G90" s="22">
        <v>54</v>
      </c>
      <c r="H90" s="22">
        <v>4</v>
      </c>
      <c r="I90" s="22" t="s">
        <v>11</v>
      </c>
      <c r="J90" s="23"/>
    </row>
    <row r="91" spans="1:10" hidden="1" outlineLevel="2">
      <c r="A91" s="23">
        <v>1</v>
      </c>
      <c r="B91" s="49" t="s">
        <v>1888</v>
      </c>
      <c r="C91" s="39" t="s">
        <v>1231</v>
      </c>
      <c r="D91" s="41" t="str">
        <f t="shared" si="3"/>
        <v>數學4-製圖二乙</v>
      </c>
      <c r="E91" s="22" t="s">
        <v>1531</v>
      </c>
      <c r="F91" s="22" t="s">
        <v>1532</v>
      </c>
      <c r="G91" s="22">
        <v>54</v>
      </c>
      <c r="H91" s="22">
        <v>4</v>
      </c>
      <c r="I91" s="22" t="s">
        <v>11</v>
      </c>
      <c r="J91" s="23"/>
    </row>
    <row r="92" spans="1:10" outlineLevel="1" collapsed="1">
      <c r="A92" s="23"/>
      <c r="B92" s="49"/>
      <c r="C92" s="39"/>
      <c r="D92" s="51" t="s">
        <v>2228</v>
      </c>
      <c r="E92" s="22">
        <f>SUBTOTAL(3,E79:E91)</f>
        <v>13</v>
      </c>
      <c r="F92" s="22"/>
      <c r="G92" s="22"/>
      <c r="H92" s="22"/>
      <c r="I92" s="22">
        <f>SUBTOTAL(3,I79:I91)</f>
        <v>13</v>
      </c>
      <c r="J92" s="23"/>
    </row>
    <row r="93" spans="1:10" hidden="1" outlineLevel="2">
      <c r="A93" s="23">
        <v>1</v>
      </c>
      <c r="B93" s="49" t="s">
        <v>1888</v>
      </c>
      <c r="C93" s="39" t="s">
        <v>1102</v>
      </c>
      <c r="D93" s="41" t="str">
        <f t="shared" ref="D93:D100" si="4">B93&amp;"-"&amp;C93</f>
        <v>數學4-製圖二丙</v>
      </c>
      <c r="E93" s="22" t="s">
        <v>1107</v>
      </c>
      <c r="F93" s="22" t="s">
        <v>1108</v>
      </c>
      <c r="G93" s="22">
        <v>40</v>
      </c>
      <c r="H93" s="22">
        <v>4</v>
      </c>
      <c r="I93" s="22" t="s">
        <v>11</v>
      </c>
      <c r="J93" s="23"/>
    </row>
    <row r="94" spans="1:10" hidden="1" outlineLevel="2">
      <c r="A94" s="23">
        <v>1</v>
      </c>
      <c r="B94" s="49" t="s">
        <v>1888</v>
      </c>
      <c r="C94" s="39" t="s">
        <v>1102</v>
      </c>
      <c r="D94" s="41" t="str">
        <f t="shared" si="4"/>
        <v>數學4-製圖二丙</v>
      </c>
      <c r="E94" s="22" t="s">
        <v>1445</v>
      </c>
      <c r="F94" s="22" t="s">
        <v>1446</v>
      </c>
      <c r="G94" s="22">
        <v>49</v>
      </c>
      <c r="H94" s="22">
        <v>4</v>
      </c>
      <c r="I94" s="22" t="s">
        <v>11</v>
      </c>
      <c r="J94" s="23"/>
    </row>
    <row r="95" spans="1:10" hidden="1" outlineLevel="2">
      <c r="A95" s="23">
        <v>1</v>
      </c>
      <c r="B95" s="49" t="s">
        <v>1888</v>
      </c>
      <c r="C95" s="39" t="s">
        <v>1102</v>
      </c>
      <c r="D95" s="41" t="str">
        <f t="shared" si="4"/>
        <v>數學4-製圖二丙</v>
      </c>
      <c r="E95" s="22" t="s">
        <v>1117</v>
      </c>
      <c r="F95" s="22" t="s">
        <v>1118</v>
      </c>
      <c r="G95" s="22">
        <v>40</v>
      </c>
      <c r="H95" s="22">
        <v>4</v>
      </c>
      <c r="I95" s="22" t="s">
        <v>11</v>
      </c>
      <c r="J95" s="23"/>
    </row>
    <row r="96" spans="1:10" hidden="1" outlineLevel="2">
      <c r="A96" s="23">
        <v>1</v>
      </c>
      <c r="B96" s="49" t="s">
        <v>1888</v>
      </c>
      <c r="C96" s="39" t="s">
        <v>1102</v>
      </c>
      <c r="D96" s="41" t="str">
        <f t="shared" si="4"/>
        <v>數學4-製圖二丙</v>
      </c>
      <c r="E96" s="22" t="s">
        <v>1121</v>
      </c>
      <c r="F96" s="22" t="s">
        <v>1122</v>
      </c>
      <c r="G96" s="22">
        <v>52</v>
      </c>
      <c r="H96" s="22">
        <v>4</v>
      </c>
      <c r="I96" s="22" t="s">
        <v>11</v>
      </c>
      <c r="J96" s="23"/>
    </row>
    <row r="97" spans="1:10" hidden="1" outlineLevel="2">
      <c r="A97" s="23">
        <v>1</v>
      </c>
      <c r="B97" s="49" t="s">
        <v>1888</v>
      </c>
      <c r="C97" s="39" t="s">
        <v>1102</v>
      </c>
      <c r="D97" s="41" t="str">
        <f t="shared" si="4"/>
        <v>數學4-製圖二丙</v>
      </c>
      <c r="E97" s="22" t="s">
        <v>1125</v>
      </c>
      <c r="F97" s="22" t="s">
        <v>1126</v>
      </c>
      <c r="G97" s="22">
        <v>55</v>
      </c>
      <c r="H97" s="22">
        <v>4</v>
      </c>
      <c r="I97" s="22" t="s">
        <v>11</v>
      </c>
      <c r="J97" s="23"/>
    </row>
    <row r="98" spans="1:10" hidden="1" outlineLevel="2">
      <c r="A98" s="23">
        <v>1</v>
      </c>
      <c r="B98" s="49" t="s">
        <v>1888</v>
      </c>
      <c r="C98" s="39" t="s">
        <v>1102</v>
      </c>
      <c r="D98" s="41" t="str">
        <f t="shared" si="4"/>
        <v>數學4-製圖二丙</v>
      </c>
      <c r="E98" s="22" t="s">
        <v>1499</v>
      </c>
      <c r="F98" s="22" t="s">
        <v>1500</v>
      </c>
      <c r="G98" s="22">
        <v>49</v>
      </c>
      <c r="H98" s="22">
        <v>4</v>
      </c>
      <c r="I98" s="22" t="s">
        <v>11</v>
      </c>
      <c r="J98" s="23"/>
    </row>
    <row r="99" spans="1:10" hidden="1" outlineLevel="2">
      <c r="A99" s="23">
        <v>1</v>
      </c>
      <c r="B99" s="49" t="s">
        <v>1888</v>
      </c>
      <c r="C99" s="39" t="s">
        <v>1102</v>
      </c>
      <c r="D99" s="41" t="str">
        <f t="shared" si="4"/>
        <v>數學4-製圖二丙</v>
      </c>
      <c r="E99" s="22" t="s">
        <v>1129</v>
      </c>
      <c r="F99" s="22" t="s">
        <v>1130</v>
      </c>
      <c r="G99" s="22">
        <v>46</v>
      </c>
      <c r="H99" s="22">
        <v>4</v>
      </c>
      <c r="I99" s="22" t="s">
        <v>11</v>
      </c>
      <c r="J99" s="23"/>
    </row>
    <row r="100" spans="1:10" hidden="1" outlineLevel="2">
      <c r="A100" s="23">
        <v>1</v>
      </c>
      <c r="B100" s="49" t="s">
        <v>1888</v>
      </c>
      <c r="C100" s="39" t="s">
        <v>1102</v>
      </c>
      <c r="D100" s="41" t="str">
        <f t="shared" si="4"/>
        <v>數學4-製圖二丙</v>
      </c>
      <c r="E100" s="22" t="s">
        <v>1133</v>
      </c>
      <c r="F100" s="22" t="s">
        <v>1134</v>
      </c>
      <c r="G100" s="22">
        <v>55</v>
      </c>
      <c r="H100" s="22">
        <v>4</v>
      </c>
      <c r="I100" s="22" t="s">
        <v>11</v>
      </c>
      <c r="J100" s="23"/>
    </row>
    <row r="101" spans="1:10" outlineLevel="1" collapsed="1">
      <c r="A101" s="23"/>
      <c r="B101" s="49"/>
      <c r="C101" s="39"/>
      <c r="D101" s="51" t="s">
        <v>2229</v>
      </c>
      <c r="E101" s="22">
        <f>SUBTOTAL(3,E93:E100)</f>
        <v>8</v>
      </c>
      <c r="F101" s="22"/>
      <c r="G101" s="22"/>
      <c r="H101" s="22"/>
      <c r="I101" s="22">
        <f>SUBTOTAL(3,I93:I100)</f>
        <v>8</v>
      </c>
      <c r="J101" s="23"/>
    </row>
    <row r="102" spans="1:10" hidden="1" outlineLevel="2">
      <c r="A102" s="23">
        <v>1</v>
      </c>
      <c r="B102" s="49" t="s">
        <v>1888</v>
      </c>
      <c r="C102" s="39" t="s">
        <v>1191</v>
      </c>
      <c r="D102" s="41" t="str">
        <f t="shared" ref="D102:D112" si="5">B102&amp;"-"&amp;C102</f>
        <v>數學4-製圖二甲</v>
      </c>
      <c r="E102" s="22" t="s">
        <v>1501</v>
      </c>
      <c r="F102" s="22" t="s">
        <v>1502</v>
      </c>
      <c r="G102" s="22">
        <v>50</v>
      </c>
      <c r="H102" s="22">
        <v>4</v>
      </c>
      <c r="I102" s="22" t="s">
        <v>11</v>
      </c>
      <c r="J102" s="23"/>
    </row>
    <row r="103" spans="1:10" hidden="1" outlineLevel="2">
      <c r="A103" s="23">
        <v>1</v>
      </c>
      <c r="B103" s="49" t="s">
        <v>1888</v>
      </c>
      <c r="C103" s="39" t="s">
        <v>1191</v>
      </c>
      <c r="D103" s="41" t="str">
        <f t="shared" si="5"/>
        <v>數學4-製圖二甲</v>
      </c>
      <c r="E103" s="22" t="s">
        <v>1453</v>
      </c>
      <c r="F103" s="22" t="s">
        <v>1454</v>
      </c>
      <c r="G103" s="22">
        <v>55</v>
      </c>
      <c r="H103" s="22">
        <v>4</v>
      </c>
      <c r="I103" s="22" t="s">
        <v>11</v>
      </c>
      <c r="J103" s="23"/>
    </row>
    <row r="104" spans="1:10" hidden="1" outlineLevel="2">
      <c r="A104" s="23">
        <v>1</v>
      </c>
      <c r="B104" s="49" t="s">
        <v>1888</v>
      </c>
      <c r="C104" s="39" t="s">
        <v>1191</v>
      </c>
      <c r="D104" s="41" t="str">
        <f t="shared" si="5"/>
        <v>數學4-製圖二甲</v>
      </c>
      <c r="E104" s="22" t="s">
        <v>1192</v>
      </c>
      <c r="F104" s="22" t="s">
        <v>1193</v>
      </c>
      <c r="G104" s="22">
        <v>49</v>
      </c>
      <c r="H104" s="22">
        <v>4</v>
      </c>
      <c r="I104" s="22" t="s">
        <v>11</v>
      </c>
      <c r="J104" s="23"/>
    </row>
    <row r="105" spans="1:10" hidden="1" outlineLevel="2">
      <c r="A105" s="23">
        <v>1</v>
      </c>
      <c r="B105" s="49" t="s">
        <v>1888</v>
      </c>
      <c r="C105" s="39" t="s">
        <v>1191</v>
      </c>
      <c r="D105" s="41" t="str">
        <f t="shared" si="5"/>
        <v>數學4-製圖二甲</v>
      </c>
      <c r="E105" s="22" t="s">
        <v>1325</v>
      </c>
      <c r="F105" s="22" t="s">
        <v>1326</v>
      </c>
      <c r="G105" s="22">
        <v>48</v>
      </c>
      <c r="H105" s="22">
        <v>4</v>
      </c>
      <c r="I105" s="22" t="s">
        <v>11</v>
      </c>
      <c r="J105" s="23"/>
    </row>
    <row r="106" spans="1:10" hidden="1" outlineLevel="2">
      <c r="A106" s="23">
        <v>1</v>
      </c>
      <c r="B106" s="49" t="s">
        <v>1888</v>
      </c>
      <c r="C106" s="39" t="s">
        <v>1191</v>
      </c>
      <c r="D106" s="41" t="str">
        <f t="shared" si="5"/>
        <v>數學4-製圖二甲</v>
      </c>
      <c r="E106" s="22" t="s">
        <v>1194</v>
      </c>
      <c r="F106" s="22" t="s">
        <v>1195</v>
      </c>
      <c r="G106" s="22">
        <v>51</v>
      </c>
      <c r="H106" s="22">
        <v>4</v>
      </c>
      <c r="I106" s="22" t="s">
        <v>11</v>
      </c>
      <c r="J106" s="23"/>
    </row>
    <row r="107" spans="1:10" hidden="1" outlineLevel="2">
      <c r="A107" s="23">
        <v>1</v>
      </c>
      <c r="B107" s="49" t="s">
        <v>1888</v>
      </c>
      <c r="C107" s="39" t="s">
        <v>1191</v>
      </c>
      <c r="D107" s="41" t="str">
        <f t="shared" si="5"/>
        <v>數學4-製圖二甲</v>
      </c>
      <c r="E107" s="22" t="s">
        <v>1327</v>
      </c>
      <c r="F107" s="22" t="s">
        <v>1328</v>
      </c>
      <c r="G107" s="22">
        <v>51</v>
      </c>
      <c r="H107" s="22">
        <v>4</v>
      </c>
      <c r="I107" s="22" t="s">
        <v>11</v>
      </c>
      <c r="J107" s="23"/>
    </row>
    <row r="108" spans="1:10" hidden="1" outlineLevel="2">
      <c r="A108" s="23">
        <v>1</v>
      </c>
      <c r="B108" s="49" t="s">
        <v>1888</v>
      </c>
      <c r="C108" s="39" t="s">
        <v>1191</v>
      </c>
      <c r="D108" s="41" t="str">
        <f t="shared" si="5"/>
        <v>數學4-製圖二甲</v>
      </c>
      <c r="E108" s="22" t="s">
        <v>1331</v>
      </c>
      <c r="F108" s="22" t="s">
        <v>1332</v>
      </c>
      <c r="G108" s="22">
        <v>44</v>
      </c>
      <c r="H108" s="22">
        <v>4</v>
      </c>
      <c r="I108" s="22" t="s">
        <v>11</v>
      </c>
      <c r="J108" s="23"/>
    </row>
    <row r="109" spans="1:10" hidden="1" outlineLevel="2">
      <c r="A109" s="23">
        <v>1</v>
      </c>
      <c r="B109" s="49" t="s">
        <v>1888</v>
      </c>
      <c r="C109" s="39" t="s">
        <v>1191</v>
      </c>
      <c r="D109" s="41" t="str">
        <f t="shared" si="5"/>
        <v>數學4-製圖二甲</v>
      </c>
      <c r="E109" s="22" t="s">
        <v>1503</v>
      </c>
      <c r="F109" s="22" t="s">
        <v>1504</v>
      </c>
      <c r="G109" s="22">
        <v>51</v>
      </c>
      <c r="H109" s="22">
        <v>4</v>
      </c>
      <c r="I109" s="22" t="s">
        <v>11</v>
      </c>
      <c r="J109" s="23"/>
    </row>
    <row r="110" spans="1:10" hidden="1" outlineLevel="2">
      <c r="A110" s="23">
        <v>1</v>
      </c>
      <c r="B110" s="49" t="s">
        <v>1888</v>
      </c>
      <c r="C110" s="39" t="s">
        <v>1191</v>
      </c>
      <c r="D110" s="41" t="str">
        <f t="shared" si="5"/>
        <v>數學4-製圖二甲</v>
      </c>
      <c r="E110" s="22" t="s">
        <v>1196</v>
      </c>
      <c r="F110" s="22" t="s">
        <v>1197</v>
      </c>
      <c r="G110" s="22">
        <v>55</v>
      </c>
      <c r="H110" s="22">
        <v>4</v>
      </c>
      <c r="I110" s="22" t="s">
        <v>11</v>
      </c>
      <c r="J110" s="23"/>
    </row>
    <row r="111" spans="1:10" hidden="1" outlineLevel="2">
      <c r="A111" s="23">
        <v>1</v>
      </c>
      <c r="B111" s="49" t="s">
        <v>1888</v>
      </c>
      <c r="C111" s="39" t="s">
        <v>1191</v>
      </c>
      <c r="D111" s="41" t="str">
        <f t="shared" si="5"/>
        <v>數學4-製圖二甲</v>
      </c>
      <c r="E111" s="22" t="s">
        <v>1335</v>
      </c>
      <c r="F111" s="22" t="s">
        <v>1336</v>
      </c>
      <c r="G111" s="22">
        <v>47</v>
      </c>
      <c r="H111" s="22">
        <v>4</v>
      </c>
      <c r="I111" s="22" t="s">
        <v>11</v>
      </c>
      <c r="J111" s="23"/>
    </row>
    <row r="112" spans="1:10" hidden="1" outlineLevel="2">
      <c r="A112" s="23">
        <v>1</v>
      </c>
      <c r="B112" s="49" t="s">
        <v>1888</v>
      </c>
      <c r="C112" s="39" t="s">
        <v>1191</v>
      </c>
      <c r="D112" s="41" t="str">
        <f t="shared" si="5"/>
        <v>數學4-製圖二甲</v>
      </c>
      <c r="E112" s="22" t="s">
        <v>1505</v>
      </c>
      <c r="F112" s="22" t="s">
        <v>1506</v>
      </c>
      <c r="G112" s="22">
        <v>45</v>
      </c>
      <c r="H112" s="22">
        <v>4</v>
      </c>
      <c r="I112" s="22" t="s">
        <v>11</v>
      </c>
      <c r="J112" s="23"/>
    </row>
    <row r="113" spans="1:10" outlineLevel="1" collapsed="1">
      <c r="A113" s="23"/>
      <c r="B113" s="49"/>
      <c r="C113" s="39"/>
      <c r="D113" s="51" t="s">
        <v>2230</v>
      </c>
      <c r="E113" s="22">
        <f>SUBTOTAL(3,E102:E112)</f>
        <v>11</v>
      </c>
      <c r="F113" s="22"/>
      <c r="G113" s="22"/>
      <c r="H113" s="22"/>
      <c r="I113" s="22">
        <f>SUBTOTAL(3,I102:I112)</f>
        <v>11</v>
      </c>
      <c r="J113" s="23"/>
    </row>
    <row r="114" spans="1:10" hidden="1" outlineLevel="2">
      <c r="A114" s="23">
        <v>1</v>
      </c>
      <c r="B114" s="49" t="s">
        <v>1888</v>
      </c>
      <c r="C114" s="39" t="s">
        <v>998</v>
      </c>
      <c r="D114" s="41" t="str">
        <f>B114&amp;"-"&amp;C114</f>
        <v>數學4-模具二乙</v>
      </c>
      <c r="E114" s="22" t="s">
        <v>999</v>
      </c>
      <c r="F114" s="22" t="s">
        <v>1000</v>
      </c>
      <c r="G114" s="22">
        <v>55</v>
      </c>
      <c r="H114" s="22">
        <v>4</v>
      </c>
      <c r="I114" s="22" t="s">
        <v>11</v>
      </c>
      <c r="J114" s="23"/>
    </row>
    <row r="115" spans="1:10" hidden="1" outlineLevel="2">
      <c r="A115" s="23">
        <v>1</v>
      </c>
      <c r="B115" s="49" t="s">
        <v>1888</v>
      </c>
      <c r="C115" s="39" t="s">
        <v>998</v>
      </c>
      <c r="D115" s="41" t="str">
        <f>B115&amp;"-"&amp;C115</f>
        <v>數學4-模具二乙</v>
      </c>
      <c r="E115" s="22" t="s">
        <v>1003</v>
      </c>
      <c r="F115" s="22" t="s">
        <v>1004</v>
      </c>
      <c r="G115" s="22">
        <v>50</v>
      </c>
      <c r="H115" s="22">
        <v>4</v>
      </c>
      <c r="I115" s="22" t="s">
        <v>11</v>
      </c>
      <c r="J115" s="23"/>
    </row>
    <row r="116" spans="1:10" hidden="1" outlineLevel="2">
      <c r="A116" s="23">
        <v>1</v>
      </c>
      <c r="B116" s="49" t="s">
        <v>1888</v>
      </c>
      <c r="C116" s="39" t="s">
        <v>998</v>
      </c>
      <c r="D116" s="41" t="str">
        <f>B116&amp;"-"&amp;C116</f>
        <v>數學4-模具二乙</v>
      </c>
      <c r="E116" s="22" t="s">
        <v>1497</v>
      </c>
      <c r="F116" s="22" t="s">
        <v>1498</v>
      </c>
      <c r="G116" s="22">
        <v>47</v>
      </c>
      <c r="H116" s="22">
        <v>4</v>
      </c>
      <c r="I116" s="22" t="s">
        <v>11</v>
      </c>
      <c r="J116" s="23"/>
    </row>
    <row r="117" spans="1:10" outlineLevel="1" collapsed="1">
      <c r="A117" s="23"/>
      <c r="B117" s="49"/>
      <c r="C117" s="39"/>
      <c r="D117" s="51" t="s">
        <v>2231</v>
      </c>
      <c r="E117" s="22">
        <f>SUBTOTAL(3,E114:E116)</f>
        <v>3</v>
      </c>
      <c r="F117" s="22"/>
      <c r="G117" s="22"/>
      <c r="H117" s="22"/>
      <c r="I117" s="22">
        <f>SUBTOTAL(3,I114:I116)</f>
        <v>3</v>
      </c>
      <c r="J117" s="23"/>
    </row>
    <row r="118" spans="1:10" hidden="1" outlineLevel="2">
      <c r="A118" s="23">
        <v>1</v>
      </c>
      <c r="B118" s="49" t="s">
        <v>1888</v>
      </c>
      <c r="C118" s="39" t="s">
        <v>1217</v>
      </c>
      <c r="D118" s="41" t="str">
        <f>B118&amp;"-"&amp;C118</f>
        <v>數學4-模具二甲</v>
      </c>
      <c r="E118" s="22" t="s">
        <v>1404</v>
      </c>
      <c r="F118" s="22" t="s">
        <v>1405</v>
      </c>
      <c r="G118" s="22">
        <v>40</v>
      </c>
      <c r="H118" s="22">
        <v>4</v>
      </c>
      <c r="I118" s="22" t="s">
        <v>11</v>
      </c>
      <c r="J118" s="23"/>
    </row>
    <row r="119" spans="1:10" hidden="1" outlineLevel="2">
      <c r="A119" s="23">
        <v>1</v>
      </c>
      <c r="B119" s="49" t="s">
        <v>1888</v>
      </c>
      <c r="C119" s="39" t="s">
        <v>1217</v>
      </c>
      <c r="D119" s="41" t="str">
        <f>B119&amp;"-"&amp;C119</f>
        <v>數學4-模具二甲</v>
      </c>
      <c r="E119" s="22" t="s">
        <v>1559</v>
      </c>
      <c r="F119" s="22" t="s">
        <v>1560</v>
      </c>
      <c r="G119" s="22">
        <v>56</v>
      </c>
      <c r="H119" s="22">
        <v>4</v>
      </c>
      <c r="I119" s="22" t="s">
        <v>11</v>
      </c>
      <c r="J119" s="23"/>
    </row>
    <row r="120" spans="1:10" hidden="1" outlineLevel="2">
      <c r="A120" s="23">
        <v>1</v>
      </c>
      <c r="B120" s="49" t="s">
        <v>1888</v>
      </c>
      <c r="C120" s="39" t="s">
        <v>1217</v>
      </c>
      <c r="D120" s="41" t="str">
        <f>B120&amp;"-"&amp;C120</f>
        <v>數學4-模具二甲</v>
      </c>
      <c r="E120" s="22" t="s">
        <v>1561</v>
      </c>
      <c r="F120" s="22" t="s">
        <v>1562</v>
      </c>
      <c r="G120" s="22">
        <v>58</v>
      </c>
      <c r="H120" s="22">
        <v>4</v>
      </c>
      <c r="I120" s="22" t="s">
        <v>11</v>
      </c>
      <c r="J120" s="23"/>
    </row>
    <row r="121" spans="1:10" hidden="1" outlineLevel="2">
      <c r="A121" s="23">
        <v>1</v>
      </c>
      <c r="B121" s="49" t="s">
        <v>1888</v>
      </c>
      <c r="C121" s="39" t="s">
        <v>1217</v>
      </c>
      <c r="D121" s="41" t="str">
        <f>B121&amp;"-"&amp;C121</f>
        <v>數學4-模具二甲</v>
      </c>
      <c r="E121" s="22" t="s">
        <v>1222</v>
      </c>
      <c r="F121" s="22" t="s">
        <v>1223</v>
      </c>
      <c r="G121" s="22">
        <v>40</v>
      </c>
      <c r="H121" s="22">
        <v>4</v>
      </c>
      <c r="I121" s="22" t="s">
        <v>11</v>
      </c>
      <c r="J121" s="23"/>
    </row>
    <row r="122" spans="1:10" hidden="1" outlineLevel="2">
      <c r="A122" s="23">
        <v>1</v>
      </c>
      <c r="B122" s="49" t="s">
        <v>1888</v>
      </c>
      <c r="C122" s="39" t="s">
        <v>1217</v>
      </c>
      <c r="D122" s="41" t="str">
        <f>B122&amp;"-"&amp;C122</f>
        <v>數學4-模具二甲</v>
      </c>
      <c r="E122" s="22" t="s">
        <v>1408</v>
      </c>
      <c r="F122" s="22" t="s">
        <v>1409</v>
      </c>
      <c r="G122" s="22">
        <v>58</v>
      </c>
      <c r="H122" s="22">
        <v>4</v>
      </c>
      <c r="I122" s="22" t="s">
        <v>11</v>
      </c>
      <c r="J122" s="23"/>
    </row>
    <row r="123" spans="1:10" outlineLevel="1" collapsed="1">
      <c r="A123" s="23"/>
      <c r="B123" s="49"/>
      <c r="C123" s="39"/>
      <c r="D123" s="51" t="s">
        <v>2232</v>
      </c>
      <c r="E123" s="22">
        <f>SUBTOTAL(3,E118:E122)</f>
        <v>5</v>
      </c>
      <c r="F123" s="22"/>
      <c r="G123" s="22"/>
      <c r="H123" s="22"/>
      <c r="I123" s="22">
        <f>SUBTOTAL(3,I118:I122)</f>
        <v>5</v>
      </c>
      <c r="J123" s="23">
        <f>E123+E117+E113++E101+E92</f>
        <v>40</v>
      </c>
    </row>
    <row r="124" spans="1:10" hidden="1" outlineLevel="2">
      <c r="A124" s="23">
        <v>1</v>
      </c>
      <c r="B124" s="49" t="s">
        <v>1888</v>
      </c>
      <c r="C124" s="39" t="s">
        <v>1171</v>
      </c>
      <c r="D124" s="41" t="str">
        <f t="shared" ref="D124:D132" si="6">B124&amp;"-"&amp;C124</f>
        <v>數學4-機械二乙</v>
      </c>
      <c r="E124" s="22" t="s">
        <v>1475</v>
      </c>
      <c r="F124" s="22" t="s">
        <v>1476</v>
      </c>
      <c r="G124" s="22">
        <v>40</v>
      </c>
      <c r="H124" s="22">
        <v>4</v>
      </c>
      <c r="I124" s="22" t="s">
        <v>11</v>
      </c>
      <c r="J124" s="23"/>
    </row>
    <row r="125" spans="1:10" hidden="1" outlineLevel="2">
      <c r="A125" s="23">
        <v>1</v>
      </c>
      <c r="B125" s="49" t="s">
        <v>1888</v>
      </c>
      <c r="C125" s="39" t="s">
        <v>1171</v>
      </c>
      <c r="D125" s="41" t="str">
        <f t="shared" si="6"/>
        <v>數學4-機械二乙</v>
      </c>
      <c r="E125" s="22" t="s">
        <v>1247</v>
      </c>
      <c r="F125" s="22" t="s">
        <v>1248</v>
      </c>
      <c r="G125" s="22">
        <v>40</v>
      </c>
      <c r="H125" s="22">
        <v>4</v>
      </c>
      <c r="I125" s="22" t="s">
        <v>11</v>
      </c>
      <c r="J125" s="23"/>
    </row>
    <row r="126" spans="1:10" hidden="1" outlineLevel="2">
      <c r="A126" s="23">
        <v>1</v>
      </c>
      <c r="B126" s="49" t="s">
        <v>1888</v>
      </c>
      <c r="C126" s="39" t="s">
        <v>1171</v>
      </c>
      <c r="D126" s="41" t="str">
        <f t="shared" si="6"/>
        <v>數學4-機械二乙</v>
      </c>
      <c r="E126" s="22" t="s">
        <v>1477</v>
      </c>
      <c r="F126" s="22" t="s">
        <v>1478</v>
      </c>
      <c r="G126" s="22">
        <v>44</v>
      </c>
      <c r="H126" s="22">
        <v>4</v>
      </c>
      <c r="I126" s="22" t="s">
        <v>11</v>
      </c>
      <c r="J126" s="23"/>
    </row>
    <row r="127" spans="1:10" hidden="1" outlineLevel="2">
      <c r="A127" s="23">
        <v>1</v>
      </c>
      <c r="B127" s="49" t="s">
        <v>1888</v>
      </c>
      <c r="C127" s="39" t="s">
        <v>1171</v>
      </c>
      <c r="D127" s="41" t="str">
        <f t="shared" si="6"/>
        <v>數學4-機械二乙</v>
      </c>
      <c r="E127" s="22" t="s">
        <v>1479</v>
      </c>
      <c r="F127" s="22" t="s">
        <v>1480</v>
      </c>
      <c r="G127" s="22">
        <v>40</v>
      </c>
      <c r="H127" s="22">
        <v>4</v>
      </c>
      <c r="I127" s="22" t="s">
        <v>11</v>
      </c>
      <c r="J127" s="23"/>
    </row>
    <row r="128" spans="1:10" hidden="1" outlineLevel="2">
      <c r="A128" s="23">
        <v>1</v>
      </c>
      <c r="B128" s="49" t="s">
        <v>1888</v>
      </c>
      <c r="C128" s="39" t="s">
        <v>1171</v>
      </c>
      <c r="D128" s="41" t="str">
        <f t="shared" si="6"/>
        <v>數學4-機械二乙</v>
      </c>
      <c r="E128" s="22" t="s">
        <v>1251</v>
      </c>
      <c r="F128" s="22" t="s">
        <v>1252</v>
      </c>
      <c r="G128" s="22">
        <v>40</v>
      </c>
      <c r="H128" s="22">
        <v>4</v>
      </c>
      <c r="I128" s="22" t="s">
        <v>11</v>
      </c>
      <c r="J128" s="23"/>
    </row>
    <row r="129" spans="1:10" hidden="1" outlineLevel="2">
      <c r="A129" s="23">
        <v>1</v>
      </c>
      <c r="B129" s="49" t="s">
        <v>1888</v>
      </c>
      <c r="C129" s="39" t="s">
        <v>1171</v>
      </c>
      <c r="D129" s="41" t="str">
        <f t="shared" si="6"/>
        <v>數學4-機械二乙</v>
      </c>
      <c r="E129" s="22" t="s">
        <v>1180</v>
      </c>
      <c r="F129" s="22" t="s">
        <v>1181</v>
      </c>
      <c r="G129" s="22">
        <v>40</v>
      </c>
      <c r="H129" s="22">
        <v>4</v>
      </c>
      <c r="I129" s="22" t="s">
        <v>11</v>
      </c>
      <c r="J129" s="23"/>
    </row>
    <row r="130" spans="1:10" hidden="1" outlineLevel="2">
      <c r="A130" s="23">
        <v>1</v>
      </c>
      <c r="B130" s="49" t="s">
        <v>1888</v>
      </c>
      <c r="C130" s="39" t="s">
        <v>1171</v>
      </c>
      <c r="D130" s="41" t="str">
        <f t="shared" si="6"/>
        <v>數學4-機械二乙</v>
      </c>
      <c r="E130" s="22" t="s">
        <v>1253</v>
      </c>
      <c r="F130" s="22" t="s">
        <v>1254</v>
      </c>
      <c r="G130" s="22">
        <v>40</v>
      </c>
      <c r="H130" s="22">
        <v>4</v>
      </c>
      <c r="I130" s="22" t="s">
        <v>11</v>
      </c>
      <c r="J130" s="23"/>
    </row>
    <row r="131" spans="1:10" hidden="1" outlineLevel="2">
      <c r="A131" s="23">
        <v>1</v>
      </c>
      <c r="B131" s="49" t="s">
        <v>1888</v>
      </c>
      <c r="C131" s="39" t="s">
        <v>1171</v>
      </c>
      <c r="D131" s="41" t="str">
        <f t="shared" si="6"/>
        <v>數學4-機械二乙</v>
      </c>
      <c r="E131" s="22" t="s">
        <v>1481</v>
      </c>
      <c r="F131" s="22" t="s">
        <v>1482</v>
      </c>
      <c r="G131" s="22">
        <v>52</v>
      </c>
      <c r="H131" s="22">
        <v>4</v>
      </c>
      <c r="I131" s="22" t="s">
        <v>11</v>
      </c>
      <c r="J131" s="23"/>
    </row>
    <row r="132" spans="1:10" hidden="1" outlineLevel="2">
      <c r="A132" s="23">
        <v>1</v>
      </c>
      <c r="B132" s="49" t="s">
        <v>1888</v>
      </c>
      <c r="C132" s="39" t="s">
        <v>1171</v>
      </c>
      <c r="D132" s="41" t="str">
        <f t="shared" si="6"/>
        <v>數學4-機械二乙</v>
      </c>
      <c r="E132" s="22" t="s">
        <v>1182</v>
      </c>
      <c r="F132" s="22" t="s">
        <v>1183</v>
      </c>
      <c r="G132" s="22">
        <v>52</v>
      </c>
      <c r="H132" s="22">
        <v>4</v>
      </c>
      <c r="I132" s="22" t="s">
        <v>11</v>
      </c>
      <c r="J132" s="23"/>
    </row>
    <row r="133" spans="1:10" outlineLevel="1" collapsed="1">
      <c r="A133" s="23"/>
      <c r="B133" s="49"/>
      <c r="C133" s="39"/>
      <c r="D133" s="51" t="s">
        <v>2233</v>
      </c>
      <c r="E133" s="22">
        <f>SUBTOTAL(3,E124:E132)</f>
        <v>9</v>
      </c>
      <c r="F133" s="22"/>
      <c r="G133" s="22"/>
      <c r="H133" s="22"/>
      <c r="I133" s="22">
        <f>SUBTOTAL(3,I124:I132)</f>
        <v>9</v>
      </c>
      <c r="J133" s="23"/>
    </row>
    <row r="134" spans="1:10" hidden="1" outlineLevel="2">
      <c r="A134" s="23">
        <v>1</v>
      </c>
      <c r="B134" s="49" t="s">
        <v>1888</v>
      </c>
      <c r="C134" s="39" t="s">
        <v>971</v>
      </c>
      <c r="D134" s="41" t="str">
        <f t="shared" ref="D134:D141" si="7">B134&amp;"-"&amp;C134</f>
        <v>數學4-機械二甲</v>
      </c>
      <c r="E134" s="22" t="s">
        <v>1281</v>
      </c>
      <c r="F134" s="22" t="s">
        <v>1282</v>
      </c>
      <c r="G134" s="22">
        <v>40</v>
      </c>
      <c r="H134" s="22">
        <v>4</v>
      </c>
      <c r="I134" s="22" t="s">
        <v>11</v>
      </c>
      <c r="J134" s="23"/>
    </row>
    <row r="135" spans="1:10" hidden="1" outlineLevel="2">
      <c r="A135" s="23">
        <v>1</v>
      </c>
      <c r="B135" s="49" t="s">
        <v>1888</v>
      </c>
      <c r="C135" s="39" t="s">
        <v>971</v>
      </c>
      <c r="D135" s="41" t="str">
        <f t="shared" si="7"/>
        <v>數學4-機械二甲</v>
      </c>
      <c r="E135" s="22" t="s">
        <v>1555</v>
      </c>
      <c r="F135" s="22" t="s">
        <v>1556</v>
      </c>
      <c r="G135" s="22">
        <v>40</v>
      </c>
      <c r="H135" s="22">
        <v>4</v>
      </c>
      <c r="I135" s="22" t="s">
        <v>11</v>
      </c>
      <c r="J135" s="23"/>
    </row>
    <row r="136" spans="1:10" hidden="1" outlineLevel="2">
      <c r="A136" s="23">
        <v>1</v>
      </c>
      <c r="B136" s="49" t="s">
        <v>1888</v>
      </c>
      <c r="C136" s="39" t="s">
        <v>971</v>
      </c>
      <c r="D136" s="41" t="str">
        <f t="shared" si="7"/>
        <v>數學4-機械二甲</v>
      </c>
      <c r="E136" s="22" t="s">
        <v>1285</v>
      </c>
      <c r="F136" s="22" t="s">
        <v>1286</v>
      </c>
      <c r="G136" s="22">
        <v>42</v>
      </c>
      <c r="H136" s="22">
        <v>4</v>
      </c>
      <c r="I136" s="22" t="s">
        <v>11</v>
      </c>
      <c r="J136" s="23"/>
    </row>
    <row r="137" spans="1:10" hidden="1" outlineLevel="2">
      <c r="A137" s="23">
        <v>1</v>
      </c>
      <c r="B137" s="49" t="s">
        <v>1888</v>
      </c>
      <c r="C137" s="39" t="s">
        <v>971</v>
      </c>
      <c r="D137" s="41" t="str">
        <f t="shared" si="7"/>
        <v>數學4-機械二甲</v>
      </c>
      <c r="E137" s="22" t="s">
        <v>984</v>
      </c>
      <c r="F137" s="22" t="s">
        <v>985</v>
      </c>
      <c r="G137" s="22">
        <v>52</v>
      </c>
      <c r="H137" s="22">
        <v>4</v>
      </c>
      <c r="I137" s="22" t="s">
        <v>11</v>
      </c>
      <c r="J137" s="23"/>
    </row>
    <row r="138" spans="1:10" hidden="1" outlineLevel="2">
      <c r="A138" s="23">
        <v>1</v>
      </c>
      <c r="B138" s="49" t="s">
        <v>1888</v>
      </c>
      <c r="C138" s="39" t="s">
        <v>971</v>
      </c>
      <c r="D138" s="41" t="str">
        <f t="shared" si="7"/>
        <v>數學4-機械二甲</v>
      </c>
      <c r="E138" s="22" t="s">
        <v>986</v>
      </c>
      <c r="F138" s="22" t="s">
        <v>987</v>
      </c>
      <c r="G138" s="22">
        <v>56</v>
      </c>
      <c r="H138" s="22">
        <v>4</v>
      </c>
      <c r="I138" s="22" t="s">
        <v>11</v>
      </c>
      <c r="J138" s="23"/>
    </row>
    <row r="139" spans="1:10" hidden="1" outlineLevel="2">
      <c r="A139" s="23">
        <v>1</v>
      </c>
      <c r="B139" s="49" t="s">
        <v>1888</v>
      </c>
      <c r="C139" s="39" t="s">
        <v>971</v>
      </c>
      <c r="D139" s="41" t="str">
        <f t="shared" si="7"/>
        <v>數學4-機械二甲</v>
      </c>
      <c r="E139" s="22" t="s">
        <v>1557</v>
      </c>
      <c r="F139" s="22" t="s">
        <v>1558</v>
      </c>
      <c r="G139" s="22">
        <v>52</v>
      </c>
      <c r="H139" s="22">
        <v>4</v>
      </c>
      <c r="I139" s="22" t="s">
        <v>11</v>
      </c>
      <c r="J139" s="23"/>
    </row>
    <row r="140" spans="1:10" hidden="1" outlineLevel="2">
      <c r="A140" s="23">
        <v>1</v>
      </c>
      <c r="B140" s="49" t="s">
        <v>1888</v>
      </c>
      <c r="C140" s="39" t="s">
        <v>971</v>
      </c>
      <c r="D140" s="41" t="str">
        <f t="shared" si="7"/>
        <v>數學4-機械二甲</v>
      </c>
      <c r="E140" s="22" t="s">
        <v>992</v>
      </c>
      <c r="F140" s="22" t="s">
        <v>993</v>
      </c>
      <c r="G140" s="22">
        <v>45</v>
      </c>
      <c r="H140" s="22">
        <v>4</v>
      </c>
      <c r="I140" s="22" t="s">
        <v>11</v>
      </c>
      <c r="J140" s="23"/>
    </row>
    <row r="141" spans="1:10" hidden="1" outlineLevel="2">
      <c r="A141" s="23">
        <v>1</v>
      </c>
      <c r="B141" s="49" t="s">
        <v>1888</v>
      </c>
      <c r="C141" s="39" t="s">
        <v>971</v>
      </c>
      <c r="D141" s="41" t="str">
        <f t="shared" si="7"/>
        <v>數學4-機械二甲</v>
      </c>
      <c r="E141" s="22" t="s">
        <v>996</v>
      </c>
      <c r="F141" s="22" t="s">
        <v>997</v>
      </c>
      <c r="G141" s="22">
        <v>45</v>
      </c>
      <c r="H141" s="22">
        <v>4</v>
      </c>
      <c r="I141" s="22" t="s">
        <v>11</v>
      </c>
      <c r="J141" s="23"/>
    </row>
    <row r="142" spans="1:10" outlineLevel="1" collapsed="1">
      <c r="A142" s="23"/>
      <c r="B142" s="49"/>
      <c r="C142" s="39"/>
      <c r="D142" s="51" t="s">
        <v>2234</v>
      </c>
      <c r="E142" s="22">
        <f>SUBTOTAL(3,E134:E141)</f>
        <v>8</v>
      </c>
      <c r="F142" s="22"/>
      <c r="G142" s="22"/>
      <c r="H142" s="22"/>
      <c r="I142" s="22">
        <f>SUBTOTAL(3,I134:I141)</f>
        <v>8</v>
      </c>
      <c r="J142" s="23"/>
    </row>
    <row r="143" spans="1:10" hidden="1" outlineLevel="2">
      <c r="A143" s="23">
        <v>1</v>
      </c>
      <c r="B143" s="49" t="s">
        <v>1888</v>
      </c>
      <c r="C143" s="39" t="s">
        <v>1020</v>
      </c>
      <c r="D143" s="41" t="str">
        <f t="shared" ref="D143:D155" si="8">B143&amp;"-"&amp;C143</f>
        <v>數學4-鑄造二乙</v>
      </c>
      <c r="E143" s="22" t="s">
        <v>1541</v>
      </c>
      <c r="F143" s="22" t="s">
        <v>1542</v>
      </c>
      <c r="G143" s="22">
        <v>45</v>
      </c>
      <c r="H143" s="22">
        <v>4</v>
      </c>
      <c r="I143" s="22" t="s">
        <v>11</v>
      </c>
      <c r="J143" s="23"/>
    </row>
    <row r="144" spans="1:10" hidden="1" outlineLevel="2">
      <c r="A144" s="23">
        <v>1</v>
      </c>
      <c r="B144" s="49" t="s">
        <v>1888</v>
      </c>
      <c r="C144" s="39" t="s">
        <v>1020</v>
      </c>
      <c r="D144" s="41" t="str">
        <f t="shared" si="8"/>
        <v>數學4-鑄造二乙</v>
      </c>
      <c r="E144" s="22" t="s">
        <v>1543</v>
      </c>
      <c r="F144" s="22" t="s">
        <v>1544</v>
      </c>
      <c r="G144" s="22">
        <v>40</v>
      </c>
      <c r="H144" s="22">
        <v>4</v>
      </c>
      <c r="I144" s="22" t="s">
        <v>11</v>
      </c>
      <c r="J144" s="23"/>
    </row>
    <row r="145" spans="1:10" hidden="1" outlineLevel="2">
      <c r="A145" s="23">
        <v>1</v>
      </c>
      <c r="B145" s="49" t="s">
        <v>1888</v>
      </c>
      <c r="C145" s="39" t="s">
        <v>1020</v>
      </c>
      <c r="D145" s="41" t="str">
        <f t="shared" si="8"/>
        <v>數學4-鑄造二乙</v>
      </c>
      <c r="E145" s="22" t="s">
        <v>1021</v>
      </c>
      <c r="F145" s="22" t="s">
        <v>1022</v>
      </c>
      <c r="G145" s="22">
        <v>40</v>
      </c>
      <c r="H145" s="22">
        <v>4</v>
      </c>
      <c r="I145" s="22" t="s">
        <v>11</v>
      </c>
      <c r="J145" s="23"/>
    </row>
    <row r="146" spans="1:10" hidden="1" outlineLevel="2">
      <c r="A146" s="23">
        <v>1</v>
      </c>
      <c r="B146" s="49" t="s">
        <v>1888</v>
      </c>
      <c r="C146" s="39" t="s">
        <v>1020</v>
      </c>
      <c r="D146" s="41" t="str">
        <f t="shared" si="8"/>
        <v>數學4-鑄造二乙</v>
      </c>
      <c r="E146" s="22" t="s">
        <v>1437</v>
      </c>
      <c r="F146" s="22" t="s">
        <v>1438</v>
      </c>
      <c r="G146" s="22">
        <v>52</v>
      </c>
      <c r="H146" s="22">
        <v>4</v>
      </c>
      <c r="I146" s="22" t="s">
        <v>11</v>
      </c>
      <c r="J146" s="23"/>
    </row>
    <row r="147" spans="1:10" hidden="1" outlineLevel="2">
      <c r="A147" s="23">
        <v>1</v>
      </c>
      <c r="B147" s="49" t="s">
        <v>1888</v>
      </c>
      <c r="C147" s="39" t="s">
        <v>1020</v>
      </c>
      <c r="D147" s="41" t="str">
        <f t="shared" si="8"/>
        <v>數學4-鑄造二乙</v>
      </c>
      <c r="E147" s="22" t="s">
        <v>1259</v>
      </c>
      <c r="F147" s="22" t="s">
        <v>1260</v>
      </c>
      <c r="G147" s="22">
        <v>41</v>
      </c>
      <c r="H147" s="22">
        <v>4</v>
      </c>
      <c r="I147" s="22" t="s">
        <v>11</v>
      </c>
      <c r="J147" s="23"/>
    </row>
    <row r="148" spans="1:10" hidden="1" outlineLevel="2">
      <c r="A148" s="23">
        <v>1</v>
      </c>
      <c r="B148" s="49" t="s">
        <v>1888</v>
      </c>
      <c r="C148" s="39" t="s">
        <v>1020</v>
      </c>
      <c r="D148" s="41" t="str">
        <f t="shared" si="8"/>
        <v>數學4-鑄造二乙</v>
      </c>
      <c r="E148" s="22" t="s">
        <v>1023</v>
      </c>
      <c r="F148" s="22" t="s">
        <v>1024</v>
      </c>
      <c r="G148" s="22">
        <v>50</v>
      </c>
      <c r="H148" s="22">
        <v>4</v>
      </c>
      <c r="I148" s="22" t="s">
        <v>11</v>
      </c>
      <c r="J148" s="23"/>
    </row>
    <row r="149" spans="1:10" hidden="1" outlineLevel="2">
      <c r="A149" s="23">
        <v>1</v>
      </c>
      <c r="B149" s="49" t="s">
        <v>1888</v>
      </c>
      <c r="C149" s="39" t="s">
        <v>1020</v>
      </c>
      <c r="D149" s="41" t="str">
        <f t="shared" si="8"/>
        <v>數學4-鑄造二乙</v>
      </c>
      <c r="E149" s="22" t="s">
        <v>1261</v>
      </c>
      <c r="F149" s="22" t="s">
        <v>1262</v>
      </c>
      <c r="G149" s="22">
        <v>40</v>
      </c>
      <c r="H149" s="22">
        <v>4</v>
      </c>
      <c r="I149" s="22" t="s">
        <v>11</v>
      </c>
      <c r="J149" s="23"/>
    </row>
    <row r="150" spans="1:10" hidden="1" outlineLevel="2">
      <c r="A150" s="23">
        <v>1</v>
      </c>
      <c r="B150" s="49" t="s">
        <v>1888</v>
      </c>
      <c r="C150" s="39" t="s">
        <v>1020</v>
      </c>
      <c r="D150" s="41" t="str">
        <f t="shared" si="8"/>
        <v>數學4-鑄造二乙</v>
      </c>
      <c r="E150" s="22" t="s">
        <v>1545</v>
      </c>
      <c r="F150" s="22" t="s">
        <v>1546</v>
      </c>
      <c r="G150" s="22">
        <v>40</v>
      </c>
      <c r="H150" s="22">
        <v>4</v>
      </c>
      <c r="I150" s="22" t="s">
        <v>11</v>
      </c>
      <c r="J150" s="23"/>
    </row>
    <row r="151" spans="1:10" hidden="1" outlineLevel="2">
      <c r="A151" s="23">
        <v>1</v>
      </c>
      <c r="B151" s="49" t="s">
        <v>1888</v>
      </c>
      <c r="C151" s="39" t="s">
        <v>1020</v>
      </c>
      <c r="D151" s="41" t="str">
        <f t="shared" si="8"/>
        <v>數學4-鑄造二乙</v>
      </c>
      <c r="E151" s="22" t="s">
        <v>1263</v>
      </c>
      <c r="F151" s="22" t="s">
        <v>1264</v>
      </c>
      <c r="G151" s="22">
        <v>44</v>
      </c>
      <c r="H151" s="22">
        <v>4</v>
      </c>
      <c r="I151" s="22" t="s">
        <v>11</v>
      </c>
      <c r="J151" s="23"/>
    </row>
    <row r="152" spans="1:10" hidden="1" outlineLevel="2">
      <c r="A152" s="23">
        <v>1</v>
      </c>
      <c r="B152" s="49" t="s">
        <v>1888</v>
      </c>
      <c r="C152" s="39" t="s">
        <v>1020</v>
      </c>
      <c r="D152" s="41" t="str">
        <f t="shared" si="8"/>
        <v>數學4-鑄造二乙</v>
      </c>
      <c r="E152" s="22" t="s">
        <v>1025</v>
      </c>
      <c r="F152" s="22" t="s">
        <v>1026</v>
      </c>
      <c r="G152" s="22">
        <v>45</v>
      </c>
      <c r="H152" s="22">
        <v>4</v>
      </c>
      <c r="I152" s="22" t="s">
        <v>11</v>
      </c>
      <c r="J152" s="23"/>
    </row>
    <row r="153" spans="1:10" hidden="1" outlineLevel="2">
      <c r="A153" s="23">
        <v>1</v>
      </c>
      <c r="B153" s="49" t="s">
        <v>1888</v>
      </c>
      <c r="C153" s="39" t="s">
        <v>1020</v>
      </c>
      <c r="D153" s="41" t="str">
        <f t="shared" si="8"/>
        <v>數學4-鑄造二乙</v>
      </c>
      <c r="E153" s="22" t="s">
        <v>1547</v>
      </c>
      <c r="F153" s="22" t="s">
        <v>1548</v>
      </c>
      <c r="G153" s="22">
        <v>52</v>
      </c>
      <c r="H153" s="22">
        <v>4</v>
      </c>
      <c r="I153" s="22" t="s">
        <v>11</v>
      </c>
      <c r="J153" s="23"/>
    </row>
    <row r="154" spans="1:10" hidden="1" outlineLevel="2">
      <c r="A154" s="23">
        <v>1</v>
      </c>
      <c r="B154" s="49" t="s">
        <v>1888</v>
      </c>
      <c r="C154" s="39" t="s">
        <v>1020</v>
      </c>
      <c r="D154" s="41" t="str">
        <f t="shared" si="8"/>
        <v>數學4-鑄造二乙</v>
      </c>
      <c r="E154" s="22" t="s">
        <v>1267</v>
      </c>
      <c r="F154" s="22" t="s">
        <v>1268</v>
      </c>
      <c r="G154" s="22">
        <v>45</v>
      </c>
      <c r="H154" s="22">
        <v>4</v>
      </c>
      <c r="I154" s="22" t="s">
        <v>11</v>
      </c>
      <c r="J154" s="23"/>
    </row>
    <row r="155" spans="1:10" hidden="1" outlineLevel="2">
      <c r="A155" s="23">
        <v>1</v>
      </c>
      <c r="B155" s="49" t="s">
        <v>1888</v>
      </c>
      <c r="C155" s="39" t="s">
        <v>1020</v>
      </c>
      <c r="D155" s="41" t="str">
        <f t="shared" si="8"/>
        <v>數學4-鑄造二乙</v>
      </c>
      <c r="E155" s="22" t="s">
        <v>1033</v>
      </c>
      <c r="F155" s="22" t="s">
        <v>1034</v>
      </c>
      <c r="G155" s="22">
        <v>53</v>
      </c>
      <c r="H155" s="22">
        <v>4</v>
      </c>
      <c r="I155" s="22" t="s">
        <v>11</v>
      </c>
      <c r="J155" s="23"/>
    </row>
    <row r="156" spans="1:10" outlineLevel="1" collapsed="1">
      <c r="A156" s="23"/>
      <c r="B156" s="49"/>
      <c r="C156" s="39"/>
      <c r="D156" s="51" t="s">
        <v>2235</v>
      </c>
      <c r="E156" s="22">
        <f>SUBTOTAL(3,E143:E155)</f>
        <v>13</v>
      </c>
      <c r="F156" s="22"/>
      <c r="G156" s="22"/>
      <c r="H156" s="22"/>
      <c r="I156" s="22">
        <f>SUBTOTAL(3,I143:I155)</f>
        <v>13</v>
      </c>
      <c r="J156" s="23"/>
    </row>
    <row r="157" spans="1:10" hidden="1" outlineLevel="2">
      <c r="A157" s="23">
        <v>1</v>
      </c>
      <c r="B157" s="49" t="s">
        <v>1888</v>
      </c>
      <c r="C157" s="39" t="s">
        <v>1064</v>
      </c>
      <c r="D157" s="41" t="str">
        <f t="shared" ref="D157:D168" si="9">B157&amp;"-"&amp;C157</f>
        <v>數學4-鑄造二甲</v>
      </c>
      <c r="E157" s="22" t="s">
        <v>1065</v>
      </c>
      <c r="F157" s="22" t="s">
        <v>1066</v>
      </c>
      <c r="G157" s="22">
        <v>48</v>
      </c>
      <c r="H157" s="22">
        <v>4</v>
      </c>
      <c r="I157" s="22" t="s">
        <v>11</v>
      </c>
      <c r="J157" s="23"/>
    </row>
    <row r="158" spans="1:10" hidden="1" outlineLevel="2">
      <c r="A158" s="23">
        <v>1</v>
      </c>
      <c r="B158" s="49" t="s">
        <v>1888</v>
      </c>
      <c r="C158" s="39" t="s">
        <v>1064</v>
      </c>
      <c r="D158" s="41" t="str">
        <f t="shared" si="9"/>
        <v>數學4-鑄造二甲</v>
      </c>
      <c r="E158" s="22" t="s">
        <v>1305</v>
      </c>
      <c r="F158" s="22" t="s">
        <v>1306</v>
      </c>
      <c r="G158" s="22">
        <v>51</v>
      </c>
      <c r="H158" s="22">
        <v>4</v>
      </c>
      <c r="I158" s="22" t="s">
        <v>11</v>
      </c>
      <c r="J158" s="23"/>
    </row>
    <row r="159" spans="1:10" hidden="1" outlineLevel="2">
      <c r="A159" s="23">
        <v>1</v>
      </c>
      <c r="B159" s="49" t="s">
        <v>1888</v>
      </c>
      <c r="C159" s="39" t="s">
        <v>1064</v>
      </c>
      <c r="D159" s="41" t="str">
        <f t="shared" si="9"/>
        <v>數學4-鑄造二甲</v>
      </c>
      <c r="E159" s="22" t="s">
        <v>1507</v>
      </c>
      <c r="F159" s="22" t="s">
        <v>1508</v>
      </c>
      <c r="G159" s="22">
        <v>50</v>
      </c>
      <c r="H159" s="22">
        <v>4</v>
      </c>
      <c r="I159" s="22" t="s">
        <v>11</v>
      </c>
      <c r="J159" s="23"/>
    </row>
    <row r="160" spans="1:10" hidden="1" outlineLevel="2">
      <c r="A160" s="23">
        <v>1</v>
      </c>
      <c r="B160" s="49" t="s">
        <v>1888</v>
      </c>
      <c r="C160" s="39" t="s">
        <v>1064</v>
      </c>
      <c r="D160" s="41" t="str">
        <f t="shared" si="9"/>
        <v>數學4-鑄造二甲</v>
      </c>
      <c r="E160" s="22" t="s">
        <v>1509</v>
      </c>
      <c r="F160" s="22" t="s">
        <v>1510</v>
      </c>
      <c r="G160" s="22">
        <v>45</v>
      </c>
      <c r="H160" s="22">
        <v>4</v>
      </c>
      <c r="I160" s="22" t="s">
        <v>11</v>
      </c>
      <c r="J160" s="23"/>
    </row>
    <row r="161" spans="1:10" hidden="1" outlineLevel="2">
      <c r="A161" s="23">
        <v>1</v>
      </c>
      <c r="B161" s="49" t="s">
        <v>1888</v>
      </c>
      <c r="C161" s="39" t="s">
        <v>1064</v>
      </c>
      <c r="D161" s="41" t="str">
        <f t="shared" si="9"/>
        <v>數學4-鑄造二甲</v>
      </c>
      <c r="E161" s="22" t="s">
        <v>1307</v>
      </c>
      <c r="F161" s="22" t="s">
        <v>1308</v>
      </c>
      <c r="G161" s="22">
        <v>52</v>
      </c>
      <c r="H161" s="22">
        <v>4</v>
      </c>
      <c r="I161" s="22" t="s">
        <v>11</v>
      </c>
      <c r="J161" s="23"/>
    </row>
    <row r="162" spans="1:10" hidden="1" outlineLevel="2">
      <c r="A162" s="23">
        <v>1</v>
      </c>
      <c r="B162" s="49" t="s">
        <v>1888</v>
      </c>
      <c r="C162" s="39" t="s">
        <v>1064</v>
      </c>
      <c r="D162" s="41" t="str">
        <f t="shared" si="9"/>
        <v>數學4-鑄造二甲</v>
      </c>
      <c r="E162" s="22" t="s">
        <v>1309</v>
      </c>
      <c r="F162" s="22" t="s">
        <v>1310</v>
      </c>
      <c r="G162" s="22">
        <v>49</v>
      </c>
      <c r="H162" s="22">
        <v>4</v>
      </c>
      <c r="I162" s="22" t="s">
        <v>11</v>
      </c>
      <c r="J162" s="23"/>
    </row>
    <row r="163" spans="1:10" hidden="1" outlineLevel="2">
      <c r="A163" s="23">
        <v>1</v>
      </c>
      <c r="B163" s="49" t="s">
        <v>1888</v>
      </c>
      <c r="C163" s="39" t="s">
        <v>1064</v>
      </c>
      <c r="D163" s="41" t="str">
        <f t="shared" si="9"/>
        <v>數學4-鑄造二甲</v>
      </c>
      <c r="E163" s="22" t="s">
        <v>1069</v>
      </c>
      <c r="F163" s="22" t="s">
        <v>1070</v>
      </c>
      <c r="G163" s="22">
        <v>55</v>
      </c>
      <c r="H163" s="22">
        <v>4</v>
      </c>
      <c r="I163" s="22" t="s">
        <v>11</v>
      </c>
      <c r="J163" s="23"/>
    </row>
    <row r="164" spans="1:10" hidden="1" outlineLevel="2">
      <c r="A164" s="23">
        <v>1</v>
      </c>
      <c r="B164" s="49" t="s">
        <v>1888</v>
      </c>
      <c r="C164" s="39" t="s">
        <v>1064</v>
      </c>
      <c r="D164" s="41" t="str">
        <f t="shared" si="9"/>
        <v>數學4-鑄造二甲</v>
      </c>
      <c r="E164" s="22" t="s">
        <v>1071</v>
      </c>
      <c r="F164" s="22" t="s">
        <v>1072</v>
      </c>
      <c r="G164" s="22">
        <v>51</v>
      </c>
      <c r="H164" s="22">
        <v>4</v>
      </c>
      <c r="I164" s="22" t="s">
        <v>11</v>
      </c>
      <c r="J164" s="23"/>
    </row>
    <row r="165" spans="1:10" hidden="1" outlineLevel="2">
      <c r="A165" s="23">
        <v>1</v>
      </c>
      <c r="B165" s="49" t="s">
        <v>1888</v>
      </c>
      <c r="C165" s="39" t="s">
        <v>1064</v>
      </c>
      <c r="D165" s="41" t="str">
        <f t="shared" si="9"/>
        <v>數學4-鑄造二甲</v>
      </c>
      <c r="E165" s="22" t="s">
        <v>1511</v>
      </c>
      <c r="F165" s="22" t="s">
        <v>1512</v>
      </c>
      <c r="G165" s="22">
        <v>46</v>
      </c>
      <c r="H165" s="22">
        <v>4</v>
      </c>
      <c r="I165" s="22" t="s">
        <v>11</v>
      </c>
      <c r="J165" s="23"/>
    </row>
    <row r="166" spans="1:10" hidden="1" outlineLevel="2">
      <c r="A166" s="23">
        <v>1</v>
      </c>
      <c r="B166" s="49" t="s">
        <v>1888</v>
      </c>
      <c r="C166" s="39" t="s">
        <v>1064</v>
      </c>
      <c r="D166" s="41" t="str">
        <f t="shared" si="9"/>
        <v>數學4-鑄造二甲</v>
      </c>
      <c r="E166" s="22" t="s">
        <v>1317</v>
      </c>
      <c r="F166" s="22" t="s">
        <v>1318</v>
      </c>
      <c r="G166" s="22">
        <v>54</v>
      </c>
      <c r="H166" s="22">
        <v>4</v>
      </c>
      <c r="I166" s="22" t="s">
        <v>11</v>
      </c>
      <c r="J166" s="23"/>
    </row>
    <row r="167" spans="1:10" hidden="1" outlineLevel="2">
      <c r="A167" s="23">
        <v>1</v>
      </c>
      <c r="B167" s="49" t="s">
        <v>1888</v>
      </c>
      <c r="C167" s="39" t="s">
        <v>1064</v>
      </c>
      <c r="D167" s="41" t="str">
        <f t="shared" si="9"/>
        <v>數學4-鑄造二甲</v>
      </c>
      <c r="E167" s="22" t="s">
        <v>1513</v>
      </c>
      <c r="F167" s="22" t="s">
        <v>1514</v>
      </c>
      <c r="G167" s="22">
        <v>46</v>
      </c>
      <c r="H167" s="22">
        <v>4</v>
      </c>
      <c r="I167" s="22" t="s">
        <v>11</v>
      </c>
      <c r="J167" s="23"/>
    </row>
    <row r="168" spans="1:10" hidden="1" outlineLevel="2">
      <c r="A168" s="23">
        <v>1</v>
      </c>
      <c r="B168" s="49" t="s">
        <v>1888</v>
      </c>
      <c r="C168" s="39" t="s">
        <v>1064</v>
      </c>
      <c r="D168" s="41" t="str">
        <f t="shared" si="9"/>
        <v>數學4-鑄造二甲</v>
      </c>
      <c r="E168" s="22" t="s">
        <v>1079</v>
      </c>
      <c r="F168" s="22" t="s">
        <v>1080</v>
      </c>
      <c r="G168" s="22">
        <v>46</v>
      </c>
      <c r="H168" s="22">
        <v>4</v>
      </c>
      <c r="I168" s="22" t="s">
        <v>11</v>
      </c>
      <c r="J168" s="23"/>
    </row>
    <row r="169" spans="1:10" outlineLevel="1" collapsed="1">
      <c r="A169" s="23"/>
      <c r="B169" s="49"/>
      <c r="C169" s="39"/>
      <c r="D169" s="51" t="s">
        <v>2236</v>
      </c>
      <c r="E169" s="22">
        <f>SUBTOTAL(3,E157:E168)</f>
        <v>12</v>
      </c>
      <c r="F169" s="22"/>
      <c r="G169" s="22"/>
      <c r="H169" s="22"/>
      <c r="I169" s="22">
        <f>SUBTOTAL(3,I157:I168)</f>
        <v>12</v>
      </c>
      <c r="J169" s="23">
        <f>E169+E156+E142+E133</f>
        <v>42</v>
      </c>
    </row>
    <row r="170" spans="1:10" hidden="1" outlineLevel="2">
      <c r="A170" s="23">
        <v>1</v>
      </c>
      <c r="B170" s="22" t="s">
        <v>2077</v>
      </c>
      <c r="C170" s="39" t="s">
        <v>171</v>
      </c>
      <c r="D170" s="41" t="s">
        <v>2078</v>
      </c>
      <c r="E170" s="22" t="s">
        <v>483</v>
      </c>
      <c r="F170" s="22" t="s">
        <v>484</v>
      </c>
      <c r="G170" s="22">
        <v>48</v>
      </c>
      <c r="H170" s="22">
        <v>2</v>
      </c>
      <c r="I170" s="22" t="s">
        <v>11</v>
      </c>
      <c r="J170" s="23"/>
    </row>
    <row r="171" spans="1:10" hidden="1" outlineLevel="2">
      <c r="A171" s="23">
        <v>1</v>
      </c>
      <c r="B171" s="22" t="s">
        <v>2077</v>
      </c>
      <c r="C171" s="39" t="s">
        <v>171</v>
      </c>
      <c r="D171" s="41" t="s">
        <v>2078</v>
      </c>
      <c r="E171" s="22" t="s">
        <v>487</v>
      </c>
      <c r="F171" s="22" t="s">
        <v>488</v>
      </c>
      <c r="G171" s="22">
        <v>45</v>
      </c>
      <c r="H171" s="22">
        <v>2</v>
      </c>
      <c r="I171" s="22" t="s">
        <v>11</v>
      </c>
      <c r="J171" s="23"/>
    </row>
    <row r="172" spans="1:10" outlineLevel="1" collapsed="1">
      <c r="A172" s="23"/>
      <c r="B172" s="22"/>
      <c r="C172" s="39"/>
      <c r="D172" s="51" t="s">
        <v>2237</v>
      </c>
      <c r="E172" s="22">
        <f>SUBTOTAL(3,E170:E171)</f>
        <v>2</v>
      </c>
      <c r="F172" s="22"/>
      <c r="G172" s="22"/>
      <c r="H172" s="22"/>
      <c r="I172" s="22">
        <f>SUBTOTAL(3,I170:I171)</f>
        <v>2</v>
      </c>
      <c r="J172" s="23"/>
    </row>
    <row r="173" spans="1:10" hidden="1" outlineLevel="2">
      <c r="A173" s="23">
        <v>1</v>
      </c>
      <c r="B173" s="49" t="s">
        <v>1949</v>
      </c>
      <c r="C173" s="39" t="s">
        <v>968</v>
      </c>
      <c r="D173" s="41" t="str">
        <f t="shared" ref="D173:D181" si="10">B173&amp;"-"&amp;C173</f>
        <v>數學6-體育二甲</v>
      </c>
      <c r="E173" s="22" t="s">
        <v>1271</v>
      </c>
      <c r="F173" s="22" t="s">
        <v>1272</v>
      </c>
      <c r="G173" s="22">
        <v>43</v>
      </c>
      <c r="H173" s="22">
        <v>2</v>
      </c>
      <c r="I173" s="22" t="s">
        <v>11</v>
      </c>
      <c r="J173" s="23"/>
    </row>
    <row r="174" spans="1:10" hidden="1" outlineLevel="2">
      <c r="A174" s="23">
        <v>1</v>
      </c>
      <c r="B174" s="49" t="s">
        <v>1949</v>
      </c>
      <c r="C174" s="39" t="s">
        <v>968</v>
      </c>
      <c r="D174" s="41" t="str">
        <f t="shared" si="10"/>
        <v>數學6-體育二甲</v>
      </c>
      <c r="E174" s="22" t="s">
        <v>1273</v>
      </c>
      <c r="F174" s="22" t="s">
        <v>1274</v>
      </c>
      <c r="G174" s="22">
        <v>40</v>
      </c>
      <c r="H174" s="22">
        <v>2</v>
      </c>
      <c r="I174" s="22" t="s">
        <v>11</v>
      </c>
      <c r="J174" s="23"/>
    </row>
    <row r="175" spans="1:10" hidden="1" outlineLevel="2">
      <c r="A175" s="23">
        <v>1</v>
      </c>
      <c r="B175" s="49" t="s">
        <v>1949</v>
      </c>
      <c r="C175" s="39" t="s">
        <v>968</v>
      </c>
      <c r="D175" s="41" t="str">
        <f t="shared" si="10"/>
        <v>數學6-體育二甲</v>
      </c>
      <c r="E175" s="22" t="s">
        <v>1533</v>
      </c>
      <c r="F175" s="22" t="s">
        <v>1534</v>
      </c>
      <c r="G175" s="22">
        <v>50</v>
      </c>
      <c r="H175" s="22">
        <v>2</v>
      </c>
      <c r="I175" s="22" t="s">
        <v>11</v>
      </c>
      <c r="J175" s="23"/>
    </row>
    <row r="176" spans="1:10" hidden="1" outlineLevel="2">
      <c r="A176" s="23">
        <v>1</v>
      </c>
      <c r="B176" s="49" t="s">
        <v>1949</v>
      </c>
      <c r="C176" s="39" t="s">
        <v>968</v>
      </c>
      <c r="D176" s="41" t="str">
        <f t="shared" si="10"/>
        <v>數學6-體育二甲</v>
      </c>
      <c r="E176" s="22" t="s">
        <v>1535</v>
      </c>
      <c r="F176" s="22" t="s">
        <v>1536</v>
      </c>
      <c r="G176" s="22">
        <v>46</v>
      </c>
      <c r="H176" s="22">
        <v>2</v>
      </c>
      <c r="I176" s="22" t="s">
        <v>11</v>
      </c>
      <c r="J176" s="23"/>
    </row>
    <row r="177" spans="1:10" hidden="1" outlineLevel="2">
      <c r="A177" s="23">
        <v>1</v>
      </c>
      <c r="B177" s="49" t="s">
        <v>1949</v>
      </c>
      <c r="C177" s="39" t="s">
        <v>968</v>
      </c>
      <c r="D177" s="41" t="str">
        <f t="shared" si="10"/>
        <v>數學6-體育二甲</v>
      </c>
      <c r="E177" s="22" t="s">
        <v>1275</v>
      </c>
      <c r="F177" s="22" t="s">
        <v>1276</v>
      </c>
      <c r="G177" s="22">
        <v>41</v>
      </c>
      <c r="H177" s="22">
        <v>2</v>
      </c>
      <c r="I177" s="22" t="s">
        <v>11</v>
      </c>
      <c r="J177" s="23"/>
    </row>
    <row r="178" spans="1:10" hidden="1" outlineLevel="2">
      <c r="A178" s="23">
        <v>1</v>
      </c>
      <c r="B178" s="49" t="s">
        <v>1949</v>
      </c>
      <c r="C178" s="39" t="s">
        <v>968</v>
      </c>
      <c r="D178" s="41" t="str">
        <f t="shared" si="10"/>
        <v>數學6-體育二甲</v>
      </c>
      <c r="E178" s="22" t="s">
        <v>1277</v>
      </c>
      <c r="F178" s="22" t="s">
        <v>1278</v>
      </c>
      <c r="G178" s="22">
        <v>40</v>
      </c>
      <c r="H178" s="22">
        <v>2</v>
      </c>
      <c r="I178" s="22" t="s">
        <v>11</v>
      </c>
      <c r="J178" s="23"/>
    </row>
    <row r="179" spans="1:10" hidden="1" outlineLevel="2">
      <c r="A179" s="23">
        <v>1</v>
      </c>
      <c r="B179" s="49" t="s">
        <v>1949</v>
      </c>
      <c r="C179" s="39" t="s">
        <v>968</v>
      </c>
      <c r="D179" s="41" t="str">
        <f t="shared" si="10"/>
        <v>數學6-體育二甲</v>
      </c>
      <c r="E179" s="22" t="s">
        <v>1537</v>
      </c>
      <c r="F179" s="22" t="s">
        <v>1538</v>
      </c>
      <c r="G179" s="22">
        <v>55</v>
      </c>
      <c r="H179" s="22">
        <v>2</v>
      </c>
      <c r="I179" s="22" t="s">
        <v>11</v>
      </c>
      <c r="J179" s="23"/>
    </row>
    <row r="180" spans="1:10" hidden="1" outlineLevel="2">
      <c r="A180" s="23">
        <v>1</v>
      </c>
      <c r="B180" s="49" t="s">
        <v>1949</v>
      </c>
      <c r="C180" s="39" t="s">
        <v>968</v>
      </c>
      <c r="D180" s="41" t="str">
        <f t="shared" si="10"/>
        <v>數學6-體育二甲</v>
      </c>
      <c r="E180" s="22" t="s">
        <v>1279</v>
      </c>
      <c r="F180" s="22" t="s">
        <v>1280</v>
      </c>
      <c r="G180" s="22">
        <v>42</v>
      </c>
      <c r="H180" s="22">
        <v>2</v>
      </c>
      <c r="I180" s="22" t="s">
        <v>11</v>
      </c>
      <c r="J180" s="23"/>
    </row>
    <row r="181" spans="1:10" hidden="1" outlineLevel="2">
      <c r="A181" s="23">
        <v>1</v>
      </c>
      <c r="B181" s="49" t="s">
        <v>1949</v>
      </c>
      <c r="C181" s="39" t="s">
        <v>968</v>
      </c>
      <c r="D181" s="41" t="str">
        <f t="shared" si="10"/>
        <v>數學6-體育二甲</v>
      </c>
      <c r="E181" s="22" t="s">
        <v>1539</v>
      </c>
      <c r="F181" s="22" t="s">
        <v>1540</v>
      </c>
      <c r="G181" s="22">
        <v>40</v>
      </c>
      <c r="H181" s="22">
        <v>2</v>
      </c>
      <c r="I181" s="22" t="s">
        <v>11</v>
      </c>
      <c r="J181" s="23"/>
    </row>
    <row r="182" spans="1:10" outlineLevel="1" collapsed="1">
      <c r="A182" s="23"/>
      <c r="B182" s="49"/>
      <c r="C182" s="39"/>
      <c r="D182" s="51" t="s">
        <v>2239</v>
      </c>
      <c r="E182" s="22">
        <f>SUBTOTAL(3,E173:E181)</f>
        <v>9</v>
      </c>
      <c r="F182" s="22"/>
      <c r="G182" s="22"/>
      <c r="H182" s="22"/>
      <c r="I182" s="22">
        <f>SUBTOTAL(3,I173:I181)</f>
        <v>9</v>
      </c>
      <c r="J182" s="23"/>
    </row>
    <row r="183" spans="1:10" hidden="1" outlineLevel="2">
      <c r="A183" s="23">
        <v>1</v>
      </c>
      <c r="B183" s="49" t="s">
        <v>1887</v>
      </c>
      <c r="C183" s="39" t="s">
        <v>174</v>
      </c>
      <c r="D183" s="41" t="s">
        <v>2062</v>
      </c>
      <c r="E183" s="22" t="s">
        <v>177</v>
      </c>
      <c r="F183" s="22" t="s">
        <v>178</v>
      </c>
      <c r="G183" s="22">
        <v>50</v>
      </c>
      <c r="H183" s="22">
        <v>4</v>
      </c>
      <c r="I183" s="22" t="s">
        <v>11</v>
      </c>
      <c r="J183" s="23"/>
    </row>
    <row r="184" spans="1:10" hidden="1" outlineLevel="2">
      <c r="A184" s="23">
        <v>1</v>
      </c>
      <c r="B184" s="49" t="s">
        <v>1887</v>
      </c>
      <c r="C184" s="39" t="s">
        <v>174</v>
      </c>
      <c r="D184" s="41" t="s">
        <v>2062</v>
      </c>
      <c r="E184" s="22" t="s">
        <v>495</v>
      </c>
      <c r="F184" s="22" t="s">
        <v>496</v>
      </c>
      <c r="G184" s="22">
        <v>50</v>
      </c>
      <c r="H184" s="22">
        <v>4</v>
      </c>
      <c r="I184" s="22" t="s">
        <v>11</v>
      </c>
      <c r="J184" s="23"/>
    </row>
    <row r="185" spans="1:10" hidden="1" outlineLevel="2">
      <c r="A185" s="23">
        <v>1</v>
      </c>
      <c r="B185" s="49" t="s">
        <v>1887</v>
      </c>
      <c r="C185" s="39" t="s">
        <v>174</v>
      </c>
      <c r="D185" s="41" t="s">
        <v>2062</v>
      </c>
      <c r="E185" s="22" t="s">
        <v>679</v>
      </c>
      <c r="F185" s="22" t="s">
        <v>680</v>
      </c>
      <c r="G185" s="22">
        <v>52</v>
      </c>
      <c r="H185" s="22">
        <v>4</v>
      </c>
      <c r="I185" s="22" t="s">
        <v>11</v>
      </c>
      <c r="J185" s="23"/>
    </row>
    <row r="186" spans="1:10" hidden="1" outlineLevel="2">
      <c r="A186" s="23">
        <v>1</v>
      </c>
      <c r="B186" s="49" t="s">
        <v>1887</v>
      </c>
      <c r="C186" s="39" t="s">
        <v>174</v>
      </c>
      <c r="D186" s="41" t="s">
        <v>2062</v>
      </c>
      <c r="E186" s="22" t="s">
        <v>189</v>
      </c>
      <c r="F186" s="22" t="s">
        <v>190</v>
      </c>
      <c r="G186" s="22">
        <v>51</v>
      </c>
      <c r="H186" s="22">
        <v>4</v>
      </c>
      <c r="I186" s="22" t="s">
        <v>11</v>
      </c>
      <c r="J186" s="23"/>
    </row>
    <row r="187" spans="1:10" hidden="1" outlineLevel="2">
      <c r="A187" s="23">
        <v>1</v>
      </c>
      <c r="B187" s="49" t="s">
        <v>1887</v>
      </c>
      <c r="C187" s="39" t="s">
        <v>174</v>
      </c>
      <c r="D187" s="41" t="s">
        <v>2062</v>
      </c>
      <c r="E187" s="22" t="s">
        <v>191</v>
      </c>
      <c r="F187" s="22" t="s">
        <v>151</v>
      </c>
      <c r="G187" s="22">
        <v>50</v>
      </c>
      <c r="H187" s="22">
        <v>4</v>
      </c>
      <c r="I187" s="22" t="s">
        <v>11</v>
      </c>
      <c r="J187" s="23"/>
    </row>
    <row r="188" spans="1:10" hidden="1" outlineLevel="2">
      <c r="A188" s="23">
        <v>1</v>
      </c>
      <c r="B188" s="49" t="s">
        <v>1887</v>
      </c>
      <c r="C188" s="39" t="s">
        <v>174</v>
      </c>
      <c r="D188" s="41" t="s">
        <v>2062</v>
      </c>
      <c r="E188" s="22" t="s">
        <v>505</v>
      </c>
      <c r="F188" s="22" t="s">
        <v>506</v>
      </c>
      <c r="G188" s="22">
        <v>40</v>
      </c>
      <c r="H188" s="22">
        <v>4</v>
      </c>
      <c r="I188" s="22" t="s">
        <v>11</v>
      </c>
      <c r="J188" s="23"/>
    </row>
    <row r="189" spans="1:10" outlineLevel="1" collapsed="1">
      <c r="A189" s="23"/>
      <c r="B189" s="49"/>
      <c r="C189" s="39"/>
      <c r="D189" s="51" t="s">
        <v>2240</v>
      </c>
      <c r="E189" s="22">
        <f>SUBTOTAL(3,E183:E188)</f>
        <v>6</v>
      </c>
      <c r="F189" s="22"/>
      <c r="G189" s="22"/>
      <c r="H189" s="22"/>
      <c r="I189" s="22">
        <f>SUBTOTAL(3,I183:I188)</f>
        <v>6</v>
      </c>
      <c r="J189" s="23"/>
    </row>
    <row r="190" spans="1:10" hidden="1" outlineLevel="2">
      <c r="A190" s="23">
        <v>1</v>
      </c>
      <c r="B190" s="49" t="s">
        <v>1887</v>
      </c>
      <c r="C190" s="39" t="s">
        <v>279</v>
      </c>
      <c r="D190" s="41" t="s">
        <v>2063</v>
      </c>
      <c r="E190" s="22" t="s">
        <v>280</v>
      </c>
      <c r="F190" s="22" t="s">
        <v>281</v>
      </c>
      <c r="G190" s="22">
        <v>47</v>
      </c>
      <c r="H190" s="22">
        <v>4</v>
      </c>
      <c r="I190" s="22" t="s">
        <v>11</v>
      </c>
      <c r="J190" s="23"/>
    </row>
    <row r="191" spans="1:10" hidden="1" outlineLevel="2">
      <c r="A191" s="23">
        <v>1</v>
      </c>
      <c r="B191" s="49" t="s">
        <v>1887</v>
      </c>
      <c r="C191" s="39" t="s">
        <v>279</v>
      </c>
      <c r="D191" s="41" t="s">
        <v>2063</v>
      </c>
      <c r="E191" s="22" t="s">
        <v>353</v>
      </c>
      <c r="F191" s="22" t="s">
        <v>354</v>
      </c>
      <c r="G191" s="22">
        <v>50</v>
      </c>
      <c r="H191" s="22">
        <v>4</v>
      </c>
      <c r="I191" s="22" t="s">
        <v>11</v>
      </c>
      <c r="J191" s="23"/>
    </row>
    <row r="192" spans="1:10" hidden="1" outlineLevel="2">
      <c r="A192" s="23">
        <v>1</v>
      </c>
      <c r="B192" s="49" t="s">
        <v>1887</v>
      </c>
      <c r="C192" s="39" t="s">
        <v>279</v>
      </c>
      <c r="D192" s="41" t="s">
        <v>2063</v>
      </c>
      <c r="E192" s="22" t="s">
        <v>286</v>
      </c>
      <c r="F192" s="22" t="s">
        <v>287</v>
      </c>
      <c r="G192" s="22">
        <v>48</v>
      </c>
      <c r="H192" s="22">
        <v>4</v>
      </c>
      <c r="I192" s="22" t="s">
        <v>11</v>
      </c>
      <c r="J192" s="23"/>
    </row>
    <row r="193" spans="1:10" hidden="1" outlineLevel="2">
      <c r="A193" s="23">
        <v>1</v>
      </c>
      <c r="B193" s="49" t="s">
        <v>1887</v>
      </c>
      <c r="C193" s="39" t="s">
        <v>279</v>
      </c>
      <c r="D193" s="41" t="s">
        <v>2063</v>
      </c>
      <c r="E193" s="22" t="s">
        <v>357</v>
      </c>
      <c r="F193" s="22" t="s">
        <v>358</v>
      </c>
      <c r="G193" s="22">
        <v>40</v>
      </c>
      <c r="H193" s="22">
        <v>4</v>
      </c>
      <c r="I193" s="22" t="s">
        <v>11</v>
      </c>
      <c r="J193" s="23"/>
    </row>
    <row r="194" spans="1:10" hidden="1" outlineLevel="2">
      <c r="A194" s="23">
        <v>1</v>
      </c>
      <c r="B194" s="49" t="s">
        <v>1887</v>
      </c>
      <c r="C194" s="39" t="s">
        <v>279</v>
      </c>
      <c r="D194" s="41" t="s">
        <v>2063</v>
      </c>
      <c r="E194" s="22" t="s">
        <v>687</v>
      </c>
      <c r="F194" s="22" t="s">
        <v>688</v>
      </c>
      <c r="G194" s="22">
        <v>47</v>
      </c>
      <c r="H194" s="22">
        <v>4</v>
      </c>
      <c r="I194" s="22" t="s">
        <v>11</v>
      </c>
      <c r="J194" s="23"/>
    </row>
    <row r="195" spans="1:10" hidden="1" outlineLevel="2">
      <c r="A195" s="23">
        <v>1</v>
      </c>
      <c r="B195" s="49" t="s">
        <v>1887</v>
      </c>
      <c r="C195" s="39" t="s">
        <v>279</v>
      </c>
      <c r="D195" s="41" t="s">
        <v>2063</v>
      </c>
      <c r="E195" s="22" t="s">
        <v>361</v>
      </c>
      <c r="F195" s="22" t="s">
        <v>362</v>
      </c>
      <c r="G195" s="22">
        <v>40</v>
      </c>
      <c r="H195" s="22">
        <v>4</v>
      </c>
      <c r="I195" s="22" t="s">
        <v>11</v>
      </c>
      <c r="J195" s="23"/>
    </row>
    <row r="196" spans="1:10" hidden="1" outlineLevel="2">
      <c r="A196" s="23">
        <v>1</v>
      </c>
      <c r="B196" s="49" t="s">
        <v>1887</v>
      </c>
      <c r="C196" s="39" t="s">
        <v>279</v>
      </c>
      <c r="D196" s="41" t="s">
        <v>2063</v>
      </c>
      <c r="E196" s="22" t="s">
        <v>584</v>
      </c>
      <c r="F196" s="22" t="s">
        <v>585</v>
      </c>
      <c r="G196" s="22">
        <v>40</v>
      </c>
      <c r="H196" s="22">
        <v>4</v>
      </c>
      <c r="I196" s="22" t="s">
        <v>11</v>
      </c>
      <c r="J196" s="23"/>
    </row>
    <row r="197" spans="1:10" outlineLevel="1" collapsed="1">
      <c r="A197" s="23"/>
      <c r="B197" s="49"/>
      <c r="C197" s="39"/>
      <c r="D197" s="51" t="s">
        <v>2241</v>
      </c>
      <c r="E197" s="22">
        <f>SUBTOTAL(3,E190:E196)</f>
        <v>7</v>
      </c>
      <c r="F197" s="22"/>
      <c r="G197" s="22"/>
      <c r="H197" s="22"/>
      <c r="I197" s="22">
        <f>SUBTOTAL(3,I190:I196)</f>
        <v>7</v>
      </c>
      <c r="J197" s="23"/>
    </row>
    <row r="198" spans="1:10" hidden="1" outlineLevel="2">
      <c r="A198" s="23">
        <v>1</v>
      </c>
      <c r="B198" s="49" t="s">
        <v>1887</v>
      </c>
      <c r="C198" s="39" t="s">
        <v>65</v>
      </c>
      <c r="D198" s="41" t="s">
        <v>2064</v>
      </c>
      <c r="E198" s="22" t="s">
        <v>72</v>
      </c>
      <c r="F198" s="22" t="s">
        <v>73</v>
      </c>
      <c r="G198" s="22">
        <v>54</v>
      </c>
      <c r="H198" s="22">
        <v>4</v>
      </c>
      <c r="I198" s="22" t="s">
        <v>11</v>
      </c>
      <c r="J198" s="23"/>
    </row>
    <row r="199" spans="1:10" hidden="1" outlineLevel="2">
      <c r="A199" s="23">
        <v>1</v>
      </c>
      <c r="B199" s="49" t="s">
        <v>1887</v>
      </c>
      <c r="C199" s="39" t="s">
        <v>65</v>
      </c>
      <c r="D199" s="41" t="s">
        <v>2064</v>
      </c>
      <c r="E199" s="22" t="s">
        <v>74</v>
      </c>
      <c r="F199" s="22" t="s">
        <v>75</v>
      </c>
      <c r="G199" s="22">
        <v>48</v>
      </c>
      <c r="H199" s="22">
        <v>4</v>
      </c>
      <c r="I199" s="22" t="s">
        <v>11</v>
      </c>
      <c r="J199" s="23"/>
    </row>
    <row r="200" spans="1:10" hidden="1" outlineLevel="2">
      <c r="A200" s="23">
        <v>1</v>
      </c>
      <c r="B200" s="49" t="s">
        <v>1887</v>
      </c>
      <c r="C200" s="39" t="s">
        <v>65</v>
      </c>
      <c r="D200" s="41" t="s">
        <v>2064</v>
      </c>
      <c r="E200" s="22" t="s">
        <v>689</v>
      </c>
      <c r="F200" s="22" t="s">
        <v>690</v>
      </c>
      <c r="G200" s="22">
        <v>54</v>
      </c>
      <c r="H200" s="22">
        <v>4</v>
      </c>
      <c r="I200" s="22" t="s">
        <v>11</v>
      </c>
      <c r="J200" s="23"/>
    </row>
    <row r="201" spans="1:10" hidden="1" outlineLevel="2">
      <c r="A201" s="23">
        <v>1</v>
      </c>
      <c r="B201" s="49" t="s">
        <v>1887</v>
      </c>
      <c r="C201" s="39" t="s">
        <v>65</v>
      </c>
      <c r="D201" s="41" t="s">
        <v>2064</v>
      </c>
      <c r="E201" s="22" t="s">
        <v>691</v>
      </c>
      <c r="F201" s="22" t="s">
        <v>692</v>
      </c>
      <c r="G201" s="22">
        <v>57</v>
      </c>
      <c r="H201" s="22">
        <v>4</v>
      </c>
      <c r="I201" s="22" t="s">
        <v>11</v>
      </c>
      <c r="J201" s="23"/>
    </row>
    <row r="202" spans="1:10" hidden="1" outlineLevel="2">
      <c r="A202" s="23">
        <v>1</v>
      </c>
      <c r="B202" s="49" t="s">
        <v>1887</v>
      </c>
      <c r="C202" s="39" t="s">
        <v>65</v>
      </c>
      <c r="D202" s="41" t="s">
        <v>2064</v>
      </c>
      <c r="E202" s="22" t="s">
        <v>78</v>
      </c>
      <c r="F202" s="22" t="s">
        <v>79</v>
      </c>
      <c r="G202" s="22">
        <v>53</v>
      </c>
      <c r="H202" s="22">
        <v>4</v>
      </c>
      <c r="I202" s="22" t="s">
        <v>11</v>
      </c>
      <c r="J202" s="23"/>
    </row>
    <row r="203" spans="1:10" hidden="1" outlineLevel="2">
      <c r="A203" s="23">
        <v>1</v>
      </c>
      <c r="B203" s="49" t="s">
        <v>1887</v>
      </c>
      <c r="C203" s="39" t="s">
        <v>65</v>
      </c>
      <c r="D203" s="41" t="s">
        <v>2064</v>
      </c>
      <c r="E203" s="22" t="s">
        <v>80</v>
      </c>
      <c r="F203" s="22" t="s">
        <v>81</v>
      </c>
      <c r="G203" s="22">
        <v>55</v>
      </c>
      <c r="H203" s="22">
        <v>4</v>
      </c>
      <c r="I203" s="22" t="s">
        <v>11</v>
      </c>
      <c r="J203" s="23"/>
    </row>
    <row r="204" spans="1:10" outlineLevel="1" collapsed="1">
      <c r="A204" s="23"/>
      <c r="B204" s="49"/>
      <c r="C204" s="39"/>
      <c r="D204" s="51" t="s">
        <v>2242</v>
      </c>
      <c r="E204" s="22">
        <f>SUBTOTAL(3,E198:E203)</f>
        <v>6</v>
      </c>
      <c r="F204" s="22"/>
      <c r="G204" s="22"/>
      <c r="H204" s="22"/>
      <c r="I204" s="22">
        <f>SUBTOTAL(3,I198:I203)</f>
        <v>6</v>
      </c>
      <c r="J204" s="23"/>
    </row>
    <row r="205" spans="1:10" hidden="1" outlineLevel="2">
      <c r="A205" s="23">
        <v>1</v>
      </c>
      <c r="B205" s="49" t="s">
        <v>1887</v>
      </c>
      <c r="C205" s="39" t="s">
        <v>158</v>
      </c>
      <c r="D205" s="41" t="s">
        <v>2068</v>
      </c>
      <c r="E205" s="22" t="s">
        <v>637</v>
      </c>
      <c r="F205" s="22" t="s">
        <v>638</v>
      </c>
      <c r="G205" s="22">
        <v>45</v>
      </c>
      <c r="H205" s="22">
        <v>4</v>
      </c>
      <c r="I205" s="22" t="s">
        <v>11</v>
      </c>
      <c r="J205" s="23"/>
    </row>
    <row r="206" spans="1:10" hidden="1" outlineLevel="2">
      <c r="A206" s="23">
        <v>1</v>
      </c>
      <c r="B206" s="49" t="s">
        <v>1887</v>
      </c>
      <c r="C206" s="39" t="s">
        <v>158</v>
      </c>
      <c r="D206" s="41" t="s">
        <v>2068</v>
      </c>
      <c r="E206" s="22" t="s">
        <v>639</v>
      </c>
      <c r="F206" s="22" t="s">
        <v>640</v>
      </c>
      <c r="G206" s="22">
        <v>40</v>
      </c>
      <c r="H206" s="22">
        <v>4</v>
      </c>
      <c r="I206" s="22" t="s">
        <v>11</v>
      </c>
      <c r="J206" s="23"/>
    </row>
    <row r="207" spans="1:10" hidden="1" outlineLevel="2">
      <c r="A207" s="23">
        <v>1</v>
      </c>
      <c r="B207" s="49" t="s">
        <v>1887</v>
      </c>
      <c r="C207" s="39" t="s">
        <v>158</v>
      </c>
      <c r="D207" s="41" t="s">
        <v>2068</v>
      </c>
      <c r="E207" s="22" t="s">
        <v>641</v>
      </c>
      <c r="F207" s="22" t="s">
        <v>642</v>
      </c>
      <c r="G207" s="22">
        <v>40</v>
      </c>
      <c r="H207" s="22">
        <v>4</v>
      </c>
      <c r="I207" s="22" t="s">
        <v>11</v>
      </c>
      <c r="J207" s="23"/>
    </row>
    <row r="208" spans="1:10" hidden="1" outlineLevel="2">
      <c r="A208" s="23">
        <v>1</v>
      </c>
      <c r="B208" s="49" t="s">
        <v>1887</v>
      </c>
      <c r="C208" s="39" t="s">
        <v>158</v>
      </c>
      <c r="D208" s="41" t="s">
        <v>2068</v>
      </c>
      <c r="E208" s="22" t="s">
        <v>513</v>
      </c>
      <c r="F208" s="22" t="s">
        <v>514</v>
      </c>
      <c r="G208" s="22">
        <v>50</v>
      </c>
      <c r="H208" s="22">
        <v>4</v>
      </c>
      <c r="I208" s="22" t="s">
        <v>11</v>
      </c>
      <c r="J208" s="23"/>
    </row>
    <row r="209" spans="1:10" outlineLevel="1" collapsed="1">
      <c r="A209" s="23"/>
      <c r="B209" s="49"/>
      <c r="C209" s="39"/>
      <c r="D209" s="51" t="s">
        <v>2243</v>
      </c>
      <c r="E209" s="22">
        <f>SUBTOTAL(3,E205:E208)</f>
        <v>4</v>
      </c>
      <c r="F209" s="22"/>
      <c r="G209" s="22"/>
      <c r="H209" s="22"/>
      <c r="I209" s="22">
        <f>SUBTOTAL(3,I205:I208)</f>
        <v>4</v>
      </c>
      <c r="J209" s="23"/>
    </row>
    <row r="210" spans="1:10" hidden="1" outlineLevel="2">
      <c r="A210" s="23">
        <v>1</v>
      </c>
      <c r="B210" s="49" t="s">
        <v>1887</v>
      </c>
      <c r="C210" s="39" t="s">
        <v>97</v>
      </c>
      <c r="D210" s="41" t="s">
        <v>2069</v>
      </c>
      <c r="E210" s="22" t="s">
        <v>110</v>
      </c>
      <c r="F210" s="22" t="s">
        <v>111</v>
      </c>
      <c r="G210" s="22">
        <v>38</v>
      </c>
      <c r="H210" s="22">
        <v>4</v>
      </c>
      <c r="I210" s="22" t="s">
        <v>11</v>
      </c>
      <c r="J210" s="23"/>
    </row>
    <row r="211" spans="1:10" outlineLevel="1" collapsed="1">
      <c r="A211" s="23"/>
      <c r="B211" s="49"/>
      <c r="C211" s="39"/>
      <c r="D211" s="51" t="s">
        <v>2244</v>
      </c>
      <c r="E211" s="22">
        <f>SUBTOTAL(3,E210:E210)</f>
        <v>1</v>
      </c>
      <c r="F211" s="22"/>
      <c r="G211" s="22"/>
      <c r="H211" s="22"/>
      <c r="I211" s="22">
        <f>SUBTOTAL(3,I210:I210)</f>
        <v>1</v>
      </c>
      <c r="J211" s="23">
        <f>E211+E209+E204+E197+E189+E182+E172</f>
        <v>35</v>
      </c>
    </row>
    <row r="212" spans="1:10" hidden="1" outlineLevel="2">
      <c r="A212" s="23">
        <v>1</v>
      </c>
      <c r="B212" s="49" t="s">
        <v>1887</v>
      </c>
      <c r="C212" s="39" t="s">
        <v>44</v>
      </c>
      <c r="D212" s="41" t="s">
        <v>2070</v>
      </c>
      <c r="E212" s="22" t="s">
        <v>610</v>
      </c>
      <c r="F212" s="22" t="s">
        <v>611</v>
      </c>
      <c r="G212" s="22">
        <v>40</v>
      </c>
      <c r="H212" s="22">
        <v>4</v>
      </c>
      <c r="I212" s="22" t="s">
        <v>11</v>
      </c>
      <c r="J212" s="23"/>
    </row>
    <row r="213" spans="1:10" hidden="1" outlineLevel="2">
      <c r="A213" s="23">
        <v>1</v>
      </c>
      <c r="B213" s="49" t="s">
        <v>1887</v>
      </c>
      <c r="C213" s="39" t="s">
        <v>44</v>
      </c>
      <c r="D213" s="41" t="s">
        <v>2070</v>
      </c>
      <c r="E213" s="22" t="s">
        <v>51</v>
      </c>
      <c r="F213" s="22" t="s">
        <v>52</v>
      </c>
      <c r="G213" s="22">
        <v>40</v>
      </c>
      <c r="H213" s="22">
        <v>4</v>
      </c>
      <c r="I213" s="22" t="s">
        <v>11</v>
      </c>
      <c r="J213" s="23"/>
    </row>
    <row r="214" spans="1:10" hidden="1" outlineLevel="2">
      <c r="A214" s="23">
        <v>1</v>
      </c>
      <c r="B214" s="49" t="s">
        <v>1887</v>
      </c>
      <c r="C214" s="39" t="s">
        <v>44</v>
      </c>
      <c r="D214" s="41" t="s">
        <v>2070</v>
      </c>
      <c r="E214" s="22" t="s">
        <v>681</v>
      </c>
      <c r="F214" s="22" t="s">
        <v>682</v>
      </c>
      <c r="G214" s="22">
        <v>48</v>
      </c>
      <c r="H214" s="22">
        <v>4</v>
      </c>
      <c r="I214" s="22" t="s">
        <v>11</v>
      </c>
      <c r="J214" s="23"/>
    </row>
    <row r="215" spans="1:10" hidden="1" outlineLevel="2">
      <c r="A215" s="23">
        <v>1</v>
      </c>
      <c r="B215" s="49" t="s">
        <v>1887</v>
      </c>
      <c r="C215" s="39" t="s">
        <v>44</v>
      </c>
      <c r="D215" s="41" t="s">
        <v>2070</v>
      </c>
      <c r="E215" s="22" t="s">
        <v>683</v>
      </c>
      <c r="F215" s="22" t="s">
        <v>684</v>
      </c>
      <c r="G215" s="22">
        <v>52</v>
      </c>
      <c r="H215" s="22">
        <v>4</v>
      </c>
      <c r="I215" s="22" t="s">
        <v>11</v>
      </c>
      <c r="J215" s="23"/>
    </row>
    <row r="216" spans="1:10" hidden="1" outlineLevel="2">
      <c r="A216" s="23">
        <v>1</v>
      </c>
      <c r="B216" s="49" t="s">
        <v>1887</v>
      </c>
      <c r="C216" s="39" t="s">
        <v>44</v>
      </c>
      <c r="D216" s="41" t="s">
        <v>2070</v>
      </c>
      <c r="E216" s="22" t="s">
        <v>685</v>
      </c>
      <c r="F216" s="22" t="s">
        <v>686</v>
      </c>
      <c r="G216" s="22">
        <v>52</v>
      </c>
      <c r="H216" s="22">
        <v>4</v>
      </c>
      <c r="I216" s="22" t="s">
        <v>11</v>
      </c>
      <c r="J216" s="23"/>
    </row>
    <row r="217" spans="1:10" hidden="1" outlineLevel="2">
      <c r="A217" s="23">
        <v>1</v>
      </c>
      <c r="B217" s="49" t="s">
        <v>1887</v>
      </c>
      <c r="C217" s="39" t="s">
        <v>44</v>
      </c>
      <c r="D217" s="41" t="s">
        <v>2070</v>
      </c>
      <c r="E217" s="22" t="s">
        <v>59</v>
      </c>
      <c r="F217" s="22" t="s">
        <v>60</v>
      </c>
      <c r="G217" s="22">
        <v>47</v>
      </c>
      <c r="H217" s="22">
        <v>4</v>
      </c>
      <c r="I217" s="22" t="s">
        <v>11</v>
      </c>
      <c r="J217" s="23"/>
    </row>
    <row r="218" spans="1:10" hidden="1" outlineLevel="2">
      <c r="A218" s="23">
        <v>1</v>
      </c>
      <c r="B218" s="49" t="s">
        <v>1887</v>
      </c>
      <c r="C218" s="39" t="s">
        <v>44</v>
      </c>
      <c r="D218" s="41" t="s">
        <v>2070</v>
      </c>
      <c r="E218" s="22" t="s">
        <v>61</v>
      </c>
      <c r="F218" s="22" t="s">
        <v>62</v>
      </c>
      <c r="G218" s="22">
        <v>54</v>
      </c>
      <c r="H218" s="22">
        <v>4</v>
      </c>
      <c r="I218" s="22" t="s">
        <v>11</v>
      </c>
      <c r="J218" s="23"/>
    </row>
    <row r="219" spans="1:10" hidden="1" outlineLevel="2">
      <c r="A219" s="23">
        <v>1</v>
      </c>
      <c r="B219" s="49" t="s">
        <v>1887</v>
      </c>
      <c r="C219" s="39" t="s">
        <v>44</v>
      </c>
      <c r="D219" s="41" t="s">
        <v>2070</v>
      </c>
      <c r="E219" s="22" t="s">
        <v>63</v>
      </c>
      <c r="F219" s="22" t="s">
        <v>64</v>
      </c>
      <c r="G219" s="22">
        <v>53</v>
      </c>
      <c r="H219" s="22">
        <v>4</v>
      </c>
      <c r="I219" s="22" t="s">
        <v>11</v>
      </c>
      <c r="J219" s="23"/>
    </row>
    <row r="220" spans="1:10" hidden="1" outlineLevel="2">
      <c r="A220" s="23">
        <v>1</v>
      </c>
      <c r="B220" s="49" t="s">
        <v>1887</v>
      </c>
      <c r="C220" s="39" t="s">
        <v>44</v>
      </c>
      <c r="D220" s="41" t="s">
        <v>2070</v>
      </c>
      <c r="E220" s="22" t="s">
        <v>461</v>
      </c>
      <c r="F220" s="22" t="s">
        <v>462</v>
      </c>
      <c r="G220" s="22">
        <v>50</v>
      </c>
      <c r="H220" s="22">
        <v>4</v>
      </c>
      <c r="I220" s="22" t="s">
        <v>11</v>
      </c>
      <c r="J220" s="23"/>
    </row>
    <row r="221" spans="1:10" outlineLevel="1" collapsed="1">
      <c r="A221" s="23"/>
      <c r="B221" s="49"/>
      <c r="C221" s="39"/>
      <c r="D221" s="51" t="s">
        <v>2245</v>
      </c>
      <c r="E221" s="22">
        <f>SUBTOTAL(3,E212:E220)</f>
        <v>9</v>
      </c>
      <c r="F221" s="22"/>
      <c r="G221" s="22"/>
      <c r="H221" s="22"/>
      <c r="I221" s="22">
        <f>SUBTOTAL(3,I212:I220)</f>
        <v>9</v>
      </c>
      <c r="J221" s="23"/>
    </row>
    <row r="222" spans="1:10" hidden="1" outlineLevel="2">
      <c r="A222" s="23">
        <v>1</v>
      </c>
      <c r="B222" s="49" t="s">
        <v>1887</v>
      </c>
      <c r="C222" s="39" t="s">
        <v>217</v>
      </c>
      <c r="D222" s="41" t="s">
        <v>2071</v>
      </c>
      <c r="E222" s="22" t="s">
        <v>220</v>
      </c>
      <c r="F222" s="22" t="s">
        <v>221</v>
      </c>
      <c r="G222" s="22">
        <v>40</v>
      </c>
      <c r="H222" s="22">
        <v>4</v>
      </c>
      <c r="I222" s="22" t="s">
        <v>11</v>
      </c>
      <c r="J222" s="23"/>
    </row>
    <row r="223" spans="1:10" hidden="1" outlineLevel="2">
      <c r="A223" s="23">
        <v>1</v>
      </c>
      <c r="B223" s="49" t="s">
        <v>1887</v>
      </c>
      <c r="C223" s="39" t="s">
        <v>217</v>
      </c>
      <c r="D223" s="41" t="s">
        <v>2071</v>
      </c>
      <c r="E223" s="22" t="s">
        <v>224</v>
      </c>
      <c r="F223" s="22" t="s">
        <v>225</v>
      </c>
      <c r="G223" s="22">
        <v>51</v>
      </c>
      <c r="H223" s="22">
        <v>4</v>
      </c>
      <c r="I223" s="22" t="s">
        <v>11</v>
      </c>
      <c r="J223" s="23"/>
    </row>
    <row r="224" spans="1:10" hidden="1" outlineLevel="2">
      <c r="A224" s="23">
        <v>1</v>
      </c>
      <c r="B224" s="49" t="s">
        <v>1887</v>
      </c>
      <c r="C224" s="39" t="s">
        <v>217</v>
      </c>
      <c r="D224" s="41" t="s">
        <v>2071</v>
      </c>
      <c r="E224" s="22" t="s">
        <v>675</v>
      </c>
      <c r="F224" s="22" t="s">
        <v>676</v>
      </c>
      <c r="G224" s="22">
        <v>31</v>
      </c>
      <c r="H224" s="22">
        <v>4</v>
      </c>
      <c r="I224" s="22" t="s">
        <v>11</v>
      </c>
      <c r="J224" s="23"/>
    </row>
    <row r="225" spans="1:10" hidden="1" outlineLevel="2">
      <c r="A225" s="23">
        <v>1</v>
      </c>
      <c r="B225" s="49" t="s">
        <v>1887</v>
      </c>
      <c r="C225" s="39" t="s">
        <v>217</v>
      </c>
      <c r="D225" s="41" t="s">
        <v>2071</v>
      </c>
      <c r="E225" s="22" t="s">
        <v>232</v>
      </c>
      <c r="F225" s="22" t="s">
        <v>233</v>
      </c>
      <c r="G225" s="22">
        <v>40</v>
      </c>
      <c r="H225" s="22">
        <v>4</v>
      </c>
      <c r="I225" s="22" t="s">
        <v>11</v>
      </c>
      <c r="J225" s="23"/>
    </row>
    <row r="226" spans="1:10" outlineLevel="1" collapsed="1">
      <c r="A226" s="23"/>
      <c r="B226" s="49"/>
      <c r="C226" s="39"/>
      <c r="D226" s="51" t="s">
        <v>2246</v>
      </c>
      <c r="E226" s="22">
        <f>SUBTOTAL(3,E222:E225)</f>
        <v>4</v>
      </c>
      <c r="F226" s="22"/>
      <c r="G226" s="22"/>
      <c r="H226" s="22"/>
      <c r="I226" s="22">
        <f>SUBTOTAL(3,I222:I225)</f>
        <v>4</v>
      </c>
      <c r="J226" s="23"/>
    </row>
    <row r="227" spans="1:10" hidden="1" outlineLevel="2">
      <c r="A227" s="23">
        <v>1</v>
      </c>
      <c r="B227" s="49" t="s">
        <v>1887</v>
      </c>
      <c r="C227" s="39" t="s">
        <v>322</v>
      </c>
      <c r="D227" s="41" t="s">
        <v>2072</v>
      </c>
      <c r="E227" s="22" t="s">
        <v>325</v>
      </c>
      <c r="F227" s="22" t="s">
        <v>326</v>
      </c>
      <c r="G227" s="22">
        <v>50</v>
      </c>
      <c r="H227" s="22">
        <v>4</v>
      </c>
      <c r="I227" s="22" t="s">
        <v>11</v>
      </c>
      <c r="J227" s="23"/>
    </row>
    <row r="228" spans="1:10" outlineLevel="1" collapsed="1">
      <c r="A228" s="23"/>
      <c r="B228" s="49"/>
      <c r="C228" s="39"/>
      <c r="D228" s="51" t="s">
        <v>2247</v>
      </c>
      <c r="E228" s="22">
        <f>SUBTOTAL(3,E227:E227)</f>
        <v>1</v>
      </c>
      <c r="F228" s="22"/>
      <c r="G228" s="22"/>
      <c r="H228" s="22"/>
      <c r="I228" s="22">
        <f>SUBTOTAL(3,I227:I227)</f>
        <v>1</v>
      </c>
      <c r="J228" s="23"/>
    </row>
    <row r="229" spans="1:10" hidden="1" outlineLevel="2">
      <c r="A229" s="23">
        <v>1</v>
      </c>
      <c r="B229" s="49" t="s">
        <v>1887</v>
      </c>
      <c r="C229" s="39" t="s">
        <v>194</v>
      </c>
      <c r="D229" s="41" t="s">
        <v>2073</v>
      </c>
      <c r="E229" s="22" t="s">
        <v>203</v>
      </c>
      <c r="F229" s="22" t="s">
        <v>204</v>
      </c>
      <c r="G229" s="22">
        <v>40</v>
      </c>
      <c r="H229" s="22">
        <v>4</v>
      </c>
      <c r="I229" s="22" t="s">
        <v>11</v>
      </c>
      <c r="J229" s="23"/>
    </row>
    <row r="230" spans="1:10" hidden="1" outlineLevel="2">
      <c r="A230" s="23">
        <v>1</v>
      </c>
      <c r="B230" s="49" t="s">
        <v>1887</v>
      </c>
      <c r="C230" s="39" t="s">
        <v>194</v>
      </c>
      <c r="D230" s="41" t="s">
        <v>2073</v>
      </c>
      <c r="E230" s="22" t="s">
        <v>527</v>
      </c>
      <c r="F230" s="22" t="s">
        <v>528</v>
      </c>
      <c r="G230" s="22">
        <v>40</v>
      </c>
      <c r="H230" s="22">
        <v>4</v>
      </c>
      <c r="I230" s="22" t="s">
        <v>11</v>
      </c>
      <c r="J230" s="23"/>
    </row>
    <row r="231" spans="1:10" outlineLevel="1" collapsed="1">
      <c r="A231" s="23"/>
      <c r="B231" s="49"/>
      <c r="C231" s="39"/>
      <c r="D231" s="51" t="s">
        <v>2248</v>
      </c>
      <c r="E231" s="22">
        <f>SUBTOTAL(3,E229:E230)</f>
        <v>2</v>
      </c>
      <c r="F231" s="22"/>
      <c r="G231" s="22"/>
      <c r="H231" s="22"/>
      <c r="I231" s="22">
        <f>SUBTOTAL(3,I229:I230)</f>
        <v>2</v>
      </c>
      <c r="J231" s="23"/>
    </row>
    <row r="232" spans="1:10" hidden="1" outlineLevel="2">
      <c r="A232" s="23">
        <v>1</v>
      </c>
      <c r="B232" s="49" t="s">
        <v>1887</v>
      </c>
      <c r="C232" s="39" t="s">
        <v>301</v>
      </c>
      <c r="D232" s="41" t="s">
        <v>2074</v>
      </c>
      <c r="E232" s="22" t="s">
        <v>463</v>
      </c>
      <c r="F232" s="22" t="s">
        <v>464</v>
      </c>
      <c r="G232" s="22">
        <v>40</v>
      </c>
      <c r="H232" s="22">
        <v>4</v>
      </c>
      <c r="I232" s="22" t="s">
        <v>11</v>
      </c>
      <c r="J232" s="23"/>
    </row>
    <row r="233" spans="1:10" hidden="1" outlineLevel="2">
      <c r="A233" s="23">
        <v>1</v>
      </c>
      <c r="B233" s="49" t="s">
        <v>1887</v>
      </c>
      <c r="C233" s="39" t="s">
        <v>301</v>
      </c>
      <c r="D233" s="41" t="s">
        <v>2074</v>
      </c>
      <c r="E233" s="22" t="s">
        <v>306</v>
      </c>
      <c r="F233" s="22" t="s">
        <v>307</v>
      </c>
      <c r="G233" s="22">
        <v>50</v>
      </c>
      <c r="H233" s="22">
        <v>4</v>
      </c>
      <c r="I233" s="22" t="s">
        <v>11</v>
      </c>
      <c r="J233" s="23"/>
    </row>
    <row r="234" spans="1:10" hidden="1" outlineLevel="2">
      <c r="A234" s="23">
        <v>1</v>
      </c>
      <c r="B234" s="49" t="s">
        <v>1887</v>
      </c>
      <c r="C234" s="39" t="s">
        <v>301</v>
      </c>
      <c r="D234" s="41" t="s">
        <v>2074</v>
      </c>
      <c r="E234" s="22" t="s">
        <v>308</v>
      </c>
      <c r="F234" s="22" t="s">
        <v>309</v>
      </c>
      <c r="G234" s="22">
        <v>40</v>
      </c>
      <c r="H234" s="22">
        <v>4</v>
      </c>
      <c r="I234" s="22" t="s">
        <v>11</v>
      </c>
      <c r="J234" s="23"/>
    </row>
    <row r="235" spans="1:10" hidden="1" outlineLevel="2">
      <c r="A235" s="23">
        <v>1</v>
      </c>
      <c r="B235" s="49" t="s">
        <v>1887</v>
      </c>
      <c r="C235" s="39" t="s">
        <v>301</v>
      </c>
      <c r="D235" s="41" t="s">
        <v>2074</v>
      </c>
      <c r="E235" s="22" t="s">
        <v>310</v>
      </c>
      <c r="F235" s="22" t="s">
        <v>311</v>
      </c>
      <c r="G235" s="22">
        <v>43</v>
      </c>
      <c r="H235" s="22">
        <v>4</v>
      </c>
      <c r="I235" s="22" t="s">
        <v>11</v>
      </c>
      <c r="J235" s="23"/>
    </row>
    <row r="236" spans="1:10" hidden="1" outlineLevel="2">
      <c r="A236" s="23">
        <v>1</v>
      </c>
      <c r="B236" s="49" t="s">
        <v>1887</v>
      </c>
      <c r="C236" s="39" t="s">
        <v>301</v>
      </c>
      <c r="D236" s="41" t="s">
        <v>2074</v>
      </c>
      <c r="E236" s="22" t="s">
        <v>314</v>
      </c>
      <c r="F236" s="22" t="s">
        <v>315</v>
      </c>
      <c r="G236" s="22">
        <v>40</v>
      </c>
      <c r="H236" s="22">
        <v>4</v>
      </c>
      <c r="I236" s="22" t="s">
        <v>11</v>
      </c>
      <c r="J236" s="23"/>
    </row>
    <row r="237" spans="1:10" hidden="1" outlineLevel="2">
      <c r="A237" s="23">
        <v>1</v>
      </c>
      <c r="B237" s="49" t="s">
        <v>1887</v>
      </c>
      <c r="C237" s="39" t="s">
        <v>301</v>
      </c>
      <c r="D237" s="41" t="s">
        <v>2074</v>
      </c>
      <c r="E237" s="22" t="s">
        <v>316</v>
      </c>
      <c r="F237" s="22" t="s">
        <v>317</v>
      </c>
      <c r="G237" s="22">
        <v>50</v>
      </c>
      <c r="H237" s="22">
        <v>4</v>
      </c>
      <c r="I237" s="22" t="s">
        <v>11</v>
      </c>
      <c r="J237" s="23"/>
    </row>
    <row r="238" spans="1:10" hidden="1" outlineLevel="2">
      <c r="A238" s="23">
        <v>1</v>
      </c>
      <c r="B238" s="49" t="s">
        <v>1887</v>
      </c>
      <c r="C238" s="39" t="s">
        <v>301</v>
      </c>
      <c r="D238" s="41" t="s">
        <v>2074</v>
      </c>
      <c r="E238" s="22" t="s">
        <v>467</v>
      </c>
      <c r="F238" s="22" t="s">
        <v>468</v>
      </c>
      <c r="G238" s="22">
        <v>44</v>
      </c>
      <c r="H238" s="22">
        <v>4</v>
      </c>
      <c r="I238" s="22" t="s">
        <v>11</v>
      </c>
      <c r="J238" s="23"/>
    </row>
    <row r="239" spans="1:10" hidden="1" outlineLevel="2">
      <c r="A239" s="23">
        <v>1</v>
      </c>
      <c r="B239" s="49" t="s">
        <v>1887</v>
      </c>
      <c r="C239" s="39" t="s">
        <v>301</v>
      </c>
      <c r="D239" s="41" t="s">
        <v>2074</v>
      </c>
      <c r="E239" s="22" t="s">
        <v>469</v>
      </c>
      <c r="F239" s="22" t="s">
        <v>470</v>
      </c>
      <c r="G239" s="22">
        <v>43</v>
      </c>
      <c r="H239" s="22">
        <v>4</v>
      </c>
      <c r="I239" s="22" t="s">
        <v>11</v>
      </c>
      <c r="J239" s="23"/>
    </row>
    <row r="240" spans="1:10" hidden="1" outlineLevel="2">
      <c r="A240" s="23">
        <v>1</v>
      </c>
      <c r="B240" s="49" t="s">
        <v>1887</v>
      </c>
      <c r="C240" s="39" t="s">
        <v>301</v>
      </c>
      <c r="D240" s="41" t="s">
        <v>2074</v>
      </c>
      <c r="E240" s="22" t="s">
        <v>320</v>
      </c>
      <c r="F240" s="22" t="s">
        <v>321</v>
      </c>
      <c r="G240" s="22">
        <v>40</v>
      </c>
      <c r="H240" s="22">
        <v>4</v>
      </c>
      <c r="I240" s="22" t="s">
        <v>11</v>
      </c>
      <c r="J240" s="23"/>
    </row>
    <row r="241" spans="1:10" hidden="1" outlineLevel="2">
      <c r="A241" s="23">
        <v>1</v>
      </c>
      <c r="B241" s="49" t="s">
        <v>1887</v>
      </c>
      <c r="C241" s="39" t="s">
        <v>301</v>
      </c>
      <c r="D241" s="41" t="s">
        <v>2074</v>
      </c>
      <c r="E241" s="22" t="s">
        <v>677</v>
      </c>
      <c r="F241" s="22" t="s">
        <v>678</v>
      </c>
      <c r="G241" s="22">
        <v>45</v>
      </c>
      <c r="H241" s="22">
        <v>4</v>
      </c>
      <c r="I241" s="22" t="s">
        <v>11</v>
      </c>
      <c r="J241" s="23"/>
    </row>
    <row r="242" spans="1:10" outlineLevel="1" collapsed="1">
      <c r="A242" s="23"/>
      <c r="B242" s="49"/>
      <c r="C242" s="39"/>
      <c r="D242" s="51" t="s">
        <v>2249</v>
      </c>
      <c r="E242" s="22">
        <f>SUBTOTAL(3,E232:E241)</f>
        <v>10</v>
      </c>
      <c r="F242" s="22"/>
      <c r="G242" s="22"/>
      <c r="H242" s="22"/>
      <c r="I242" s="22">
        <f>SUBTOTAL(3,I232:I241)</f>
        <v>10</v>
      </c>
      <c r="J242" s="23"/>
    </row>
    <row r="243" spans="1:10" hidden="1" outlineLevel="2">
      <c r="A243" s="23">
        <v>1</v>
      </c>
      <c r="B243" s="49" t="s">
        <v>1887</v>
      </c>
      <c r="C243" s="39" t="s">
        <v>7</v>
      </c>
      <c r="D243" s="41" t="s">
        <v>2075</v>
      </c>
      <c r="E243" s="22" t="s">
        <v>8</v>
      </c>
      <c r="F243" s="22" t="s">
        <v>9</v>
      </c>
      <c r="G243" s="22">
        <v>42</v>
      </c>
      <c r="H243" s="22">
        <v>4</v>
      </c>
      <c r="I243" s="22" t="s">
        <v>11</v>
      </c>
      <c r="J243" s="23"/>
    </row>
    <row r="244" spans="1:10" hidden="1" outlineLevel="2">
      <c r="A244" s="23">
        <v>1</v>
      </c>
      <c r="B244" s="49" t="s">
        <v>1887</v>
      </c>
      <c r="C244" s="39" t="s">
        <v>7</v>
      </c>
      <c r="D244" s="41" t="s">
        <v>2075</v>
      </c>
      <c r="E244" s="22" t="s">
        <v>13</v>
      </c>
      <c r="F244" s="22" t="s">
        <v>14</v>
      </c>
      <c r="G244" s="22">
        <v>57</v>
      </c>
      <c r="H244" s="22">
        <v>4</v>
      </c>
      <c r="I244" s="22" t="s">
        <v>11</v>
      </c>
      <c r="J244" s="23"/>
    </row>
    <row r="245" spans="1:10" hidden="1" outlineLevel="2">
      <c r="A245" s="23">
        <v>1</v>
      </c>
      <c r="B245" s="49" t="s">
        <v>1887</v>
      </c>
      <c r="C245" s="39" t="s">
        <v>7</v>
      </c>
      <c r="D245" s="41" t="s">
        <v>2075</v>
      </c>
      <c r="E245" s="22" t="s">
        <v>15</v>
      </c>
      <c r="F245" s="22" t="s">
        <v>16</v>
      </c>
      <c r="G245" s="22">
        <v>43</v>
      </c>
      <c r="H245" s="22">
        <v>4</v>
      </c>
      <c r="I245" s="22" t="s">
        <v>11</v>
      </c>
      <c r="J245" s="23"/>
    </row>
    <row r="246" spans="1:10" hidden="1" outlineLevel="2">
      <c r="A246" s="23">
        <v>1</v>
      </c>
      <c r="B246" s="49" t="s">
        <v>1887</v>
      </c>
      <c r="C246" s="39" t="s">
        <v>7</v>
      </c>
      <c r="D246" s="41" t="s">
        <v>2075</v>
      </c>
      <c r="E246" s="22" t="s">
        <v>17</v>
      </c>
      <c r="F246" s="22" t="s">
        <v>18</v>
      </c>
      <c r="G246" s="22">
        <v>56</v>
      </c>
      <c r="H246" s="22">
        <v>4</v>
      </c>
      <c r="I246" s="22" t="s">
        <v>11</v>
      </c>
      <c r="J246" s="23"/>
    </row>
    <row r="247" spans="1:10" hidden="1" outlineLevel="2">
      <c r="A247" s="23">
        <v>1</v>
      </c>
      <c r="B247" s="49" t="s">
        <v>1887</v>
      </c>
      <c r="C247" s="39" t="s">
        <v>7</v>
      </c>
      <c r="D247" s="41" t="s">
        <v>2075</v>
      </c>
      <c r="E247" s="22" t="s">
        <v>667</v>
      </c>
      <c r="F247" s="22" t="s">
        <v>668</v>
      </c>
      <c r="G247" s="22">
        <v>44</v>
      </c>
      <c r="H247" s="22">
        <v>4</v>
      </c>
      <c r="I247" s="22" t="s">
        <v>11</v>
      </c>
      <c r="J247" s="23"/>
    </row>
    <row r="248" spans="1:10" hidden="1" outlineLevel="2">
      <c r="A248" s="23">
        <v>1</v>
      </c>
      <c r="B248" s="49" t="s">
        <v>1887</v>
      </c>
      <c r="C248" s="39" t="s">
        <v>7</v>
      </c>
      <c r="D248" s="41" t="s">
        <v>2075</v>
      </c>
      <c r="E248" s="22" t="s">
        <v>548</v>
      </c>
      <c r="F248" s="22" t="s">
        <v>549</v>
      </c>
      <c r="G248" s="22">
        <v>56</v>
      </c>
      <c r="H248" s="22">
        <v>4</v>
      </c>
      <c r="I248" s="22" t="s">
        <v>11</v>
      </c>
      <c r="J248" s="23"/>
    </row>
    <row r="249" spans="1:10" outlineLevel="1" collapsed="1">
      <c r="A249" s="23"/>
      <c r="B249" s="49"/>
      <c r="C249" s="39"/>
      <c r="D249" s="51" t="s">
        <v>2250</v>
      </c>
      <c r="E249" s="22">
        <f>SUBTOTAL(3,E243:E248)</f>
        <v>6</v>
      </c>
      <c r="F249" s="22"/>
      <c r="G249" s="22"/>
      <c r="H249" s="22"/>
      <c r="I249" s="22">
        <f>SUBTOTAL(3,I243:I248)</f>
        <v>6</v>
      </c>
      <c r="J249" s="23"/>
    </row>
    <row r="250" spans="1:10" hidden="1" outlineLevel="2">
      <c r="A250" s="23">
        <v>1</v>
      </c>
      <c r="B250" s="49" t="s">
        <v>1887</v>
      </c>
      <c r="C250" s="39" t="s">
        <v>25</v>
      </c>
      <c r="D250" s="41" t="s">
        <v>2076</v>
      </c>
      <c r="E250" s="22" t="s">
        <v>669</v>
      </c>
      <c r="F250" s="22" t="s">
        <v>670</v>
      </c>
      <c r="G250" s="22">
        <v>45</v>
      </c>
      <c r="H250" s="22">
        <v>4</v>
      </c>
      <c r="I250" s="22" t="s">
        <v>11</v>
      </c>
      <c r="J250" s="23"/>
    </row>
    <row r="251" spans="1:10" hidden="1" outlineLevel="2">
      <c r="A251" s="23">
        <v>1</v>
      </c>
      <c r="B251" s="49" t="s">
        <v>1887</v>
      </c>
      <c r="C251" s="39" t="s">
        <v>25</v>
      </c>
      <c r="D251" s="41" t="s">
        <v>2076</v>
      </c>
      <c r="E251" s="22" t="s">
        <v>347</v>
      </c>
      <c r="F251" s="22" t="s">
        <v>348</v>
      </c>
      <c r="G251" s="22">
        <v>44</v>
      </c>
      <c r="H251" s="22">
        <v>4</v>
      </c>
      <c r="I251" s="22" t="s">
        <v>11</v>
      </c>
      <c r="J251" s="23"/>
    </row>
    <row r="252" spans="1:10" hidden="1" outlineLevel="2">
      <c r="A252" s="23">
        <v>1</v>
      </c>
      <c r="B252" s="49" t="s">
        <v>1887</v>
      </c>
      <c r="C252" s="39" t="s">
        <v>25</v>
      </c>
      <c r="D252" s="41" t="s">
        <v>2076</v>
      </c>
      <c r="E252" s="22" t="s">
        <v>671</v>
      </c>
      <c r="F252" s="22" t="s">
        <v>672</v>
      </c>
      <c r="G252" s="22">
        <v>42</v>
      </c>
      <c r="H252" s="22">
        <v>4</v>
      </c>
      <c r="I252" s="22" t="s">
        <v>11</v>
      </c>
      <c r="J252" s="23"/>
    </row>
    <row r="253" spans="1:10" hidden="1" outlineLevel="2">
      <c r="A253" s="23">
        <v>1</v>
      </c>
      <c r="B253" s="49" t="s">
        <v>1887</v>
      </c>
      <c r="C253" s="39" t="s">
        <v>25</v>
      </c>
      <c r="D253" s="41" t="s">
        <v>2076</v>
      </c>
      <c r="E253" s="22" t="s">
        <v>673</v>
      </c>
      <c r="F253" s="22" t="s">
        <v>674</v>
      </c>
      <c r="G253" s="22">
        <v>37</v>
      </c>
      <c r="H253" s="22">
        <v>4</v>
      </c>
      <c r="I253" s="22" t="s">
        <v>11</v>
      </c>
      <c r="J253" s="23"/>
    </row>
    <row r="254" spans="1:10" hidden="1" outlineLevel="2">
      <c r="A254" s="23">
        <v>1</v>
      </c>
      <c r="B254" s="49" t="s">
        <v>1887</v>
      </c>
      <c r="C254" s="39" t="s">
        <v>25</v>
      </c>
      <c r="D254" s="41" t="s">
        <v>2076</v>
      </c>
      <c r="E254" s="22" t="s">
        <v>38</v>
      </c>
      <c r="F254" s="22" t="s">
        <v>39</v>
      </c>
      <c r="G254" s="22">
        <v>42</v>
      </c>
      <c r="H254" s="22">
        <v>4</v>
      </c>
      <c r="I254" s="22" t="s">
        <v>11</v>
      </c>
      <c r="J254" s="23"/>
    </row>
    <row r="255" spans="1:10" hidden="1" outlineLevel="2">
      <c r="A255" s="23">
        <v>1</v>
      </c>
      <c r="B255" s="49" t="s">
        <v>1887</v>
      </c>
      <c r="C255" s="39" t="s">
        <v>25</v>
      </c>
      <c r="D255" s="41" t="s">
        <v>2076</v>
      </c>
      <c r="E255" s="22" t="s">
        <v>42</v>
      </c>
      <c r="F255" s="22" t="s">
        <v>43</v>
      </c>
      <c r="G255" s="22">
        <v>49</v>
      </c>
      <c r="H255" s="22">
        <v>4</v>
      </c>
      <c r="I255" s="22" t="s">
        <v>11</v>
      </c>
      <c r="J255" s="23"/>
    </row>
    <row r="256" spans="1:10" hidden="1" outlineLevel="2">
      <c r="A256" s="23">
        <v>1</v>
      </c>
      <c r="B256" s="49" t="s">
        <v>1887</v>
      </c>
      <c r="C256" s="39" t="s">
        <v>25</v>
      </c>
      <c r="D256" s="41" t="s">
        <v>2076</v>
      </c>
      <c r="E256" s="22" t="s">
        <v>349</v>
      </c>
      <c r="F256" s="22" t="s">
        <v>350</v>
      </c>
      <c r="G256" s="22">
        <v>48</v>
      </c>
      <c r="H256" s="22">
        <v>4</v>
      </c>
      <c r="I256" s="22" t="s">
        <v>11</v>
      </c>
      <c r="J256" s="23"/>
    </row>
    <row r="257" spans="1:10" outlineLevel="1" collapsed="1">
      <c r="A257" s="23"/>
      <c r="B257" s="49"/>
      <c r="C257" s="39"/>
      <c r="D257" s="51" t="s">
        <v>2251</v>
      </c>
      <c r="E257" s="22">
        <f>SUBTOTAL(3,E250:E256)</f>
        <v>7</v>
      </c>
      <c r="F257" s="22"/>
      <c r="G257" s="22"/>
      <c r="H257" s="22"/>
      <c r="I257" s="22">
        <f>SUBTOTAL(3,I250:I256)</f>
        <v>7</v>
      </c>
      <c r="J257" s="23">
        <f>E257+E249+E242+E231+E228+E226+E221</f>
        <v>39</v>
      </c>
    </row>
    <row r="258" spans="1:10" hidden="1" outlineLevel="2">
      <c r="A258" s="60">
        <v>2</v>
      </c>
      <c r="B258" s="61" t="s">
        <v>2010</v>
      </c>
      <c r="C258" s="62" t="s">
        <v>141</v>
      </c>
      <c r="D258" s="63" t="s">
        <v>2011</v>
      </c>
      <c r="E258" s="61" t="s">
        <v>568</v>
      </c>
      <c r="F258" s="61" t="s">
        <v>569</v>
      </c>
      <c r="G258" s="61">
        <v>54</v>
      </c>
      <c r="H258" s="61">
        <v>2</v>
      </c>
      <c r="I258" s="61" t="s">
        <v>11</v>
      </c>
      <c r="J258" s="60"/>
    </row>
    <row r="259" spans="1:10" hidden="1" outlineLevel="2">
      <c r="A259" s="60">
        <v>2</v>
      </c>
      <c r="B259" s="61" t="s">
        <v>2010</v>
      </c>
      <c r="C259" s="62" t="s">
        <v>141</v>
      </c>
      <c r="D259" s="63" t="s">
        <v>2011</v>
      </c>
      <c r="E259" s="61" t="s">
        <v>570</v>
      </c>
      <c r="F259" s="61" t="s">
        <v>571</v>
      </c>
      <c r="G259" s="61">
        <v>47</v>
      </c>
      <c r="H259" s="61">
        <v>2</v>
      </c>
      <c r="I259" s="61" t="s">
        <v>11</v>
      </c>
      <c r="J259" s="60"/>
    </row>
    <row r="260" spans="1:10" hidden="1" outlineLevel="2">
      <c r="A260" s="60">
        <v>2</v>
      </c>
      <c r="B260" s="61" t="s">
        <v>2010</v>
      </c>
      <c r="C260" s="62" t="s">
        <v>141</v>
      </c>
      <c r="D260" s="63" t="s">
        <v>2011</v>
      </c>
      <c r="E260" s="61" t="s">
        <v>572</v>
      </c>
      <c r="F260" s="61" t="s">
        <v>573</v>
      </c>
      <c r="G260" s="61">
        <v>46</v>
      </c>
      <c r="H260" s="61">
        <v>2</v>
      </c>
      <c r="I260" s="61" t="s">
        <v>11</v>
      </c>
      <c r="J260" s="60"/>
    </row>
    <row r="261" spans="1:10" hidden="1" outlineLevel="2">
      <c r="A261" s="60">
        <v>2</v>
      </c>
      <c r="B261" s="61" t="s">
        <v>2010</v>
      </c>
      <c r="C261" s="62" t="s">
        <v>141</v>
      </c>
      <c r="D261" s="63" t="s">
        <v>2011</v>
      </c>
      <c r="E261" s="61" t="s">
        <v>574</v>
      </c>
      <c r="F261" s="61" t="s">
        <v>575</v>
      </c>
      <c r="G261" s="61">
        <v>51</v>
      </c>
      <c r="H261" s="61">
        <v>2</v>
      </c>
      <c r="I261" s="61" t="s">
        <v>11</v>
      </c>
      <c r="J261" s="60"/>
    </row>
    <row r="262" spans="1:10" hidden="1" outlineLevel="2">
      <c r="A262" s="60">
        <v>2</v>
      </c>
      <c r="B262" s="61" t="s">
        <v>2010</v>
      </c>
      <c r="C262" s="62" t="s">
        <v>141</v>
      </c>
      <c r="D262" s="63" t="s">
        <v>2011</v>
      </c>
      <c r="E262" s="61" t="s">
        <v>144</v>
      </c>
      <c r="F262" s="61" t="s">
        <v>145</v>
      </c>
      <c r="G262" s="61">
        <v>52</v>
      </c>
      <c r="H262" s="61">
        <v>2</v>
      </c>
      <c r="I262" s="61" t="s">
        <v>11</v>
      </c>
      <c r="J262" s="60"/>
    </row>
    <row r="263" spans="1:10" hidden="1" outlineLevel="2">
      <c r="A263" s="60">
        <v>2</v>
      </c>
      <c r="B263" s="61" t="s">
        <v>2010</v>
      </c>
      <c r="C263" s="62" t="s">
        <v>141</v>
      </c>
      <c r="D263" s="63" t="s">
        <v>2011</v>
      </c>
      <c r="E263" s="61" t="s">
        <v>148</v>
      </c>
      <c r="F263" s="61" t="s">
        <v>149</v>
      </c>
      <c r="G263" s="61">
        <v>49</v>
      </c>
      <c r="H263" s="61">
        <v>2</v>
      </c>
      <c r="I263" s="61" t="s">
        <v>11</v>
      </c>
      <c r="J263" s="60"/>
    </row>
    <row r="264" spans="1:10" hidden="1" outlineLevel="2">
      <c r="A264" s="60">
        <v>2</v>
      </c>
      <c r="B264" s="61" t="s">
        <v>2010</v>
      </c>
      <c r="C264" s="62" t="s">
        <v>141</v>
      </c>
      <c r="D264" s="63" t="s">
        <v>2011</v>
      </c>
      <c r="E264" s="61" t="s">
        <v>576</v>
      </c>
      <c r="F264" s="61" t="s">
        <v>577</v>
      </c>
      <c r="G264" s="61">
        <v>47</v>
      </c>
      <c r="H264" s="61">
        <v>2</v>
      </c>
      <c r="I264" s="61" t="s">
        <v>11</v>
      </c>
      <c r="J264" s="60"/>
    </row>
    <row r="265" spans="1:10" hidden="1" outlineLevel="2">
      <c r="A265" s="60">
        <v>2</v>
      </c>
      <c r="B265" s="61" t="s">
        <v>2010</v>
      </c>
      <c r="C265" s="62" t="s">
        <v>141</v>
      </c>
      <c r="D265" s="63" t="s">
        <v>2011</v>
      </c>
      <c r="E265" s="61" t="s">
        <v>578</v>
      </c>
      <c r="F265" s="61" t="s">
        <v>579</v>
      </c>
      <c r="G265" s="61">
        <v>51</v>
      </c>
      <c r="H265" s="61">
        <v>2</v>
      </c>
      <c r="I265" s="61" t="s">
        <v>11</v>
      </c>
      <c r="J265" s="60"/>
    </row>
    <row r="266" spans="1:10" hidden="1" outlineLevel="2">
      <c r="A266" s="60">
        <v>2</v>
      </c>
      <c r="B266" s="61" t="s">
        <v>2010</v>
      </c>
      <c r="C266" s="62" t="s">
        <v>141</v>
      </c>
      <c r="D266" s="63" t="s">
        <v>2011</v>
      </c>
      <c r="E266" s="61" t="s">
        <v>580</v>
      </c>
      <c r="F266" s="61" t="s">
        <v>581</v>
      </c>
      <c r="G266" s="61">
        <v>50</v>
      </c>
      <c r="H266" s="61">
        <v>2</v>
      </c>
      <c r="I266" s="61" t="s">
        <v>11</v>
      </c>
      <c r="J266" s="60"/>
    </row>
    <row r="267" spans="1:10" hidden="1" outlineLevel="2">
      <c r="A267" s="60">
        <v>2</v>
      </c>
      <c r="B267" s="61" t="s">
        <v>2010</v>
      </c>
      <c r="C267" s="62" t="s">
        <v>141</v>
      </c>
      <c r="D267" s="63" t="s">
        <v>2011</v>
      </c>
      <c r="E267" s="61" t="s">
        <v>154</v>
      </c>
      <c r="F267" s="61" t="s">
        <v>155</v>
      </c>
      <c r="G267" s="61">
        <v>47</v>
      </c>
      <c r="H267" s="61">
        <v>2</v>
      </c>
      <c r="I267" s="61" t="s">
        <v>11</v>
      </c>
      <c r="J267" s="60"/>
    </row>
    <row r="268" spans="1:10" outlineLevel="1" collapsed="1">
      <c r="A268" s="60"/>
      <c r="B268" s="61"/>
      <c r="C268" s="62"/>
      <c r="D268" s="64" t="s">
        <v>2116</v>
      </c>
      <c r="E268" s="61">
        <f>SUBTOTAL(3,E258:E267)</f>
        <v>10</v>
      </c>
      <c r="F268" s="61"/>
      <c r="G268" s="61"/>
      <c r="H268" s="61"/>
      <c r="I268" s="61">
        <f>SUBTOTAL(3,I258:I267)</f>
        <v>10</v>
      </c>
      <c r="J268" s="60"/>
    </row>
    <row r="269" spans="1:10" hidden="1" outlineLevel="2">
      <c r="A269" s="60">
        <v>2</v>
      </c>
      <c r="B269" s="61" t="s">
        <v>2010</v>
      </c>
      <c r="C269" s="62" t="s">
        <v>239</v>
      </c>
      <c r="D269" s="63" t="s">
        <v>2012</v>
      </c>
      <c r="E269" s="61" t="s">
        <v>558</v>
      </c>
      <c r="F269" s="61" t="s">
        <v>559</v>
      </c>
      <c r="G269" s="61">
        <v>45</v>
      </c>
      <c r="H269" s="61">
        <v>2</v>
      </c>
      <c r="I269" s="61" t="s">
        <v>11</v>
      </c>
      <c r="J269" s="60"/>
    </row>
    <row r="270" spans="1:10" hidden="1" outlineLevel="2">
      <c r="A270" s="60">
        <v>2</v>
      </c>
      <c r="B270" s="61" t="s">
        <v>2010</v>
      </c>
      <c r="C270" s="62" t="s">
        <v>239</v>
      </c>
      <c r="D270" s="63" t="s">
        <v>2012</v>
      </c>
      <c r="E270" s="61" t="s">
        <v>560</v>
      </c>
      <c r="F270" s="61" t="s">
        <v>561</v>
      </c>
      <c r="G270" s="61">
        <v>52</v>
      </c>
      <c r="H270" s="61">
        <v>2</v>
      </c>
      <c r="I270" s="61" t="s">
        <v>11</v>
      </c>
      <c r="J270" s="60"/>
    </row>
    <row r="271" spans="1:10" hidden="1" outlineLevel="2">
      <c r="A271" s="60">
        <v>2</v>
      </c>
      <c r="B271" s="61" t="s">
        <v>2010</v>
      </c>
      <c r="C271" s="62" t="s">
        <v>239</v>
      </c>
      <c r="D271" s="63" t="s">
        <v>2012</v>
      </c>
      <c r="E271" s="61" t="s">
        <v>562</v>
      </c>
      <c r="F271" s="61" t="s">
        <v>563</v>
      </c>
      <c r="G271" s="61">
        <v>45</v>
      </c>
      <c r="H271" s="61">
        <v>2</v>
      </c>
      <c r="I271" s="61" t="s">
        <v>11</v>
      </c>
      <c r="J271" s="60"/>
    </row>
    <row r="272" spans="1:10" hidden="1" outlineLevel="2">
      <c r="A272" s="60">
        <v>2</v>
      </c>
      <c r="B272" s="61" t="s">
        <v>2010</v>
      </c>
      <c r="C272" s="62" t="s">
        <v>239</v>
      </c>
      <c r="D272" s="63" t="s">
        <v>2012</v>
      </c>
      <c r="E272" s="61" t="s">
        <v>564</v>
      </c>
      <c r="F272" s="61" t="s">
        <v>565</v>
      </c>
      <c r="G272" s="61">
        <v>55</v>
      </c>
      <c r="H272" s="61">
        <v>2</v>
      </c>
      <c r="I272" s="61" t="s">
        <v>11</v>
      </c>
      <c r="J272" s="60"/>
    </row>
    <row r="273" spans="1:10" hidden="1" outlineLevel="2">
      <c r="A273" s="60">
        <v>2</v>
      </c>
      <c r="B273" s="61" t="s">
        <v>2010</v>
      </c>
      <c r="C273" s="62" t="s">
        <v>239</v>
      </c>
      <c r="D273" s="63" t="s">
        <v>2012</v>
      </c>
      <c r="E273" s="61" t="s">
        <v>240</v>
      </c>
      <c r="F273" s="61" t="s">
        <v>241</v>
      </c>
      <c r="G273" s="61">
        <v>56</v>
      </c>
      <c r="H273" s="61">
        <v>2</v>
      </c>
      <c r="I273" s="61" t="s">
        <v>11</v>
      </c>
      <c r="J273" s="60"/>
    </row>
    <row r="274" spans="1:10" hidden="1" outlineLevel="2">
      <c r="A274" s="60">
        <v>2</v>
      </c>
      <c r="B274" s="61" t="s">
        <v>2010</v>
      </c>
      <c r="C274" s="62" t="s">
        <v>239</v>
      </c>
      <c r="D274" s="63" t="s">
        <v>2012</v>
      </c>
      <c r="E274" s="61" t="s">
        <v>242</v>
      </c>
      <c r="F274" s="61" t="s">
        <v>243</v>
      </c>
      <c r="G274" s="61">
        <v>57</v>
      </c>
      <c r="H274" s="61">
        <v>2</v>
      </c>
      <c r="I274" s="61" t="s">
        <v>11</v>
      </c>
      <c r="J274" s="60"/>
    </row>
    <row r="275" spans="1:10" hidden="1" outlineLevel="2">
      <c r="A275" s="60">
        <v>2</v>
      </c>
      <c r="B275" s="61" t="s">
        <v>2010</v>
      </c>
      <c r="C275" s="62" t="s">
        <v>239</v>
      </c>
      <c r="D275" s="63" t="s">
        <v>2012</v>
      </c>
      <c r="E275" s="61" t="s">
        <v>566</v>
      </c>
      <c r="F275" s="61" t="s">
        <v>567</v>
      </c>
      <c r="G275" s="61">
        <v>48</v>
      </c>
      <c r="H275" s="61">
        <v>2</v>
      </c>
      <c r="I275" s="61" t="s">
        <v>11</v>
      </c>
      <c r="J275" s="60"/>
    </row>
    <row r="276" spans="1:10" outlineLevel="1" collapsed="1">
      <c r="A276" s="60"/>
      <c r="B276" s="61"/>
      <c r="C276" s="62"/>
      <c r="D276" s="64" t="s">
        <v>2117</v>
      </c>
      <c r="E276" s="61">
        <f>SUBTOTAL(3,E269:E275)</f>
        <v>7</v>
      </c>
      <c r="F276" s="61"/>
      <c r="G276" s="61"/>
      <c r="H276" s="61"/>
      <c r="I276" s="61">
        <f>SUBTOTAL(3,I269:I275)</f>
        <v>7</v>
      </c>
      <c r="J276" s="60">
        <f>E276+E268</f>
        <v>17</v>
      </c>
    </row>
    <row r="277" spans="1:10" hidden="1" outlineLevel="2">
      <c r="A277" s="60">
        <v>2</v>
      </c>
      <c r="B277" s="61" t="s">
        <v>1993</v>
      </c>
      <c r="C277" s="62" t="s">
        <v>174</v>
      </c>
      <c r="D277" s="63" t="s">
        <v>1994</v>
      </c>
      <c r="E277" s="61" t="s">
        <v>491</v>
      </c>
      <c r="F277" s="61" t="s">
        <v>492</v>
      </c>
      <c r="G277" s="61">
        <v>43</v>
      </c>
      <c r="H277" s="61">
        <v>2</v>
      </c>
      <c r="I277" s="61" t="s">
        <v>11</v>
      </c>
      <c r="J277" s="60"/>
    </row>
    <row r="278" spans="1:10" hidden="1" outlineLevel="2">
      <c r="A278" s="60">
        <v>2</v>
      </c>
      <c r="B278" s="61" t="s">
        <v>1993</v>
      </c>
      <c r="C278" s="62" t="s">
        <v>174</v>
      </c>
      <c r="D278" s="63" t="s">
        <v>1994</v>
      </c>
      <c r="E278" s="61" t="s">
        <v>175</v>
      </c>
      <c r="F278" s="61" t="s">
        <v>176</v>
      </c>
      <c r="G278" s="61">
        <v>41</v>
      </c>
      <c r="H278" s="61">
        <v>2</v>
      </c>
      <c r="I278" s="61" t="s">
        <v>11</v>
      </c>
      <c r="J278" s="60"/>
    </row>
    <row r="279" spans="1:10" hidden="1" outlineLevel="2">
      <c r="A279" s="60">
        <v>2</v>
      </c>
      <c r="B279" s="61" t="s">
        <v>1993</v>
      </c>
      <c r="C279" s="62" t="s">
        <v>174</v>
      </c>
      <c r="D279" s="63" t="s">
        <v>1994</v>
      </c>
      <c r="E279" s="61" t="s">
        <v>493</v>
      </c>
      <c r="F279" s="61" t="s">
        <v>494</v>
      </c>
      <c r="G279" s="61">
        <v>49</v>
      </c>
      <c r="H279" s="61">
        <v>2</v>
      </c>
      <c r="I279" s="61" t="s">
        <v>11</v>
      </c>
      <c r="J279" s="60"/>
    </row>
    <row r="280" spans="1:10" hidden="1" outlineLevel="2">
      <c r="A280" s="60">
        <v>2</v>
      </c>
      <c r="B280" s="61" t="s">
        <v>1993</v>
      </c>
      <c r="C280" s="62" t="s">
        <v>174</v>
      </c>
      <c r="D280" s="63" t="s">
        <v>1994</v>
      </c>
      <c r="E280" s="61" t="s">
        <v>495</v>
      </c>
      <c r="F280" s="61" t="s">
        <v>496</v>
      </c>
      <c r="G280" s="61">
        <v>50</v>
      </c>
      <c r="H280" s="61">
        <v>2</v>
      </c>
      <c r="I280" s="61" t="s">
        <v>11</v>
      </c>
      <c r="J280" s="60"/>
    </row>
    <row r="281" spans="1:10" hidden="1" outlineLevel="2">
      <c r="A281" s="60">
        <v>2</v>
      </c>
      <c r="B281" s="61" t="s">
        <v>1993</v>
      </c>
      <c r="C281" s="62" t="s">
        <v>174</v>
      </c>
      <c r="D281" s="63" t="s">
        <v>1994</v>
      </c>
      <c r="E281" s="61" t="s">
        <v>497</v>
      </c>
      <c r="F281" s="61" t="s">
        <v>498</v>
      </c>
      <c r="G281" s="61">
        <v>48</v>
      </c>
      <c r="H281" s="61">
        <v>2</v>
      </c>
      <c r="I281" s="61" t="s">
        <v>11</v>
      </c>
      <c r="J281" s="60"/>
    </row>
    <row r="282" spans="1:10" hidden="1" outlineLevel="2">
      <c r="A282" s="60">
        <v>2</v>
      </c>
      <c r="B282" s="61" t="s">
        <v>1993</v>
      </c>
      <c r="C282" s="62" t="s">
        <v>174</v>
      </c>
      <c r="D282" s="63" t="s">
        <v>1994</v>
      </c>
      <c r="E282" s="61" t="s">
        <v>183</v>
      </c>
      <c r="F282" s="61" t="s">
        <v>184</v>
      </c>
      <c r="G282" s="61">
        <v>51</v>
      </c>
      <c r="H282" s="61">
        <v>2</v>
      </c>
      <c r="I282" s="61" t="s">
        <v>11</v>
      </c>
      <c r="J282" s="60"/>
    </row>
    <row r="283" spans="1:10" hidden="1" outlineLevel="2">
      <c r="A283" s="60">
        <v>2</v>
      </c>
      <c r="B283" s="61" t="s">
        <v>1993</v>
      </c>
      <c r="C283" s="62" t="s">
        <v>174</v>
      </c>
      <c r="D283" s="63" t="s">
        <v>1994</v>
      </c>
      <c r="E283" s="61" t="s">
        <v>187</v>
      </c>
      <c r="F283" s="61" t="s">
        <v>188</v>
      </c>
      <c r="G283" s="61">
        <v>50</v>
      </c>
      <c r="H283" s="61">
        <v>2</v>
      </c>
      <c r="I283" s="61" t="s">
        <v>11</v>
      </c>
      <c r="J283" s="60"/>
    </row>
    <row r="284" spans="1:10" hidden="1" outlineLevel="2">
      <c r="A284" s="60">
        <v>2</v>
      </c>
      <c r="B284" s="61" t="s">
        <v>1993</v>
      </c>
      <c r="C284" s="62" t="s">
        <v>174</v>
      </c>
      <c r="D284" s="63" t="s">
        <v>1994</v>
      </c>
      <c r="E284" s="61" t="s">
        <v>499</v>
      </c>
      <c r="F284" s="61" t="s">
        <v>500</v>
      </c>
      <c r="G284" s="61">
        <v>43</v>
      </c>
      <c r="H284" s="61">
        <v>2</v>
      </c>
      <c r="I284" s="61" t="s">
        <v>11</v>
      </c>
      <c r="J284" s="60"/>
    </row>
    <row r="285" spans="1:10" hidden="1" outlineLevel="2">
      <c r="A285" s="60">
        <v>2</v>
      </c>
      <c r="B285" s="61" t="s">
        <v>1993</v>
      </c>
      <c r="C285" s="62" t="s">
        <v>174</v>
      </c>
      <c r="D285" s="63" t="s">
        <v>1994</v>
      </c>
      <c r="E285" s="61" t="s">
        <v>189</v>
      </c>
      <c r="F285" s="61" t="s">
        <v>190</v>
      </c>
      <c r="G285" s="61">
        <v>54</v>
      </c>
      <c r="H285" s="61">
        <v>2</v>
      </c>
      <c r="I285" s="61" t="s">
        <v>11</v>
      </c>
      <c r="J285" s="60"/>
    </row>
    <row r="286" spans="1:10" hidden="1" outlineLevel="2">
      <c r="A286" s="60">
        <v>2</v>
      </c>
      <c r="B286" s="61" t="s">
        <v>1993</v>
      </c>
      <c r="C286" s="62" t="s">
        <v>174</v>
      </c>
      <c r="D286" s="63" t="s">
        <v>1994</v>
      </c>
      <c r="E286" s="61" t="s">
        <v>191</v>
      </c>
      <c r="F286" s="61" t="s">
        <v>151</v>
      </c>
      <c r="G286" s="61">
        <v>42</v>
      </c>
      <c r="H286" s="61">
        <v>2</v>
      </c>
      <c r="I286" s="61" t="s">
        <v>11</v>
      </c>
      <c r="J286" s="60"/>
    </row>
    <row r="287" spans="1:10" hidden="1" outlineLevel="2">
      <c r="A287" s="60">
        <v>2</v>
      </c>
      <c r="B287" s="61" t="s">
        <v>1993</v>
      </c>
      <c r="C287" s="62" t="s">
        <v>174</v>
      </c>
      <c r="D287" s="63" t="s">
        <v>1994</v>
      </c>
      <c r="E287" s="61" t="s">
        <v>192</v>
      </c>
      <c r="F287" s="61" t="s">
        <v>193</v>
      </c>
      <c r="G287" s="61">
        <v>40</v>
      </c>
      <c r="H287" s="61">
        <v>2</v>
      </c>
      <c r="I287" s="61" t="s">
        <v>11</v>
      </c>
      <c r="J287" s="60"/>
    </row>
    <row r="288" spans="1:10" hidden="1" outlineLevel="2">
      <c r="A288" s="60">
        <v>2</v>
      </c>
      <c r="B288" s="61" t="s">
        <v>1993</v>
      </c>
      <c r="C288" s="62" t="s">
        <v>174</v>
      </c>
      <c r="D288" s="63" t="s">
        <v>1994</v>
      </c>
      <c r="E288" s="61" t="s">
        <v>501</v>
      </c>
      <c r="F288" s="61" t="s">
        <v>502</v>
      </c>
      <c r="G288" s="61">
        <v>40</v>
      </c>
      <c r="H288" s="61">
        <v>2</v>
      </c>
      <c r="I288" s="61" t="s">
        <v>11</v>
      </c>
      <c r="J288" s="60"/>
    </row>
    <row r="289" spans="1:10" hidden="1" outlineLevel="2">
      <c r="A289" s="60">
        <v>2</v>
      </c>
      <c r="B289" s="61" t="s">
        <v>1993</v>
      </c>
      <c r="C289" s="62" t="s">
        <v>174</v>
      </c>
      <c r="D289" s="63" t="s">
        <v>1994</v>
      </c>
      <c r="E289" s="61" t="s">
        <v>503</v>
      </c>
      <c r="F289" s="61" t="s">
        <v>504</v>
      </c>
      <c r="G289" s="61">
        <v>41</v>
      </c>
      <c r="H289" s="61">
        <v>2</v>
      </c>
      <c r="I289" s="61" t="s">
        <v>11</v>
      </c>
      <c r="J289" s="60"/>
    </row>
    <row r="290" spans="1:10" hidden="1" outlineLevel="2">
      <c r="A290" s="60">
        <v>2</v>
      </c>
      <c r="B290" s="61" t="s">
        <v>1993</v>
      </c>
      <c r="C290" s="62" t="s">
        <v>174</v>
      </c>
      <c r="D290" s="63" t="s">
        <v>1994</v>
      </c>
      <c r="E290" s="61" t="s">
        <v>505</v>
      </c>
      <c r="F290" s="61" t="s">
        <v>506</v>
      </c>
      <c r="G290" s="61">
        <v>49</v>
      </c>
      <c r="H290" s="61">
        <v>2</v>
      </c>
      <c r="I290" s="61" t="s">
        <v>11</v>
      </c>
      <c r="J290" s="60"/>
    </row>
    <row r="291" spans="1:10" outlineLevel="1" collapsed="1">
      <c r="A291" s="60"/>
      <c r="B291" s="61"/>
      <c r="C291" s="62"/>
      <c r="D291" s="64" t="s">
        <v>2118</v>
      </c>
      <c r="E291" s="61">
        <f>SUBTOTAL(3,E277:E290)</f>
        <v>14</v>
      </c>
      <c r="F291" s="61"/>
      <c r="G291" s="61"/>
      <c r="H291" s="61"/>
      <c r="I291" s="61">
        <f>SUBTOTAL(3,I277:I290)</f>
        <v>14</v>
      </c>
      <c r="J291" s="60"/>
    </row>
    <row r="292" spans="1:10" hidden="1" outlineLevel="2">
      <c r="A292" s="60">
        <v>2</v>
      </c>
      <c r="B292" s="61" t="s">
        <v>1993</v>
      </c>
      <c r="C292" s="62" t="s">
        <v>279</v>
      </c>
      <c r="D292" s="63" t="s">
        <v>1995</v>
      </c>
      <c r="E292" s="61" t="s">
        <v>280</v>
      </c>
      <c r="F292" s="61" t="s">
        <v>281</v>
      </c>
      <c r="G292" s="61">
        <v>45</v>
      </c>
      <c r="H292" s="61">
        <v>2</v>
      </c>
      <c r="I292" s="61" t="s">
        <v>11</v>
      </c>
      <c r="J292" s="60"/>
    </row>
    <row r="293" spans="1:10" hidden="1" outlineLevel="2">
      <c r="A293" s="60">
        <v>2</v>
      </c>
      <c r="B293" s="61" t="s">
        <v>1993</v>
      </c>
      <c r="C293" s="62" t="s">
        <v>279</v>
      </c>
      <c r="D293" s="63" t="s">
        <v>1995</v>
      </c>
      <c r="E293" s="61" t="s">
        <v>282</v>
      </c>
      <c r="F293" s="61" t="s">
        <v>283</v>
      </c>
      <c r="G293" s="61">
        <v>40</v>
      </c>
      <c r="H293" s="61">
        <v>2</v>
      </c>
      <c r="I293" s="61" t="s">
        <v>11</v>
      </c>
      <c r="J293" s="60"/>
    </row>
    <row r="294" spans="1:10" hidden="1" outlineLevel="2">
      <c r="A294" s="60">
        <v>2</v>
      </c>
      <c r="B294" s="61" t="s">
        <v>1993</v>
      </c>
      <c r="C294" s="62" t="s">
        <v>279</v>
      </c>
      <c r="D294" s="63" t="s">
        <v>1995</v>
      </c>
      <c r="E294" s="61" t="s">
        <v>353</v>
      </c>
      <c r="F294" s="61" t="s">
        <v>354</v>
      </c>
      <c r="G294" s="61">
        <v>44</v>
      </c>
      <c r="H294" s="61">
        <v>2</v>
      </c>
      <c r="I294" s="61" t="s">
        <v>11</v>
      </c>
      <c r="J294" s="60"/>
    </row>
    <row r="295" spans="1:10" hidden="1" outlineLevel="2">
      <c r="A295" s="60">
        <v>2</v>
      </c>
      <c r="B295" s="61" t="s">
        <v>1993</v>
      </c>
      <c r="C295" s="62" t="s">
        <v>279</v>
      </c>
      <c r="D295" s="63" t="s">
        <v>1995</v>
      </c>
      <c r="E295" s="61" t="s">
        <v>355</v>
      </c>
      <c r="F295" s="61" t="s">
        <v>356</v>
      </c>
      <c r="G295" s="61">
        <v>45</v>
      </c>
      <c r="H295" s="61">
        <v>2</v>
      </c>
      <c r="I295" s="61" t="s">
        <v>11</v>
      </c>
      <c r="J295" s="60"/>
    </row>
    <row r="296" spans="1:10" hidden="1" outlineLevel="2">
      <c r="A296" s="60">
        <v>2</v>
      </c>
      <c r="B296" s="61" t="s">
        <v>1993</v>
      </c>
      <c r="C296" s="62" t="s">
        <v>279</v>
      </c>
      <c r="D296" s="63" t="s">
        <v>1995</v>
      </c>
      <c r="E296" s="61" t="s">
        <v>286</v>
      </c>
      <c r="F296" s="61" t="s">
        <v>287</v>
      </c>
      <c r="G296" s="61">
        <v>47</v>
      </c>
      <c r="H296" s="61">
        <v>2</v>
      </c>
      <c r="I296" s="61" t="s">
        <v>11</v>
      </c>
      <c r="J296" s="60"/>
    </row>
    <row r="297" spans="1:10" hidden="1" outlineLevel="2">
      <c r="A297" s="60">
        <v>2</v>
      </c>
      <c r="B297" s="61" t="s">
        <v>1993</v>
      </c>
      <c r="C297" s="62" t="s">
        <v>279</v>
      </c>
      <c r="D297" s="63" t="s">
        <v>1995</v>
      </c>
      <c r="E297" s="61" t="s">
        <v>357</v>
      </c>
      <c r="F297" s="61" t="s">
        <v>358</v>
      </c>
      <c r="G297" s="61">
        <v>55</v>
      </c>
      <c r="H297" s="61">
        <v>2</v>
      </c>
      <c r="I297" s="61" t="s">
        <v>11</v>
      </c>
      <c r="J297" s="60"/>
    </row>
    <row r="298" spans="1:10" hidden="1" outlineLevel="2">
      <c r="A298" s="60">
        <v>2</v>
      </c>
      <c r="B298" s="61" t="s">
        <v>1993</v>
      </c>
      <c r="C298" s="62" t="s">
        <v>279</v>
      </c>
      <c r="D298" s="63" t="s">
        <v>1995</v>
      </c>
      <c r="E298" s="61" t="s">
        <v>359</v>
      </c>
      <c r="F298" s="61" t="s">
        <v>360</v>
      </c>
      <c r="G298" s="61">
        <v>46</v>
      </c>
      <c r="H298" s="61">
        <v>2</v>
      </c>
      <c r="I298" s="61" t="s">
        <v>11</v>
      </c>
      <c r="J298" s="60"/>
    </row>
    <row r="299" spans="1:10" hidden="1" outlineLevel="2">
      <c r="A299" s="60">
        <v>2</v>
      </c>
      <c r="B299" s="61" t="s">
        <v>1993</v>
      </c>
      <c r="C299" s="62" t="s">
        <v>279</v>
      </c>
      <c r="D299" s="63" t="s">
        <v>1995</v>
      </c>
      <c r="E299" s="61" t="s">
        <v>288</v>
      </c>
      <c r="F299" s="61" t="s">
        <v>289</v>
      </c>
      <c r="G299" s="61">
        <v>54</v>
      </c>
      <c r="H299" s="61">
        <v>2</v>
      </c>
      <c r="I299" s="61" t="s">
        <v>11</v>
      </c>
      <c r="J299" s="60"/>
    </row>
    <row r="300" spans="1:10" hidden="1" outlineLevel="2">
      <c r="A300" s="60">
        <v>2</v>
      </c>
      <c r="B300" s="61" t="s">
        <v>1993</v>
      </c>
      <c r="C300" s="62" t="s">
        <v>279</v>
      </c>
      <c r="D300" s="63" t="s">
        <v>1995</v>
      </c>
      <c r="E300" s="61" t="s">
        <v>290</v>
      </c>
      <c r="F300" s="61" t="s">
        <v>291</v>
      </c>
      <c r="G300" s="61">
        <v>52</v>
      </c>
      <c r="H300" s="61">
        <v>2</v>
      </c>
      <c r="I300" s="61" t="s">
        <v>11</v>
      </c>
      <c r="J300" s="60"/>
    </row>
    <row r="301" spans="1:10" hidden="1" outlineLevel="2">
      <c r="A301" s="60">
        <v>2</v>
      </c>
      <c r="B301" s="61" t="s">
        <v>1993</v>
      </c>
      <c r="C301" s="62" t="s">
        <v>279</v>
      </c>
      <c r="D301" s="63" t="s">
        <v>1995</v>
      </c>
      <c r="E301" s="61" t="s">
        <v>361</v>
      </c>
      <c r="F301" s="61" t="s">
        <v>362</v>
      </c>
      <c r="G301" s="61">
        <v>49</v>
      </c>
      <c r="H301" s="61">
        <v>2</v>
      </c>
      <c r="I301" s="61" t="s">
        <v>11</v>
      </c>
      <c r="J301" s="60"/>
    </row>
    <row r="302" spans="1:10" hidden="1" outlineLevel="2">
      <c r="A302" s="60">
        <v>2</v>
      </c>
      <c r="B302" s="61" t="s">
        <v>1993</v>
      </c>
      <c r="C302" s="62" t="s">
        <v>279</v>
      </c>
      <c r="D302" s="63" t="s">
        <v>1995</v>
      </c>
      <c r="E302" s="61" t="s">
        <v>363</v>
      </c>
      <c r="F302" s="61" t="s">
        <v>364</v>
      </c>
      <c r="G302" s="61">
        <v>50</v>
      </c>
      <c r="H302" s="61">
        <v>2</v>
      </c>
      <c r="I302" s="61" t="s">
        <v>11</v>
      </c>
      <c r="J302" s="60"/>
    </row>
    <row r="303" spans="1:10" hidden="1" outlineLevel="2">
      <c r="A303" s="60">
        <v>2</v>
      </c>
      <c r="B303" s="61" t="s">
        <v>1993</v>
      </c>
      <c r="C303" s="62" t="s">
        <v>279</v>
      </c>
      <c r="D303" s="63" t="s">
        <v>1995</v>
      </c>
      <c r="E303" s="61" t="s">
        <v>365</v>
      </c>
      <c r="F303" s="61" t="s">
        <v>366</v>
      </c>
      <c r="G303" s="61">
        <v>49</v>
      </c>
      <c r="H303" s="61">
        <v>2</v>
      </c>
      <c r="I303" s="61" t="s">
        <v>11</v>
      </c>
      <c r="J303" s="60"/>
    </row>
    <row r="304" spans="1:10" hidden="1" outlineLevel="2">
      <c r="A304" s="60">
        <v>2</v>
      </c>
      <c r="B304" s="61" t="s">
        <v>1993</v>
      </c>
      <c r="C304" s="62" t="s">
        <v>279</v>
      </c>
      <c r="D304" s="63" t="s">
        <v>1995</v>
      </c>
      <c r="E304" s="61" t="s">
        <v>292</v>
      </c>
      <c r="F304" s="61" t="s">
        <v>293</v>
      </c>
      <c r="G304" s="61">
        <v>49</v>
      </c>
      <c r="H304" s="61">
        <v>2</v>
      </c>
      <c r="I304" s="61" t="s">
        <v>11</v>
      </c>
      <c r="J304" s="60"/>
    </row>
    <row r="305" spans="1:10" outlineLevel="1" collapsed="1">
      <c r="A305" s="60"/>
      <c r="B305" s="61"/>
      <c r="C305" s="62"/>
      <c r="D305" s="64" t="s">
        <v>2119</v>
      </c>
      <c r="E305" s="61">
        <f>SUBTOTAL(3,E292:E304)</f>
        <v>13</v>
      </c>
      <c r="F305" s="61"/>
      <c r="G305" s="61"/>
      <c r="H305" s="61"/>
      <c r="I305" s="61">
        <f>SUBTOTAL(3,I292:I304)</f>
        <v>13</v>
      </c>
      <c r="J305" s="60"/>
    </row>
    <row r="306" spans="1:10" hidden="1" outlineLevel="2">
      <c r="A306" s="60">
        <v>2</v>
      </c>
      <c r="B306" s="61" t="s">
        <v>1993</v>
      </c>
      <c r="C306" s="62" t="s">
        <v>294</v>
      </c>
      <c r="D306" s="63" t="s">
        <v>1996</v>
      </c>
      <c r="E306" s="61" t="s">
        <v>417</v>
      </c>
      <c r="F306" s="61" t="s">
        <v>418</v>
      </c>
      <c r="G306" s="61">
        <v>56</v>
      </c>
      <c r="H306" s="61">
        <v>2</v>
      </c>
      <c r="I306" s="61" t="s">
        <v>11</v>
      </c>
      <c r="J306" s="60"/>
    </row>
    <row r="307" spans="1:10" hidden="1" outlineLevel="2">
      <c r="A307" s="60">
        <v>2</v>
      </c>
      <c r="B307" s="61" t="s">
        <v>1993</v>
      </c>
      <c r="C307" s="62" t="s">
        <v>294</v>
      </c>
      <c r="D307" s="63" t="s">
        <v>1996</v>
      </c>
      <c r="E307" s="61" t="s">
        <v>419</v>
      </c>
      <c r="F307" s="61" t="s">
        <v>420</v>
      </c>
      <c r="G307" s="61">
        <v>48</v>
      </c>
      <c r="H307" s="61">
        <v>2</v>
      </c>
      <c r="I307" s="61" t="s">
        <v>11</v>
      </c>
      <c r="J307" s="60"/>
    </row>
    <row r="308" spans="1:10" hidden="1" outlineLevel="2">
      <c r="A308" s="60">
        <v>2</v>
      </c>
      <c r="B308" s="61" t="s">
        <v>1993</v>
      </c>
      <c r="C308" s="62" t="s">
        <v>294</v>
      </c>
      <c r="D308" s="63" t="s">
        <v>1996</v>
      </c>
      <c r="E308" s="61" t="s">
        <v>297</v>
      </c>
      <c r="F308" s="61" t="s">
        <v>298</v>
      </c>
      <c r="G308" s="61">
        <v>52</v>
      </c>
      <c r="H308" s="61">
        <v>2</v>
      </c>
      <c r="I308" s="61" t="s">
        <v>11</v>
      </c>
      <c r="J308" s="60"/>
    </row>
    <row r="309" spans="1:10" hidden="1" outlineLevel="2">
      <c r="A309" s="60">
        <v>2</v>
      </c>
      <c r="B309" s="61" t="s">
        <v>1993</v>
      </c>
      <c r="C309" s="62" t="s">
        <v>294</v>
      </c>
      <c r="D309" s="63" t="s">
        <v>1996</v>
      </c>
      <c r="E309" s="61" t="s">
        <v>421</v>
      </c>
      <c r="F309" s="61" t="s">
        <v>422</v>
      </c>
      <c r="G309" s="61">
        <v>48</v>
      </c>
      <c r="H309" s="61">
        <v>2</v>
      </c>
      <c r="I309" s="61" t="s">
        <v>11</v>
      </c>
      <c r="J309" s="60"/>
    </row>
    <row r="310" spans="1:10" hidden="1" outlineLevel="2">
      <c r="A310" s="60">
        <v>2</v>
      </c>
      <c r="B310" s="61" t="s">
        <v>1993</v>
      </c>
      <c r="C310" s="62" t="s">
        <v>294</v>
      </c>
      <c r="D310" s="63" t="s">
        <v>1996</v>
      </c>
      <c r="E310" s="61" t="s">
        <v>423</v>
      </c>
      <c r="F310" s="61" t="s">
        <v>424</v>
      </c>
      <c r="G310" s="61">
        <v>56</v>
      </c>
      <c r="H310" s="61">
        <v>2</v>
      </c>
      <c r="I310" s="61" t="s">
        <v>11</v>
      </c>
      <c r="J310" s="60"/>
    </row>
    <row r="311" spans="1:10" hidden="1" outlineLevel="2">
      <c r="A311" s="60">
        <v>2</v>
      </c>
      <c r="B311" s="61" t="s">
        <v>1993</v>
      </c>
      <c r="C311" s="62" t="s">
        <v>294</v>
      </c>
      <c r="D311" s="63" t="s">
        <v>1996</v>
      </c>
      <c r="E311" s="61" t="s">
        <v>425</v>
      </c>
      <c r="F311" s="61" t="s">
        <v>426</v>
      </c>
      <c r="G311" s="61">
        <v>56</v>
      </c>
      <c r="H311" s="61">
        <v>2</v>
      </c>
      <c r="I311" s="61" t="s">
        <v>11</v>
      </c>
      <c r="J311" s="60"/>
    </row>
    <row r="312" spans="1:10" hidden="1" outlineLevel="2">
      <c r="A312" s="60">
        <v>2</v>
      </c>
      <c r="B312" s="61" t="s">
        <v>1993</v>
      </c>
      <c r="C312" s="62" t="s">
        <v>294</v>
      </c>
      <c r="D312" s="63" t="s">
        <v>1996</v>
      </c>
      <c r="E312" s="61" t="s">
        <v>427</v>
      </c>
      <c r="F312" s="61" t="s">
        <v>428</v>
      </c>
      <c r="G312" s="61">
        <v>53</v>
      </c>
      <c r="H312" s="61">
        <v>2</v>
      </c>
      <c r="I312" s="61" t="s">
        <v>11</v>
      </c>
      <c r="J312" s="60"/>
    </row>
    <row r="313" spans="1:10" hidden="1" outlineLevel="2">
      <c r="A313" s="60">
        <v>2</v>
      </c>
      <c r="B313" s="61" t="s">
        <v>1993</v>
      </c>
      <c r="C313" s="62" t="s">
        <v>294</v>
      </c>
      <c r="D313" s="63" t="s">
        <v>1996</v>
      </c>
      <c r="E313" s="61" t="s">
        <v>429</v>
      </c>
      <c r="F313" s="61" t="s">
        <v>430</v>
      </c>
      <c r="G313" s="61">
        <v>56</v>
      </c>
      <c r="H313" s="61">
        <v>2</v>
      </c>
      <c r="I313" s="61" t="s">
        <v>11</v>
      </c>
      <c r="J313" s="60"/>
    </row>
    <row r="314" spans="1:10" outlineLevel="1" collapsed="1">
      <c r="A314" s="60"/>
      <c r="B314" s="61"/>
      <c r="C314" s="62"/>
      <c r="D314" s="64" t="s">
        <v>2120</v>
      </c>
      <c r="E314" s="61">
        <f>SUBTOTAL(3,E306:E313)</f>
        <v>8</v>
      </c>
      <c r="F314" s="61"/>
      <c r="G314" s="61"/>
      <c r="H314" s="61"/>
      <c r="I314" s="61">
        <f>SUBTOTAL(3,I306:I313)</f>
        <v>8</v>
      </c>
      <c r="J314" s="60"/>
    </row>
    <row r="315" spans="1:10" hidden="1" outlineLevel="2">
      <c r="A315" s="60">
        <v>2</v>
      </c>
      <c r="B315" s="61" t="s">
        <v>1993</v>
      </c>
      <c r="C315" s="62" t="s">
        <v>65</v>
      </c>
      <c r="D315" s="63" t="s">
        <v>1997</v>
      </c>
      <c r="E315" s="61" t="s">
        <v>66</v>
      </c>
      <c r="F315" s="61" t="s">
        <v>67</v>
      </c>
      <c r="G315" s="61">
        <v>47</v>
      </c>
      <c r="H315" s="61">
        <v>2</v>
      </c>
      <c r="I315" s="61" t="s">
        <v>11</v>
      </c>
      <c r="J315" s="60"/>
    </row>
    <row r="316" spans="1:10" hidden="1" outlineLevel="2">
      <c r="A316" s="60">
        <v>2</v>
      </c>
      <c r="B316" s="61" t="s">
        <v>1993</v>
      </c>
      <c r="C316" s="62" t="s">
        <v>65</v>
      </c>
      <c r="D316" s="63" t="s">
        <v>1997</v>
      </c>
      <c r="E316" s="61" t="s">
        <v>74</v>
      </c>
      <c r="F316" s="61" t="s">
        <v>75</v>
      </c>
      <c r="G316" s="61">
        <v>57</v>
      </c>
      <c r="H316" s="61">
        <v>2</v>
      </c>
      <c r="I316" s="61" t="s">
        <v>11</v>
      </c>
      <c r="J316" s="60"/>
    </row>
    <row r="317" spans="1:10" hidden="1" outlineLevel="2">
      <c r="A317" s="60">
        <v>2</v>
      </c>
      <c r="B317" s="61" t="s">
        <v>1993</v>
      </c>
      <c r="C317" s="62" t="s">
        <v>65</v>
      </c>
      <c r="D317" s="63" t="s">
        <v>1997</v>
      </c>
      <c r="E317" s="61" t="s">
        <v>489</v>
      </c>
      <c r="F317" s="61" t="s">
        <v>490</v>
      </c>
      <c r="G317" s="61">
        <v>47</v>
      </c>
      <c r="H317" s="61">
        <v>2</v>
      </c>
      <c r="I317" s="61" t="s">
        <v>11</v>
      </c>
      <c r="J317" s="60"/>
    </row>
    <row r="318" spans="1:10" outlineLevel="1" collapsed="1">
      <c r="A318" s="60"/>
      <c r="B318" s="61"/>
      <c r="C318" s="62"/>
      <c r="D318" s="64" t="s">
        <v>2121</v>
      </c>
      <c r="E318" s="61">
        <f>SUBTOTAL(3,E315:E317)</f>
        <v>3</v>
      </c>
      <c r="F318" s="61"/>
      <c r="G318" s="61"/>
      <c r="H318" s="61"/>
      <c r="I318" s="61">
        <f>SUBTOTAL(3,I315:I317)</f>
        <v>3</v>
      </c>
      <c r="J318" s="60">
        <f>E318+E314+E305+E291</f>
        <v>38</v>
      </c>
    </row>
    <row r="319" spans="1:10" hidden="1" outlineLevel="2">
      <c r="A319" s="60">
        <v>2</v>
      </c>
      <c r="B319" s="61" t="s">
        <v>1993</v>
      </c>
      <c r="C319" s="62" t="s">
        <v>335</v>
      </c>
      <c r="D319" s="63" t="s">
        <v>1998</v>
      </c>
      <c r="E319" s="61" t="s">
        <v>387</v>
      </c>
      <c r="F319" s="61" t="s">
        <v>388</v>
      </c>
      <c r="G319" s="61">
        <v>56</v>
      </c>
      <c r="H319" s="61">
        <v>2</v>
      </c>
      <c r="I319" s="61" t="s">
        <v>11</v>
      </c>
      <c r="J319" s="60"/>
    </row>
    <row r="320" spans="1:10" hidden="1" outlineLevel="2">
      <c r="A320" s="60">
        <v>2</v>
      </c>
      <c r="B320" s="61" t="s">
        <v>1993</v>
      </c>
      <c r="C320" s="62" t="s">
        <v>335</v>
      </c>
      <c r="D320" s="63" t="s">
        <v>1998</v>
      </c>
      <c r="E320" s="61" t="s">
        <v>389</v>
      </c>
      <c r="F320" s="61" t="s">
        <v>390</v>
      </c>
      <c r="G320" s="61">
        <v>55</v>
      </c>
      <c r="H320" s="61">
        <v>2</v>
      </c>
      <c r="I320" s="61" t="s">
        <v>11</v>
      </c>
      <c r="J320" s="60"/>
    </row>
    <row r="321" spans="1:10" hidden="1" outlineLevel="2">
      <c r="A321" s="60">
        <v>2</v>
      </c>
      <c r="B321" s="61" t="s">
        <v>1993</v>
      </c>
      <c r="C321" s="62" t="s">
        <v>335</v>
      </c>
      <c r="D321" s="63" t="s">
        <v>1998</v>
      </c>
      <c r="E321" s="61" t="s">
        <v>391</v>
      </c>
      <c r="F321" s="61" t="s">
        <v>392</v>
      </c>
      <c r="G321" s="61">
        <v>43</v>
      </c>
      <c r="H321" s="61">
        <v>2</v>
      </c>
      <c r="I321" s="61" t="s">
        <v>11</v>
      </c>
      <c r="J321" s="60"/>
    </row>
    <row r="322" spans="1:10" hidden="1" outlineLevel="2">
      <c r="A322" s="60">
        <v>2</v>
      </c>
      <c r="B322" s="61" t="s">
        <v>1993</v>
      </c>
      <c r="C322" s="62" t="s">
        <v>335</v>
      </c>
      <c r="D322" s="63" t="s">
        <v>1998</v>
      </c>
      <c r="E322" s="61" t="s">
        <v>393</v>
      </c>
      <c r="F322" s="61" t="s">
        <v>394</v>
      </c>
      <c r="G322" s="61">
        <v>51</v>
      </c>
      <c r="H322" s="61">
        <v>2</v>
      </c>
      <c r="I322" s="61" t="s">
        <v>11</v>
      </c>
      <c r="J322" s="60"/>
    </row>
    <row r="323" spans="1:10" hidden="1" outlineLevel="2">
      <c r="A323" s="60">
        <v>2</v>
      </c>
      <c r="B323" s="61" t="s">
        <v>1993</v>
      </c>
      <c r="C323" s="62" t="s">
        <v>335</v>
      </c>
      <c r="D323" s="63" t="s">
        <v>1998</v>
      </c>
      <c r="E323" s="61" t="s">
        <v>395</v>
      </c>
      <c r="F323" s="61" t="s">
        <v>396</v>
      </c>
      <c r="G323" s="61">
        <v>40</v>
      </c>
      <c r="H323" s="61">
        <v>2</v>
      </c>
      <c r="I323" s="61" t="s">
        <v>11</v>
      </c>
      <c r="J323" s="60"/>
    </row>
    <row r="324" spans="1:10" hidden="1" outlineLevel="2">
      <c r="A324" s="60">
        <v>2</v>
      </c>
      <c r="B324" s="61" t="s">
        <v>1993</v>
      </c>
      <c r="C324" s="62" t="s">
        <v>335</v>
      </c>
      <c r="D324" s="63" t="s">
        <v>1998</v>
      </c>
      <c r="E324" s="61" t="s">
        <v>397</v>
      </c>
      <c r="F324" s="61" t="s">
        <v>398</v>
      </c>
      <c r="G324" s="61">
        <v>55</v>
      </c>
      <c r="H324" s="61">
        <v>2</v>
      </c>
      <c r="I324" s="61" t="s">
        <v>11</v>
      </c>
      <c r="J324" s="60"/>
    </row>
    <row r="325" spans="1:10" hidden="1" outlineLevel="2">
      <c r="A325" s="60">
        <v>2</v>
      </c>
      <c r="B325" s="61" t="s">
        <v>1993</v>
      </c>
      <c r="C325" s="62" t="s">
        <v>335</v>
      </c>
      <c r="D325" s="63" t="s">
        <v>1998</v>
      </c>
      <c r="E325" s="61" t="s">
        <v>399</v>
      </c>
      <c r="F325" s="61" t="s">
        <v>400</v>
      </c>
      <c r="G325" s="61">
        <v>54</v>
      </c>
      <c r="H325" s="61">
        <v>2</v>
      </c>
      <c r="I325" s="61" t="s">
        <v>11</v>
      </c>
      <c r="J325" s="60"/>
    </row>
    <row r="326" spans="1:10" hidden="1" outlineLevel="2">
      <c r="A326" s="60">
        <v>2</v>
      </c>
      <c r="B326" s="61" t="s">
        <v>1993</v>
      </c>
      <c r="C326" s="62" t="s">
        <v>335</v>
      </c>
      <c r="D326" s="63" t="s">
        <v>1998</v>
      </c>
      <c r="E326" s="61" t="s">
        <v>401</v>
      </c>
      <c r="F326" s="61" t="s">
        <v>402</v>
      </c>
      <c r="G326" s="61">
        <v>40</v>
      </c>
      <c r="H326" s="61">
        <v>2</v>
      </c>
      <c r="I326" s="61" t="s">
        <v>11</v>
      </c>
      <c r="J326" s="60"/>
    </row>
    <row r="327" spans="1:10" hidden="1" outlineLevel="2">
      <c r="A327" s="60">
        <v>2</v>
      </c>
      <c r="B327" s="61" t="s">
        <v>1993</v>
      </c>
      <c r="C327" s="62" t="s">
        <v>335</v>
      </c>
      <c r="D327" s="63" t="s">
        <v>1998</v>
      </c>
      <c r="E327" s="61" t="s">
        <v>403</v>
      </c>
      <c r="F327" s="61" t="s">
        <v>404</v>
      </c>
      <c r="G327" s="61">
        <v>40</v>
      </c>
      <c r="H327" s="61">
        <v>2</v>
      </c>
      <c r="I327" s="61" t="s">
        <v>11</v>
      </c>
      <c r="J327" s="60"/>
    </row>
    <row r="328" spans="1:10" hidden="1" outlineLevel="2">
      <c r="A328" s="60">
        <v>2</v>
      </c>
      <c r="B328" s="61" t="s">
        <v>1993</v>
      </c>
      <c r="C328" s="62" t="s">
        <v>335</v>
      </c>
      <c r="D328" s="63" t="s">
        <v>1998</v>
      </c>
      <c r="E328" s="61" t="s">
        <v>405</v>
      </c>
      <c r="F328" s="61" t="s">
        <v>406</v>
      </c>
      <c r="G328" s="61">
        <v>40</v>
      </c>
      <c r="H328" s="61">
        <v>2</v>
      </c>
      <c r="I328" s="61" t="s">
        <v>11</v>
      </c>
      <c r="J328" s="60"/>
    </row>
    <row r="329" spans="1:10" hidden="1" outlineLevel="2">
      <c r="A329" s="60">
        <v>2</v>
      </c>
      <c r="B329" s="61" t="s">
        <v>1993</v>
      </c>
      <c r="C329" s="62" t="s">
        <v>335</v>
      </c>
      <c r="D329" s="63" t="s">
        <v>1998</v>
      </c>
      <c r="E329" s="61" t="s">
        <v>407</v>
      </c>
      <c r="F329" s="61" t="s">
        <v>408</v>
      </c>
      <c r="G329" s="61">
        <v>55</v>
      </c>
      <c r="H329" s="61">
        <v>2</v>
      </c>
      <c r="I329" s="61" t="s">
        <v>11</v>
      </c>
      <c r="J329" s="60"/>
    </row>
    <row r="330" spans="1:10" hidden="1" outlineLevel="2">
      <c r="A330" s="60">
        <v>2</v>
      </c>
      <c r="B330" s="61" t="s">
        <v>1993</v>
      </c>
      <c r="C330" s="62" t="s">
        <v>335</v>
      </c>
      <c r="D330" s="63" t="s">
        <v>1998</v>
      </c>
      <c r="E330" s="61" t="s">
        <v>409</v>
      </c>
      <c r="F330" s="61" t="s">
        <v>410</v>
      </c>
      <c r="G330" s="61">
        <v>48</v>
      </c>
      <c r="H330" s="61">
        <v>2</v>
      </c>
      <c r="I330" s="61" t="s">
        <v>11</v>
      </c>
      <c r="J330" s="60"/>
    </row>
    <row r="331" spans="1:10" hidden="1" outlineLevel="2">
      <c r="A331" s="60">
        <v>2</v>
      </c>
      <c r="B331" s="61" t="s">
        <v>1993</v>
      </c>
      <c r="C331" s="62" t="s">
        <v>335</v>
      </c>
      <c r="D331" s="63" t="s">
        <v>1998</v>
      </c>
      <c r="E331" s="61" t="s">
        <v>336</v>
      </c>
      <c r="F331" s="61" t="s">
        <v>337</v>
      </c>
      <c r="G331" s="61">
        <v>46</v>
      </c>
      <c r="H331" s="61">
        <v>2</v>
      </c>
      <c r="I331" s="61" t="s">
        <v>11</v>
      </c>
      <c r="J331" s="60"/>
    </row>
    <row r="332" spans="1:10" outlineLevel="1" collapsed="1">
      <c r="A332" s="60"/>
      <c r="B332" s="61"/>
      <c r="C332" s="62"/>
      <c r="D332" s="64" t="s">
        <v>2122</v>
      </c>
      <c r="E332" s="61">
        <f>SUBTOTAL(3,E319:E331)</f>
        <v>13</v>
      </c>
      <c r="F332" s="61"/>
      <c r="G332" s="61"/>
      <c r="H332" s="61"/>
      <c r="I332" s="61">
        <f>SUBTOTAL(3,I319:I331)</f>
        <v>13</v>
      </c>
      <c r="J332" s="60"/>
    </row>
    <row r="333" spans="1:10" hidden="1" outlineLevel="2">
      <c r="A333" s="60">
        <v>2</v>
      </c>
      <c r="B333" s="61" t="s">
        <v>1993</v>
      </c>
      <c r="C333" s="62" t="s">
        <v>234</v>
      </c>
      <c r="D333" s="63" t="s">
        <v>1999</v>
      </c>
      <c r="E333" s="61" t="s">
        <v>235</v>
      </c>
      <c r="F333" s="61" t="s">
        <v>236</v>
      </c>
      <c r="G333" s="61">
        <v>55</v>
      </c>
      <c r="H333" s="61">
        <v>2</v>
      </c>
      <c r="I333" s="61" t="s">
        <v>11</v>
      </c>
      <c r="J333" s="60"/>
    </row>
    <row r="334" spans="1:10" hidden="1" outlineLevel="2">
      <c r="A334" s="60">
        <v>2</v>
      </c>
      <c r="B334" s="61" t="s">
        <v>1993</v>
      </c>
      <c r="C334" s="62" t="s">
        <v>234</v>
      </c>
      <c r="D334" s="63" t="s">
        <v>1999</v>
      </c>
      <c r="E334" s="61" t="s">
        <v>237</v>
      </c>
      <c r="F334" s="61" t="s">
        <v>238</v>
      </c>
      <c r="G334" s="61">
        <v>53</v>
      </c>
      <c r="H334" s="61">
        <v>2</v>
      </c>
      <c r="I334" s="61" t="s">
        <v>11</v>
      </c>
      <c r="J334" s="60"/>
    </row>
    <row r="335" spans="1:10" hidden="1" outlineLevel="2">
      <c r="A335" s="60">
        <v>2</v>
      </c>
      <c r="B335" s="61" t="s">
        <v>1993</v>
      </c>
      <c r="C335" s="62" t="s">
        <v>234</v>
      </c>
      <c r="D335" s="63" t="s">
        <v>1999</v>
      </c>
      <c r="E335" s="61" t="s">
        <v>479</v>
      </c>
      <c r="F335" s="61" t="s">
        <v>480</v>
      </c>
      <c r="G335" s="61">
        <v>41</v>
      </c>
      <c r="H335" s="61">
        <v>2</v>
      </c>
      <c r="I335" s="61" t="s">
        <v>11</v>
      </c>
      <c r="J335" s="60"/>
    </row>
    <row r="336" spans="1:10" outlineLevel="1" collapsed="1">
      <c r="A336" s="60"/>
      <c r="B336" s="61"/>
      <c r="C336" s="62"/>
      <c r="D336" s="64" t="s">
        <v>2123</v>
      </c>
      <c r="E336" s="61">
        <f>SUBTOTAL(3,E333:E335)</f>
        <v>3</v>
      </c>
      <c r="F336" s="61"/>
      <c r="G336" s="61"/>
      <c r="H336" s="61"/>
      <c r="I336" s="61">
        <f>SUBTOTAL(3,I333:I335)</f>
        <v>3</v>
      </c>
      <c r="J336" s="60"/>
    </row>
    <row r="337" spans="1:10" hidden="1" outlineLevel="2">
      <c r="A337" s="60">
        <v>2</v>
      </c>
      <c r="B337" s="61" t="s">
        <v>1993</v>
      </c>
      <c r="C337" s="62" t="s">
        <v>158</v>
      </c>
      <c r="D337" s="63" t="s">
        <v>2000</v>
      </c>
      <c r="E337" s="61" t="s">
        <v>507</v>
      </c>
      <c r="F337" s="61" t="s">
        <v>508</v>
      </c>
      <c r="G337" s="61">
        <v>43</v>
      </c>
      <c r="H337" s="61">
        <v>2</v>
      </c>
      <c r="I337" s="61" t="s">
        <v>11</v>
      </c>
      <c r="J337" s="60"/>
    </row>
    <row r="338" spans="1:10" hidden="1" outlineLevel="2">
      <c r="A338" s="60">
        <v>2</v>
      </c>
      <c r="B338" s="61" t="s">
        <v>1993</v>
      </c>
      <c r="C338" s="62" t="s">
        <v>158</v>
      </c>
      <c r="D338" s="63" t="s">
        <v>2000</v>
      </c>
      <c r="E338" s="61" t="s">
        <v>509</v>
      </c>
      <c r="F338" s="61" t="s">
        <v>510</v>
      </c>
      <c r="G338" s="61">
        <v>53</v>
      </c>
      <c r="H338" s="61">
        <v>2</v>
      </c>
      <c r="I338" s="61" t="s">
        <v>11</v>
      </c>
      <c r="J338" s="60"/>
    </row>
    <row r="339" spans="1:10" hidden="1" outlineLevel="2">
      <c r="A339" s="60">
        <v>2</v>
      </c>
      <c r="B339" s="61" t="s">
        <v>1993</v>
      </c>
      <c r="C339" s="62" t="s">
        <v>158</v>
      </c>
      <c r="D339" s="63" t="s">
        <v>2000</v>
      </c>
      <c r="E339" s="61" t="s">
        <v>159</v>
      </c>
      <c r="F339" s="61" t="s">
        <v>160</v>
      </c>
      <c r="G339" s="61">
        <v>52</v>
      </c>
      <c r="H339" s="61">
        <v>2</v>
      </c>
      <c r="I339" s="61" t="s">
        <v>11</v>
      </c>
      <c r="J339" s="60"/>
    </row>
    <row r="340" spans="1:10" hidden="1" outlineLevel="2">
      <c r="A340" s="60">
        <v>2</v>
      </c>
      <c r="B340" s="61" t="s">
        <v>1993</v>
      </c>
      <c r="C340" s="62" t="s">
        <v>158</v>
      </c>
      <c r="D340" s="63" t="s">
        <v>2000</v>
      </c>
      <c r="E340" s="61" t="s">
        <v>511</v>
      </c>
      <c r="F340" s="61" t="s">
        <v>512</v>
      </c>
      <c r="G340" s="61">
        <v>48</v>
      </c>
      <c r="H340" s="61">
        <v>2</v>
      </c>
      <c r="I340" s="61" t="s">
        <v>11</v>
      </c>
      <c r="J340" s="60"/>
    </row>
    <row r="341" spans="1:10" hidden="1" outlineLevel="2">
      <c r="A341" s="60">
        <v>2</v>
      </c>
      <c r="B341" s="61" t="s">
        <v>1993</v>
      </c>
      <c r="C341" s="62" t="s">
        <v>158</v>
      </c>
      <c r="D341" s="63" t="s">
        <v>2000</v>
      </c>
      <c r="E341" s="61" t="s">
        <v>165</v>
      </c>
      <c r="F341" s="61" t="s">
        <v>166</v>
      </c>
      <c r="G341" s="61">
        <v>53</v>
      </c>
      <c r="H341" s="61">
        <v>2</v>
      </c>
      <c r="I341" s="61" t="s">
        <v>11</v>
      </c>
      <c r="J341" s="60"/>
    </row>
    <row r="342" spans="1:10" hidden="1" outlineLevel="2">
      <c r="A342" s="60">
        <v>2</v>
      </c>
      <c r="B342" s="61" t="s">
        <v>1993</v>
      </c>
      <c r="C342" s="62" t="s">
        <v>158</v>
      </c>
      <c r="D342" s="63" t="s">
        <v>2000</v>
      </c>
      <c r="E342" s="61" t="s">
        <v>513</v>
      </c>
      <c r="F342" s="61" t="s">
        <v>514</v>
      </c>
      <c r="G342" s="61">
        <v>52</v>
      </c>
      <c r="H342" s="61">
        <v>2</v>
      </c>
      <c r="I342" s="61" t="s">
        <v>11</v>
      </c>
      <c r="J342" s="60"/>
    </row>
    <row r="343" spans="1:10" hidden="1" outlineLevel="2">
      <c r="A343" s="60">
        <v>2</v>
      </c>
      <c r="B343" s="61" t="s">
        <v>1993</v>
      </c>
      <c r="C343" s="62" t="s">
        <v>158</v>
      </c>
      <c r="D343" s="63" t="s">
        <v>2000</v>
      </c>
      <c r="E343" s="61" t="s">
        <v>515</v>
      </c>
      <c r="F343" s="61" t="s">
        <v>516</v>
      </c>
      <c r="G343" s="61">
        <v>56</v>
      </c>
      <c r="H343" s="61">
        <v>2</v>
      </c>
      <c r="I343" s="61" t="s">
        <v>11</v>
      </c>
      <c r="J343" s="60"/>
    </row>
    <row r="344" spans="1:10" hidden="1" outlineLevel="2">
      <c r="A344" s="60">
        <v>2</v>
      </c>
      <c r="B344" s="61" t="s">
        <v>1993</v>
      </c>
      <c r="C344" s="62" t="s">
        <v>158</v>
      </c>
      <c r="D344" s="63" t="s">
        <v>2000</v>
      </c>
      <c r="E344" s="61" t="s">
        <v>517</v>
      </c>
      <c r="F344" s="61" t="s">
        <v>518</v>
      </c>
      <c r="G344" s="61">
        <v>50</v>
      </c>
      <c r="H344" s="61">
        <v>2</v>
      </c>
      <c r="I344" s="61" t="s">
        <v>11</v>
      </c>
      <c r="J344" s="60"/>
    </row>
    <row r="345" spans="1:10" outlineLevel="1" collapsed="1">
      <c r="A345" s="60"/>
      <c r="B345" s="61"/>
      <c r="C345" s="62"/>
      <c r="D345" s="64" t="s">
        <v>2124</v>
      </c>
      <c r="E345" s="61">
        <f>SUBTOTAL(3,E337:E344)</f>
        <v>8</v>
      </c>
      <c r="F345" s="61"/>
      <c r="G345" s="61"/>
      <c r="H345" s="61"/>
      <c r="I345" s="61">
        <f>SUBTOTAL(3,I337:I344)</f>
        <v>8</v>
      </c>
      <c r="J345" s="60"/>
    </row>
    <row r="346" spans="1:10" hidden="1" outlineLevel="2">
      <c r="A346" s="60">
        <v>2</v>
      </c>
      <c r="B346" s="61" t="s">
        <v>1993</v>
      </c>
      <c r="C346" s="62" t="s">
        <v>97</v>
      </c>
      <c r="D346" s="63" t="s">
        <v>2001</v>
      </c>
      <c r="E346" s="61" t="s">
        <v>98</v>
      </c>
      <c r="F346" s="61" t="s">
        <v>99</v>
      </c>
      <c r="G346" s="61">
        <v>46</v>
      </c>
      <c r="H346" s="61">
        <v>2</v>
      </c>
      <c r="I346" s="61" t="s">
        <v>11</v>
      </c>
      <c r="J346" s="60"/>
    </row>
    <row r="347" spans="1:10" hidden="1" outlineLevel="2">
      <c r="A347" s="60">
        <v>2</v>
      </c>
      <c r="B347" s="61" t="s">
        <v>1993</v>
      </c>
      <c r="C347" s="62" t="s">
        <v>97</v>
      </c>
      <c r="D347" s="63" t="s">
        <v>2001</v>
      </c>
      <c r="E347" s="61" t="s">
        <v>110</v>
      </c>
      <c r="F347" s="61" t="s">
        <v>111</v>
      </c>
      <c r="G347" s="61">
        <v>33</v>
      </c>
      <c r="H347" s="61">
        <v>2</v>
      </c>
      <c r="I347" s="61" t="s">
        <v>11</v>
      </c>
      <c r="J347" s="60"/>
    </row>
    <row r="348" spans="1:10" hidden="1" outlineLevel="2">
      <c r="A348" s="60">
        <v>2</v>
      </c>
      <c r="B348" s="61" t="s">
        <v>1993</v>
      </c>
      <c r="C348" s="62" t="s">
        <v>97</v>
      </c>
      <c r="D348" s="63" t="s">
        <v>2001</v>
      </c>
      <c r="E348" s="61" t="s">
        <v>112</v>
      </c>
      <c r="F348" s="61" t="s">
        <v>113</v>
      </c>
      <c r="G348" s="61">
        <v>46</v>
      </c>
      <c r="H348" s="61">
        <v>2</v>
      </c>
      <c r="I348" s="61" t="s">
        <v>11</v>
      </c>
      <c r="J348" s="60"/>
    </row>
    <row r="349" spans="1:10" hidden="1" outlineLevel="2">
      <c r="A349" s="60">
        <v>2</v>
      </c>
      <c r="B349" s="61" t="s">
        <v>1993</v>
      </c>
      <c r="C349" s="62" t="s">
        <v>97</v>
      </c>
      <c r="D349" s="63" t="s">
        <v>2001</v>
      </c>
      <c r="E349" s="61" t="s">
        <v>519</v>
      </c>
      <c r="F349" s="61" t="s">
        <v>520</v>
      </c>
      <c r="G349" s="61">
        <v>45</v>
      </c>
      <c r="H349" s="61">
        <v>2</v>
      </c>
      <c r="I349" s="61" t="s">
        <v>11</v>
      </c>
      <c r="J349" s="60"/>
    </row>
    <row r="350" spans="1:10" hidden="1" outlineLevel="2">
      <c r="A350" s="60">
        <v>2</v>
      </c>
      <c r="B350" s="61" t="s">
        <v>1993</v>
      </c>
      <c r="C350" s="62" t="s">
        <v>97</v>
      </c>
      <c r="D350" s="63" t="s">
        <v>2001</v>
      </c>
      <c r="E350" s="61" t="s">
        <v>116</v>
      </c>
      <c r="F350" s="61" t="s">
        <v>117</v>
      </c>
      <c r="G350" s="61">
        <v>44</v>
      </c>
      <c r="H350" s="61">
        <v>2</v>
      </c>
      <c r="I350" s="61" t="s">
        <v>11</v>
      </c>
      <c r="J350" s="60"/>
    </row>
    <row r="351" spans="1:10" hidden="1" outlineLevel="2">
      <c r="A351" s="60">
        <v>2</v>
      </c>
      <c r="B351" s="61" t="s">
        <v>1993</v>
      </c>
      <c r="C351" s="62" t="s">
        <v>97</v>
      </c>
      <c r="D351" s="63" t="s">
        <v>2001</v>
      </c>
      <c r="E351" s="61" t="s">
        <v>118</v>
      </c>
      <c r="F351" s="61" t="s">
        <v>119</v>
      </c>
      <c r="G351" s="61">
        <v>48</v>
      </c>
      <c r="H351" s="61">
        <v>2</v>
      </c>
      <c r="I351" s="61" t="s">
        <v>11</v>
      </c>
      <c r="J351" s="60"/>
    </row>
    <row r="352" spans="1:10" hidden="1" outlineLevel="2">
      <c r="A352" s="60">
        <v>2</v>
      </c>
      <c r="B352" s="61" t="s">
        <v>1993</v>
      </c>
      <c r="C352" s="62" t="s">
        <v>97</v>
      </c>
      <c r="D352" s="63" t="s">
        <v>2001</v>
      </c>
      <c r="E352" s="61" t="s">
        <v>521</v>
      </c>
      <c r="F352" s="61" t="s">
        <v>522</v>
      </c>
      <c r="G352" s="61">
        <v>53</v>
      </c>
      <c r="H352" s="61">
        <v>2</v>
      </c>
      <c r="I352" s="61" t="s">
        <v>11</v>
      </c>
      <c r="J352" s="60"/>
    </row>
    <row r="353" spans="1:10" outlineLevel="1" collapsed="1">
      <c r="A353" s="60"/>
      <c r="B353" s="61"/>
      <c r="C353" s="62"/>
      <c r="D353" s="64" t="s">
        <v>2125</v>
      </c>
      <c r="E353" s="61">
        <f>SUBTOTAL(3,E346:E352)</f>
        <v>7</v>
      </c>
      <c r="F353" s="61"/>
      <c r="G353" s="61"/>
      <c r="H353" s="61"/>
      <c r="I353" s="61">
        <f>SUBTOTAL(3,I346:I352)</f>
        <v>7</v>
      </c>
      <c r="J353" s="60"/>
    </row>
    <row r="354" spans="1:10" hidden="1" outlineLevel="2">
      <c r="A354" s="60">
        <v>2</v>
      </c>
      <c r="B354" s="61" t="s">
        <v>1993</v>
      </c>
      <c r="C354" s="62" t="s">
        <v>44</v>
      </c>
      <c r="D354" s="63" t="s">
        <v>2002</v>
      </c>
      <c r="E354" s="61" t="s">
        <v>449</v>
      </c>
      <c r="F354" s="61" t="s">
        <v>450</v>
      </c>
      <c r="G354" s="61">
        <v>46</v>
      </c>
      <c r="H354" s="61">
        <v>2</v>
      </c>
      <c r="I354" s="61" t="s">
        <v>11</v>
      </c>
      <c r="J354" s="60"/>
    </row>
    <row r="355" spans="1:10" hidden="1" outlineLevel="2">
      <c r="A355" s="60">
        <v>2</v>
      </c>
      <c r="B355" s="61" t="s">
        <v>1993</v>
      </c>
      <c r="C355" s="62" t="s">
        <v>44</v>
      </c>
      <c r="D355" s="63" t="s">
        <v>2002</v>
      </c>
      <c r="E355" s="61" t="s">
        <v>45</v>
      </c>
      <c r="F355" s="61" t="s">
        <v>46</v>
      </c>
      <c r="G355" s="61">
        <v>52</v>
      </c>
      <c r="H355" s="61">
        <v>2</v>
      </c>
      <c r="I355" s="61" t="s">
        <v>11</v>
      </c>
      <c r="J355" s="60"/>
    </row>
    <row r="356" spans="1:10" hidden="1" outlineLevel="2">
      <c r="A356" s="60">
        <v>2</v>
      </c>
      <c r="B356" s="61" t="s">
        <v>1993</v>
      </c>
      <c r="C356" s="62" t="s">
        <v>44</v>
      </c>
      <c r="D356" s="63" t="s">
        <v>2002</v>
      </c>
      <c r="E356" s="61" t="s">
        <v>451</v>
      </c>
      <c r="F356" s="61" t="s">
        <v>452</v>
      </c>
      <c r="G356" s="61">
        <v>49</v>
      </c>
      <c r="H356" s="61">
        <v>2</v>
      </c>
      <c r="I356" s="61" t="s">
        <v>11</v>
      </c>
      <c r="J356" s="60"/>
    </row>
    <row r="357" spans="1:10" hidden="1" outlineLevel="2">
      <c r="A357" s="60">
        <v>2</v>
      </c>
      <c r="B357" s="61" t="s">
        <v>1993</v>
      </c>
      <c r="C357" s="62" t="s">
        <v>44</v>
      </c>
      <c r="D357" s="63" t="s">
        <v>2002</v>
      </c>
      <c r="E357" s="61" t="s">
        <v>53</v>
      </c>
      <c r="F357" s="61" t="s">
        <v>54</v>
      </c>
      <c r="G357" s="61">
        <v>44</v>
      </c>
      <c r="H357" s="61">
        <v>2</v>
      </c>
      <c r="I357" s="61" t="s">
        <v>11</v>
      </c>
      <c r="J357" s="60"/>
    </row>
    <row r="358" spans="1:10" hidden="1" outlineLevel="2">
      <c r="A358" s="60">
        <v>2</v>
      </c>
      <c r="B358" s="61" t="s">
        <v>1993</v>
      </c>
      <c r="C358" s="62" t="s">
        <v>44</v>
      </c>
      <c r="D358" s="63" t="s">
        <v>2002</v>
      </c>
      <c r="E358" s="61" t="s">
        <v>453</v>
      </c>
      <c r="F358" s="61" t="s">
        <v>454</v>
      </c>
      <c r="G358" s="61">
        <v>53</v>
      </c>
      <c r="H358" s="61">
        <v>2</v>
      </c>
      <c r="I358" s="61" t="s">
        <v>11</v>
      </c>
      <c r="J358" s="60"/>
    </row>
    <row r="359" spans="1:10" hidden="1" outlineLevel="2">
      <c r="A359" s="60">
        <v>2</v>
      </c>
      <c r="B359" s="61" t="s">
        <v>1993</v>
      </c>
      <c r="C359" s="62" t="s">
        <v>44</v>
      </c>
      <c r="D359" s="63" t="s">
        <v>2002</v>
      </c>
      <c r="E359" s="61" t="s">
        <v>455</v>
      </c>
      <c r="F359" s="61" t="s">
        <v>456</v>
      </c>
      <c r="G359" s="61">
        <v>52</v>
      </c>
      <c r="H359" s="61">
        <v>2</v>
      </c>
      <c r="I359" s="61" t="s">
        <v>11</v>
      </c>
      <c r="J359" s="60"/>
    </row>
    <row r="360" spans="1:10" hidden="1" outlineLevel="2">
      <c r="A360" s="60">
        <v>2</v>
      </c>
      <c r="B360" s="61" t="s">
        <v>1993</v>
      </c>
      <c r="C360" s="62" t="s">
        <v>44</v>
      </c>
      <c r="D360" s="63" t="s">
        <v>2002</v>
      </c>
      <c r="E360" s="61" t="s">
        <v>457</v>
      </c>
      <c r="F360" s="61" t="s">
        <v>458</v>
      </c>
      <c r="G360" s="61">
        <v>56</v>
      </c>
      <c r="H360" s="61">
        <v>2</v>
      </c>
      <c r="I360" s="61" t="s">
        <v>11</v>
      </c>
      <c r="J360" s="60"/>
    </row>
    <row r="361" spans="1:10" hidden="1" outlineLevel="2">
      <c r="A361" s="60">
        <v>2</v>
      </c>
      <c r="B361" s="61" t="s">
        <v>1993</v>
      </c>
      <c r="C361" s="62" t="s">
        <v>44</v>
      </c>
      <c r="D361" s="63" t="s">
        <v>2002</v>
      </c>
      <c r="E361" s="61" t="s">
        <v>459</v>
      </c>
      <c r="F361" s="61" t="s">
        <v>460</v>
      </c>
      <c r="G361" s="61">
        <v>55</v>
      </c>
      <c r="H361" s="61">
        <v>2</v>
      </c>
      <c r="I361" s="61" t="s">
        <v>11</v>
      </c>
      <c r="J361" s="60"/>
    </row>
    <row r="362" spans="1:10" hidden="1" outlineLevel="2">
      <c r="A362" s="60">
        <v>2</v>
      </c>
      <c r="B362" s="61" t="s">
        <v>1993</v>
      </c>
      <c r="C362" s="62" t="s">
        <v>44</v>
      </c>
      <c r="D362" s="63" t="s">
        <v>2002</v>
      </c>
      <c r="E362" s="61" t="s">
        <v>59</v>
      </c>
      <c r="F362" s="61" t="s">
        <v>60</v>
      </c>
      <c r="G362" s="61">
        <v>54</v>
      </c>
      <c r="H362" s="61">
        <v>2</v>
      </c>
      <c r="I362" s="61" t="s">
        <v>11</v>
      </c>
      <c r="J362" s="60"/>
    </row>
    <row r="363" spans="1:10" hidden="1" outlineLevel="2">
      <c r="A363" s="60">
        <v>2</v>
      </c>
      <c r="B363" s="61" t="s">
        <v>1993</v>
      </c>
      <c r="C363" s="62" t="s">
        <v>44</v>
      </c>
      <c r="D363" s="63" t="s">
        <v>2002</v>
      </c>
      <c r="E363" s="61" t="s">
        <v>461</v>
      </c>
      <c r="F363" s="61" t="s">
        <v>462</v>
      </c>
      <c r="G363" s="61">
        <v>52</v>
      </c>
      <c r="H363" s="61">
        <v>2</v>
      </c>
      <c r="I363" s="61" t="s">
        <v>11</v>
      </c>
      <c r="J363" s="60"/>
    </row>
    <row r="364" spans="1:10" outlineLevel="1" collapsed="1">
      <c r="A364" s="60"/>
      <c r="B364" s="61"/>
      <c r="C364" s="62"/>
      <c r="D364" s="64" t="s">
        <v>2126</v>
      </c>
      <c r="E364" s="61">
        <f>SUBTOTAL(3,E354:E363)</f>
        <v>10</v>
      </c>
      <c r="F364" s="61"/>
      <c r="G364" s="61"/>
      <c r="H364" s="61"/>
      <c r="I364" s="61">
        <f>SUBTOTAL(3,I354:I363)</f>
        <v>10</v>
      </c>
      <c r="J364" s="60">
        <f>E364+E353+E345+E336+E332</f>
        <v>41</v>
      </c>
    </row>
    <row r="365" spans="1:10" hidden="1" outlineLevel="2">
      <c r="A365" s="60">
        <v>2</v>
      </c>
      <c r="B365" s="61" t="s">
        <v>1993</v>
      </c>
      <c r="C365" s="62" t="s">
        <v>217</v>
      </c>
      <c r="D365" s="63" t="s">
        <v>2003</v>
      </c>
      <c r="E365" s="61" t="s">
        <v>367</v>
      </c>
      <c r="F365" s="61" t="s">
        <v>368</v>
      </c>
      <c r="G365" s="61">
        <v>48</v>
      </c>
      <c r="H365" s="61">
        <v>2</v>
      </c>
      <c r="I365" s="61" t="s">
        <v>11</v>
      </c>
      <c r="J365" s="60"/>
    </row>
    <row r="366" spans="1:10" hidden="1" outlineLevel="2">
      <c r="A366" s="60">
        <v>2</v>
      </c>
      <c r="B366" s="61" t="s">
        <v>1993</v>
      </c>
      <c r="C366" s="62" t="s">
        <v>217</v>
      </c>
      <c r="D366" s="63" t="s">
        <v>2003</v>
      </c>
      <c r="E366" s="61" t="s">
        <v>369</v>
      </c>
      <c r="F366" s="61" t="s">
        <v>370</v>
      </c>
      <c r="G366" s="61">
        <v>56</v>
      </c>
      <c r="H366" s="61">
        <v>2</v>
      </c>
      <c r="I366" s="61" t="s">
        <v>11</v>
      </c>
      <c r="J366" s="60"/>
    </row>
    <row r="367" spans="1:10" hidden="1" outlineLevel="2">
      <c r="A367" s="60">
        <v>2</v>
      </c>
      <c r="B367" s="61" t="s">
        <v>1993</v>
      </c>
      <c r="C367" s="62" t="s">
        <v>217</v>
      </c>
      <c r="D367" s="63" t="s">
        <v>2003</v>
      </c>
      <c r="E367" s="61" t="s">
        <v>220</v>
      </c>
      <c r="F367" s="61" t="s">
        <v>221</v>
      </c>
      <c r="G367" s="61">
        <v>40</v>
      </c>
      <c r="H367" s="61">
        <v>2</v>
      </c>
      <c r="I367" s="61" t="s">
        <v>11</v>
      </c>
      <c r="J367" s="60"/>
    </row>
    <row r="368" spans="1:10" hidden="1" outlineLevel="2">
      <c r="A368" s="60">
        <v>2</v>
      </c>
      <c r="B368" s="61" t="s">
        <v>1993</v>
      </c>
      <c r="C368" s="62" t="s">
        <v>217</v>
      </c>
      <c r="D368" s="63" t="s">
        <v>2003</v>
      </c>
      <c r="E368" s="61" t="s">
        <v>371</v>
      </c>
      <c r="F368" s="61" t="s">
        <v>372</v>
      </c>
      <c r="G368" s="61">
        <v>46</v>
      </c>
      <c r="H368" s="61">
        <v>2</v>
      </c>
      <c r="I368" s="61" t="s">
        <v>11</v>
      </c>
      <c r="J368" s="60"/>
    </row>
    <row r="369" spans="1:10" hidden="1" outlineLevel="2">
      <c r="A369" s="60">
        <v>2</v>
      </c>
      <c r="B369" s="61" t="s">
        <v>1993</v>
      </c>
      <c r="C369" s="62" t="s">
        <v>217</v>
      </c>
      <c r="D369" s="63" t="s">
        <v>2003</v>
      </c>
      <c r="E369" s="61" t="s">
        <v>373</v>
      </c>
      <c r="F369" s="61" t="s">
        <v>374</v>
      </c>
      <c r="G369" s="61">
        <v>40</v>
      </c>
      <c r="H369" s="61">
        <v>2</v>
      </c>
      <c r="I369" s="61" t="s">
        <v>11</v>
      </c>
      <c r="J369" s="60"/>
    </row>
    <row r="370" spans="1:10" hidden="1" outlineLevel="2">
      <c r="A370" s="60">
        <v>2</v>
      </c>
      <c r="B370" s="61" t="s">
        <v>1993</v>
      </c>
      <c r="C370" s="62" t="s">
        <v>217</v>
      </c>
      <c r="D370" s="63" t="s">
        <v>2003</v>
      </c>
      <c r="E370" s="61" t="s">
        <v>375</v>
      </c>
      <c r="F370" s="61" t="s">
        <v>376</v>
      </c>
      <c r="G370" s="61">
        <v>52</v>
      </c>
      <c r="H370" s="61">
        <v>2</v>
      </c>
      <c r="I370" s="61" t="s">
        <v>11</v>
      </c>
      <c r="J370" s="60"/>
    </row>
    <row r="371" spans="1:10" hidden="1" outlineLevel="2">
      <c r="A371" s="60">
        <v>2</v>
      </c>
      <c r="B371" s="61" t="s">
        <v>1993</v>
      </c>
      <c r="C371" s="62" t="s">
        <v>217</v>
      </c>
      <c r="D371" s="63" t="s">
        <v>2003</v>
      </c>
      <c r="E371" s="61" t="s">
        <v>377</v>
      </c>
      <c r="F371" s="61" t="s">
        <v>378</v>
      </c>
      <c r="G371" s="61">
        <v>49</v>
      </c>
      <c r="H371" s="61">
        <v>2</v>
      </c>
      <c r="I371" s="61" t="s">
        <v>11</v>
      </c>
      <c r="J371" s="60"/>
    </row>
    <row r="372" spans="1:10" hidden="1" outlineLevel="2">
      <c r="A372" s="60">
        <v>2</v>
      </c>
      <c r="B372" s="61" t="s">
        <v>1993</v>
      </c>
      <c r="C372" s="62" t="s">
        <v>217</v>
      </c>
      <c r="D372" s="63" t="s">
        <v>2003</v>
      </c>
      <c r="E372" s="61" t="s">
        <v>379</v>
      </c>
      <c r="F372" s="61" t="s">
        <v>380</v>
      </c>
      <c r="G372" s="61">
        <v>42</v>
      </c>
      <c r="H372" s="61">
        <v>2</v>
      </c>
      <c r="I372" s="61" t="s">
        <v>11</v>
      </c>
      <c r="J372" s="60"/>
    </row>
    <row r="373" spans="1:10" hidden="1" outlineLevel="2">
      <c r="A373" s="60">
        <v>2</v>
      </c>
      <c r="B373" s="61" t="s">
        <v>1993</v>
      </c>
      <c r="C373" s="62" t="s">
        <v>217</v>
      </c>
      <c r="D373" s="63" t="s">
        <v>2003</v>
      </c>
      <c r="E373" s="61" t="s">
        <v>222</v>
      </c>
      <c r="F373" s="61" t="s">
        <v>223</v>
      </c>
      <c r="G373" s="61">
        <v>56</v>
      </c>
      <c r="H373" s="61">
        <v>2</v>
      </c>
      <c r="I373" s="61" t="s">
        <v>11</v>
      </c>
      <c r="J373" s="60"/>
    </row>
    <row r="374" spans="1:10" hidden="1" outlineLevel="2">
      <c r="A374" s="60">
        <v>2</v>
      </c>
      <c r="B374" s="61" t="s">
        <v>1993</v>
      </c>
      <c r="C374" s="62" t="s">
        <v>217</v>
      </c>
      <c r="D374" s="63" t="s">
        <v>2003</v>
      </c>
      <c r="E374" s="61" t="s">
        <v>224</v>
      </c>
      <c r="F374" s="61" t="s">
        <v>225</v>
      </c>
      <c r="G374" s="61">
        <v>48</v>
      </c>
      <c r="H374" s="61">
        <v>2</v>
      </c>
      <c r="I374" s="61" t="s">
        <v>11</v>
      </c>
      <c r="J374" s="60"/>
    </row>
    <row r="375" spans="1:10" hidden="1" outlineLevel="2">
      <c r="A375" s="60">
        <v>2</v>
      </c>
      <c r="B375" s="61" t="s">
        <v>1993</v>
      </c>
      <c r="C375" s="62" t="s">
        <v>217</v>
      </c>
      <c r="D375" s="63" t="s">
        <v>2003</v>
      </c>
      <c r="E375" s="61" t="s">
        <v>381</v>
      </c>
      <c r="F375" s="61" t="s">
        <v>382</v>
      </c>
      <c r="G375" s="61">
        <v>55</v>
      </c>
      <c r="H375" s="61">
        <v>2</v>
      </c>
      <c r="I375" s="61" t="s">
        <v>11</v>
      </c>
      <c r="J375" s="60"/>
    </row>
    <row r="376" spans="1:10" hidden="1" outlineLevel="2">
      <c r="A376" s="60">
        <v>2</v>
      </c>
      <c r="B376" s="61" t="s">
        <v>1993</v>
      </c>
      <c r="C376" s="62" t="s">
        <v>217</v>
      </c>
      <c r="D376" s="63" t="s">
        <v>2003</v>
      </c>
      <c r="E376" s="61" t="s">
        <v>383</v>
      </c>
      <c r="F376" s="61" t="s">
        <v>384</v>
      </c>
      <c r="G376" s="61">
        <v>48</v>
      </c>
      <c r="H376" s="61">
        <v>2</v>
      </c>
      <c r="I376" s="61" t="s">
        <v>11</v>
      </c>
      <c r="J376" s="60"/>
    </row>
    <row r="377" spans="1:10" hidden="1" outlineLevel="2">
      <c r="A377" s="60">
        <v>2</v>
      </c>
      <c r="B377" s="61" t="s">
        <v>1993</v>
      </c>
      <c r="C377" s="62" t="s">
        <v>217</v>
      </c>
      <c r="D377" s="63" t="s">
        <v>2003</v>
      </c>
      <c r="E377" s="61" t="s">
        <v>385</v>
      </c>
      <c r="F377" s="61" t="s">
        <v>386</v>
      </c>
      <c r="G377" s="61">
        <v>50</v>
      </c>
      <c r="H377" s="61">
        <v>2</v>
      </c>
      <c r="I377" s="61" t="s">
        <v>11</v>
      </c>
      <c r="J377" s="60"/>
    </row>
    <row r="378" spans="1:10" outlineLevel="1" collapsed="1">
      <c r="A378" s="60"/>
      <c r="B378" s="61"/>
      <c r="C378" s="62"/>
      <c r="D378" s="64" t="s">
        <v>2127</v>
      </c>
      <c r="E378" s="61">
        <f>SUBTOTAL(3,E365:E377)</f>
        <v>13</v>
      </c>
      <c r="F378" s="61"/>
      <c r="G378" s="61"/>
      <c r="H378" s="61"/>
      <c r="I378" s="61">
        <f>SUBTOTAL(3,I365:I377)</f>
        <v>13</v>
      </c>
      <c r="J378" s="60"/>
    </row>
    <row r="379" spans="1:10" hidden="1" outlineLevel="2">
      <c r="A379" s="60">
        <v>2</v>
      </c>
      <c r="B379" s="61" t="s">
        <v>1993</v>
      </c>
      <c r="C379" s="62" t="s">
        <v>122</v>
      </c>
      <c r="D379" s="63" t="s">
        <v>2004</v>
      </c>
      <c r="E379" s="61" t="s">
        <v>431</v>
      </c>
      <c r="F379" s="61" t="s">
        <v>432</v>
      </c>
      <c r="G379" s="61">
        <v>56</v>
      </c>
      <c r="H379" s="61">
        <v>2</v>
      </c>
      <c r="I379" s="61" t="s">
        <v>11</v>
      </c>
      <c r="J379" s="60"/>
    </row>
    <row r="380" spans="1:10" hidden="1" outlineLevel="2">
      <c r="A380" s="60">
        <v>2</v>
      </c>
      <c r="B380" s="61" t="s">
        <v>1993</v>
      </c>
      <c r="C380" s="62" t="s">
        <v>122</v>
      </c>
      <c r="D380" s="63" t="s">
        <v>2004</v>
      </c>
      <c r="E380" s="61" t="s">
        <v>125</v>
      </c>
      <c r="F380" s="61" t="s">
        <v>126</v>
      </c>
      <c r="G380" s="61">
        <v>56</v>
      </c>
      <c r="H380" s="61">
        <v>2</v>
      </c>
      <c r="I380" s="61" t="s">
        <v>11</v>
      </c>
      <c r="J380" s="60"/>
    </row>
    <row r="381" spans="1:10" hidden="1" outlineLevel="2">
      <c r="A381" s="60">
        <v>2</v>
      </c>
      <c r="B381" s="61" t="s">
        <v>1993</v>
      </c>
      <c r="C381" s="62" t="s">
        <v>122</v>
      </c>
      <c r="D381" s="63" t="s">
        <v>2004</v>
      </c>
      <c r="E381" s="61" t="s">
        <v>433</v>
      </c>
      <c r="F381" s="61" t="s">
        <v>434</v>
      </c>
      <c r="G381" s="61">
        <v>47</v>
      </c>
      <c r="H381" s="61">
        <v>2</v>
      </c>
      <c r="I381" s="61" t="s">
        <v>11</v>
      </c>
      <c r="J381" s="60"/>
    </row>
    <row r="382" spans="1:10" hidden="1" outlineLevel="2">
      <c r="A382" s="60">
        <v>2</v>
      </c>
      <c r="B382" s="61" t="s">
        <v>1993</v>
      </c>
      <c r="C382" s="62" t="s">
        <v>122</v>
      </c>
      <c r="D382" s="63" t="s">
        <v>2004</v>
      </c>
      <c r="E382" s="61" t="s">
        <v>127</v>
      </c>
      <c r="F382" s="61" t="s">
        <v>128</v>
      </c>
      <c r="G382" s="61">
        <v>47</v>
      </c>
      <c r="H382" s="61">
        <v>2</v>
      </c>
      <c r="I382" s="61" t="s">
        <v>11</v>
      </c>
      <c r="J382" s="60"/>
    </row>
    <row r="383" spans="1:10" hidden="1" outlineLevel="2">
      <c r="A383" s="60">
        <v>2</v>
      </c>
      <c r="B383" s="61" t="s">
        <v>1993</v>
      </c>
      <c r="C383" s="62" t="s">
        <v>122</v>
      </c>
      <c r="D383" s="63" t="s">
        <v>2004</v>
      </c>
      <c r="E383" s="61" t="s">
        <v>435</v>
      </c>
      <c r="F383" s="61" t="s">
        <v>436</v>
      </c>
      <c r="G383" s="61">
        <v>49</v>
      </c>
      <c r="H383" s="61">
        <v>2</v>
      </c>
      <c r="I383" s="61" t="s">
        <v>11</v>
      </c>
      <c r="J383" s="60"/>
    </row>
    <row r="384" spans="1:10" hidden="1" outlineLevel="2">
      <c r="A384" s="60">
        <v>2</v>
      </c>
      <c r="B384" s="61" t="s">
        <v>1993</v>
      </c>
      <c r="C384" s="62" t="s">
        <v>122</v>
      </c>
      <c r="D384" s="63" t="s">
        <v>2004</v>
      </c>
      <c r="E384" s="61" t="s">
        <v>437</v>
      </c>
      <c r="F384" s="61" t="s">
        <v>438</v>
      </c>
      <c r="G384" s="61">
        <v>56</v>
      </c>
      <c r="H384" s="61">
        <v>2</v>
      </c>
      <c r="I384" s="61" t="s">
        <v>11</v>
      </c>
      <c r="J384" s="60"/>
    </row>
    <row r="385" spans="1:10" hidden="1" outlineLevel="2">
      <c r="A385" s="60">
        <v>2</v>
      </c>
      <c r="B385" s="61" t="s">
        <v>1993</v>
      </c>
      <c r="C385" s="62" t="s">
        <v>122</v>
      </c>
      <c r="D385" s="63" t="s">
        <v>2004</v>
      </c>
      <c r="E385" s="61" t="s">
        <v>439</v>
      </c>
      <c r="F385" s="61" t="s">
        <v>440</v>
      </c>
      <c r="G385" s="61">
        <v>51</v>
      </c>
      <c r="H385" s="61">
        <v>2</v>
      </c>
      <c r="I385" s="61" t="s">
        <v>11</v>
      </c>
      <c r="J385" s="60"/>
    </row>
    <row r="386" spans="1:10" hidden="1" outlineLevel="2">
      <c r="A386" s="60">
        <v>2</v>
      </c>
      <c r="B386" s="61" t="s">
        <v>1993</v>
      </c>
      <c r="C386" s="62" t="s">
        <v>122</v>
      </c>
      <c r="D386" s="63" t="s">
        <v>2004</v>
      </c>
      <c r="E386" s="61" t="s">
        <v>137</v>
      </c>
      <c r="F386" s="61" t="s">
        <v>138</v>
      </c>
      <c r="G386" s="61">
        <v>48</v>
      </c>
      <c r="H386" s="61">
        <v>2</v>
      </c>
      <c r="I386" s="61" t="s">
        <v>11</v>
      </c>
      <c r="J386" s="60"/>
    </row>
    <row r="387" spans="1:10" hidden="1" outlineLevel="2">
      <c r="A387" s="60">
        <v>2</v>
      </c>
      <c r="B387" s="61" t="s">
        <v>1993</v>
      </c>
      <c r="C387" s="62" t="s">
        <v>122</v>
      </c>
      <c r="D387" s="63" t="s">
        <v>2004</v>
      </c>
      <c r="E387" s="61" t="s">
        <v>139</v>
      </c>
      <c r="F387" s="61" t="s">
        <v>140</v>
      </c>
      <c r="G387" s="61">
        <v>56</v>
      </c>
      <c r="H387" s="61">
        <v>2</v>
      </c>
      <c r="I387" s="61" t="s">
        <v>11</v>
      </c>
      <c r="J387" s="60"/>
    </row>
    <row r="388" spans="1:10" outlineLevel="1" collapsed="1">
      <c r="A388" s="60"/>
      <c r="B388" s="61"/>
      <c r="C388" s="62"/>
      <c r="D388" s="64" t="s">
        <v>2128</v>
      </c>
      <c r="E388" s="61">
        <f>SUBTOTAL(3,E379:E387)</f>
        <v>9</v>
      </c>
      <c r="F388" s="61"/>
      <c r="G388" s="61"/>
      <c r="H388" s="61"/>
      <c r="I388" s="61">
        <f>SUBTOTAL(3,I379:I387)</f>
        <v>9</v>
      </c>
      <c r="J388" s="60"/>
    </row>
    <row r="389" spans="1:10" hidden="1" outlineLevel="2">
      <c r="A389" s="60">
        <v>2</v>
      </c>
      <c r="B389" s="61" t="s">
        <v>1993</v>
      </c>
      <c r="C389" s="62" t="s">
        <v>322</v>
      </c>
      <c r="D389" s="63" t="s">
        <v>2005</v>
      </c>
      <c r="E389" s="61" t="s">
        <v>537</v>
      </c>
      <c r="F389" s="61" t="s">
        <v>538</v>
      </c>
      <c r="G389" s="61">
        <v>40</v>
      </c>
      <c r="H389" s="61">
        <v>2</v>
      </c>
      <c r="I389" s="61" t="s">
        <v>11</v>
      </c>
      <c r="J389" s="60"/>
    </row>
    <row r="390" spans="1:10" hidden="1" outlineLevel="2">
      <c r="A390" s="60">
        <v>2</v>
      </c>
      <c r="B390" s="61" t="s">
        <v>1993</v>
      </c>
      <c r="C390" s="62" t="s">
        <v>322</v>
      </c>
      <c r="D390" s="63" t="s">
        <v>2005</v>
      </c>
      <c r="E390" s="61" t="s">
        <v>539</v>
      </c>
      <c r="F390" s="61" t="s">
        <v>540</v>
      </c>
      <c r="G390" s="61">
        <v>42</v>
      </c>
      <c r="H390" s="61">
        <v>2</v>
      </c>
      <c r="I390" s="61" t="s">
        <v>11</v>
      </c>
      <c r="J390" s="60"/>
    </row>
    <row r="391" spans="1:10" hidden="1" outlineLevel="2">
      <c r="A391" s="60">
        <v>2</v>
      </c>
      <c r="B391" s="61" t="s">
        <v>1993</v>
      </c>
      <c r="C391" s="62" t="s">
        <v>322</v>
      </c>
      <c r="D391" s="63" t="s">
        <v>2005</v>
      </c>
      <c r="E391" s="61" t="s">
        <v>325</v>
      </c>
      <c r="F391" s="61" t="s">
        <v>326</v>
      </c>
      <c r="G391" s="61">
        <v>40</v>
      </c>
      <c r="H391" s="61">
        <v>2</v>
      </c>
      <c r="I391" s="61" t="s">
        <v>11</v>
      </c>
      <c r="J391" s="60"/>
    </row>
    <row r="392" spans="1:10" hidden="1" outlineLevel="2">
      <c r="A392" s="60">
        <v>2</v>
      </c>
      <c r="B392" s="61" t="s">
        <v>1993</v>
      </c>
      <c r="C392" s="62" t="s">
        <v>322</v>
      </c>
      <c r="D392" s="63" t="s">
        <v>2005</v>
      </c>
      <c r="E392" s="61" t="s">
        <v>329</v>
      </c>
      <c r="F392" s="61" t="s">
        <v>330</v>
      </c>
      <c r="G392" s="61">
        <v>45</v>
      </c>
      <c r="H392" s="61">
        <v>2</v>
      </c>
      <c r="I392" s="61" t="s">
        <v>11</v>
      </c>
      <c r="J392" s="60"/>
    </row>
    <row r="393" spans="1:10" outlineLevel="1" collapsed="1">
      <c r="A393" s="60"/>
      <c r="B393" s="61"/>
      <c r="C393" s="62"/>
      <c r="D393" s="64" t="s">
        <v>2129</v>
      </c>
      <c r="E393" s="61">
        <f>SUBTOTAL(3,E389:E392)</f>
        <v>4</v>
      </c>
      <c r="F393" s="61"/>
      <c r="G393" s="61"/>
      <c r="H393" s="61"/>
      <c r="I393" s="61">
        <f>SUBTOTAL(3,I389:I392)</f>
        <v>4</v>
      </c>
      <c r="J393" s="60"/>
    </row>
    <row r="394" spans="1:10" hidden="1" outlineLevel="2">
      <c r="A394" s="60">
        <v>2</v>
      </c>
      <c r="B394" s="61" t="s">
        <v>1993</v>
      </c>
      <c r="C394" s="62" t="s">
        <v>194</v>
      </c>
      <c r="D394" s="63" t="s">
        <v>2006</v>
      </c>
      <c r="E394" s="61" t="s">
        <v>523</v>
      </c>
      <c r="F394" s="61" t="s">
        <v>524</v>
      </c>
      <c r="G394" s="61">
        <v>46</v>
      </c>
      <c r="H394" s="61">
        <v>2</v>
      </c>
      <c r="I394" s="61" t="s">
        <v>11</v>
      </c>
      <c r="J394" s="60"/>
    </row>
    <row r="395" spans="1:10" hidden="1" outlineLevel="2">
      <c r="A395" s="60">
        <v>2</v>
      </c>
      <c r="B395" s="61" t="s">
        <v>1993</v>
      </c>
      <c r="C395" s="62" t="s">
        <v>194</v>
      </c>
      <c r="D395" s="63" t="s">
        <v>2006</v>
      </c>
      <c r="E395" s="61" t="s">
        <v>197</v>
      </c>
      <c r="F395" s="61" t="s">
        <v>198</v>
      </c>
      <c r="G395" s="61">
        <v>44</v>
      </c>
      <c r="H395" s="61">
        <v>2</v>
      </c>
      <c r="I395" s="61" t="s">
        <v>11</v>
      </c>
      <c r="J395" s="60"/>
    </row>
    <row r="396" spans="1:10" hidden="1" outlineLevel="2">
      <c r="A396" s="60">
        <v>2</v>
      </c>
      <c r="B396" s="61" t="s">
        <v>1993</v>
      </c>
      <c r="C396" s="62" t="s">
        <v>194</v>
      </c>
      <c r="D396" s="63" t="s">
        <v>2006</v>
      </c>
      <c r="E396" s="61" t="s">
        <v>203</v>
      </c>
      <c r="F396" s="61" t="s">
        <v>204</v>
      </c>
      <c r="G396" s="61">
        <v>41</v>
      </c>
      <c r="H396" s="61">
        <v>2</v>
      </c>
      <c r="I396" s="61" t="s">
        <v>11</v>
      </c>
      <c r="J396" s="60"/>
    </row>
    <row r="397" spans="1:10" hidden="1" outlineLevel="2">
      <c r="A397" s="60">
        <v>2</v>
      </c>
      <c r="B397" s="61" t="s">
        <v>1993</v>
      </c>
      <c r="C397" s="62" t="s">
        <v>194</v>
      </c>
      <c r="D397" s="63" t="s">
        <v>2006</v>
      </c>
      <c r="E397" s="61" t="s">
        <v>525</v>
      </c>
      <c r="F397" s="61" t="s">
        <v>526</v>
      </c>
      <c r="G397" s="61">
        <v>46</v>
      </c>
      <c r="H397" s="61">
        <v>2</v>
      </c>
      <c r="I397" s="61" t="s">
        <v>11</v>
      </c>
      <c r="J397" s="60"/>
    </row>
    <row r="398" spans="1:10" hidden="1" outlineLevel="2">
      <c r="A398" s="60">
        <v>2</v>
      </c>
      <c r="B398" s="61" t="s">
        <v>1993</v>
      </c>
      <c r="C398" s="62" t="s">
        <v>194</v>
      </c>
      <c r="D398" s="63" t="s">
        <v>2006</v>
      </c>
      <c r="E398" s="61" t="s">
        <v>527</v>
      </c>
      <c r="F398" s="61" t="s">
        <v>528</v>
      </c>
      <c r="G398" s="61">
        <v>42</v>
      </c>
      <c r="H398" s="61">
        <v>2</v>
      </c>
      <c r="I398" s="61" t="s">
        <v>11</v>
      </c>
      <c r="J398" s="60"/>
    </row>
    <row r="399" spans="1:10" hidden="1" outlineLevel="2">
      <c r="A399" s="60">
        <v>2</v>
      </c>
      <c r="B399" s="61" t="s">
        <v>1993</v>
      </c>
      <c r="C399" s="62" t="s">
        <v>194</v>
      </c>
      <c r="D399" s="63" t="s">
        <v>2006</v>
      </c>
      <c r="E399" s="61" t="s">
        <v>529</v>
      </c>
      <c r="F399" s="61" t="s">
        <v>530</v>
      </c>
      <c r="G399" s="61">
        <v>42</v>
      </c>
      <c r="H399" s="61">
        <v>2</v>
      </c>
      <c r="I399" s="61" t="s">
        <v>11</v>
      </c>
      <c r="J399" s="60"/>
    </row>
    <row r="400" spans="1:10" hidden="1" outlineLevel="2">
      <c r="A400" s="60">
        <v>2</v>
      </c>
      <c r="B400" s="61" t="s">
        <v>1993</v>
      </c>
      <c r="C400" s="62" t="s">
        <v>194</v>
      </c>
      <c r="D400" s="63" t="s">
        <v>2006</v>
      </c>
      <c r="E400" s="61" t="s">
        <v>531</v>
      </c>
      <c r="F400" s="61" t="s">
        <v>532</v>
      </c>
      <c r="G400" s="61">
        <v>46</v>
      </c>
      <c r="H400" s="61">
        <v>2</v>
      </c>
      <c r="I400" s="61" t="s">
        <v>11</v>
      </c>
      <c r="J400" s="60"/>
    </row>
    <row r="401" spans="1:10" hidden="1" outlineLevel="2">
      <c r="A401" s="60">
        <v>2</v>
      </c>
      <c r="B401" s="61" t="s">
        <v>1993</v>
      </c>
      <c r="C401" s="62" t="s">
        <v>194</v>
      </c>
      <c r="D401" s="63" t="s">
        <v>2006</v>
      </c>
      <c r="E401" s="61" t="s">
        <v>533</v>
      </c>
      <c r="F401" s="61" t="s">
        <v>534</v>
      </c>
      <c r="G401" s="61">
        <v>42</v>
      </c>
      <c r="H401" s="61">
        <v>2</v>
      </c>
      <c r="I401" s="61" t="s">
        <v>11</v>
      </c>
      <c r="J401" s="60"/>
    </row>
    <row r="402" spans="1:10" hidden="1" outlineLevel="2">
      <c r="A402" s="60">
        <v>2</v>
      </c>
      <c r="B402" s="61" t="s">
        <v>1993</v>
      </c>
      <c r="C402" s="62" t="s">
        <v>194</v>
      </c>
      <c r="D402" s="63" t="s">
        <v>2006</v>
      </c>
      <c r="E402" s="61" t="s">
        <v>213</v>
      </c>
      <c r="F402" s="61" t="s">
        <v>214</v>
      </c>
      <c r="G402" s="61">
        <v>44</v>
      </c>
      <c r="H402" s="61">
        <v>2</v>
      </c>
      <c r="I402" s="61" t="s">
        <v>11</v>
      </c>
      <c r="J402" s="60"/>
    </row>
    <row r="403" spans="1:10" hidden="1" outlineLevel="2">
      <c r="A403" s="60">
        <v>2</v>
      </c>
      <c r="B403" s="61" t="s">
        <v>1993</v>
      </c>
      <c r="C403" s="62" t="s">
        <v>194</v>
      </c>
      <c r="D403" s="63" t="s">
        <v>2006</v>
      </c>
      <c r="E403" s="61" t="s">
        <v>535</v>
      </c>
      <c r="F403" s="61" t="s">
        <v>536</v>
      </c>
      <c r="G403" s="61">
        <v>48</v>
      </c>
      <c r="H403" s="61">
        <v>2</v>
      </c>
      <c r="I403" s="61" t="s">
        <v>11</v>
      </c>
      <c r="J403" s="60"/>
    </row>
    <row r="404" spans="1:10" outlineLevel="1" collapsed="1">
      <c r="A404" s="60"/>
      <c r="B404" s="61"/>
      <c r="C404" s="62"/>
      <c r="D404" s="64" t="s">
        <v>2130</v>
      </c>
      <c r="E404" s="61">
        <f>SUBTOTAL(3,E394:E403)</f>
        <v>10</v>
      </c>
      <c r="F404" s="61"/>
      <c r="G404" s="61"/>
      <c r="H404" s="61"/>
      <c r="I404" s="61">
        <f>SUBTOTAL(3,I394:I403)</f>
        <v>10</v>
      </c>
      <c r="J404" s="60">
        <f>E404+E393+E388+E378</f>
        <v>36</v>
      </c>
    </row>
    <row r="405" spans="1:10" hidden="1" outlineLevel="2">
      <c r="A405" s="60">
        <v>2</v>
      </c>
      <c r="B405" s="61" t="s">
        <v>1993</v>
      </c>
      <c r="C405" s="62" t="s">
        <v>301</v>
      </c>
      <c r="D405" s="63" t="s">
        <v>2007</v>
      </c>
      <c r="E405" s="61" t="s">
        <v>302</v>
      </c>
      <c r="F405" s="61" t="s">
        <v>303</v>
      </c>
      <c r="G405" s="61">
        <v>50</v>
      </c>
      <c r="H405" s="61">
        <v>2</v>
      </c>
      <c r="I405" s="61" t="s">
        <v>11</v>
      </c>
      <c r="J405" s="60"/>
    </row>
    <row r="406" spans="1:10" hidden="1" outlineLevel="2">
      <c r="A406" s="60">
        <v>2</v>
      </c>
      <c r="B406" s="61" t="s">
        <v>1993</v>
      </c>
      <c r="C406" s="62" t="s">
        <v>301</v>
      </c>
      <c r="D406" s="63" t="s">
        <v>2007</v>
      </c>
      <c r="E406" s="61" t="s">
        <v>463</v>
      </c>
      <c r="F406" s="61" t="s">
        <v>464</v>
      </c>
      <c r="G406" s="61">
        <v>44</v>
      </c>
      <c r="H406" s="61">
        <v>2</v>
      </c>
      <c r="I406" s="61" t="s">
        <v>11</v>
      </c>
      <c r="J406" s="60"/>
    </row>
    <row r="407" spans="1:10" hidden="1" outlineLevel="2">
      <c r="A407" s="60">
        <v>2</v>
      </c>
      <c r="B407" s="61" t="s">
        <v>1993</v>
      </c>
      <c r="C407" s="62" t="s">
        <v>301</v>
      </c>
      <c r="D407" s="63" t="s">
        <v>2007</v>
      </c>
      <c r="E407" s="61" t="s">
        <v>465</v>
      </c>
      <c r="F407" s="61" t="s">
        <v>466</v>
      </c>
      <c r="G407" s="61">
        <v>53</v>
      </c>
      <c r="H407" s="61">
        <v>2</v>
      </c>
      <c r="I407" s="61" t="s">
        <v>11</v>
      </c>
      <c r="J407" s="60"/>
    </row>
    <row r="408" spans="1:10" hidden="1" outlineLevel="2">
      <c r="A408" s="60">
        <v>2</v>
      </c>
      <c r="B408" s="61" t="s">
        <v>1993</v>
      </c>
      <c r="C408" s="62" t="s">
        <v>301</v>
      </c>
      <c r="D408" s="63" t="s">
        <v>2007</v>
      </c>
      <c r="E408" s="61" t="s">
        <v>306</v>
      </c>
      <c r="F408" s="61" t="s">
        <v>307</v>
      </c>
      <c r="G408" s="61">
        <v>56</v>
      </c>
      <c r="H408" s="61">
        <v>2</v>
      </c>
      <c r="I408" s="61" t="s">
        <v>11</v>
      </c>
      <c r="J408" s="60"/>
    </row>
    <row r="409" spans="1:10" hidden="1" outlineLevel="2">
      <c r="A409" s="60">
        <v>2</v>
      </c>
      <c r="B409" s="61" t="s">
        <v>1993</v>
      </c>
      <c r="C409" s="62" t="s">
        <v>301</v>
      </c>
      <c r="D409" s="63" t="s">
        <v>2007</v>
      </c>
      <c r="E409" s="61" t="s">
        <v>310</v>
      </c>
      <c r="F409" s="61" t="s">
        <v>311</v>
      </c>
      <c r="G409" s="61">
        <v>55</v>
      </c>
      <c r="H409" s="61">
        <v>2</v>
      </c>
      <c r="I409" s="61" t="s">
        <v>11</v>
      </c>
      <c r="J409" s="60"/>
    </row>
    <row r="410" spans="1:10" hidden="1" outlineLevel="2">
      <c r="A410" s="60">
        <v>2</v>
      </c>
      <c r="B410" s="61" t="s">
        <v>1993</v>
      </c>
      <c r="C410" s="62" t="s">
        <v>301</v>
      </c>
      <c r="D410" s="63" t="s">
        <v>2007</v>
      </c>
      <c r="E410" s="61" t="s">
        <v>467</v>
      </c>
      <c r="F410" s="61" t="s">
        <v>468</v>
      </c>
      <c r="G410" s="61">
        <v>49</v>
      </c>
      <c r="H410" s="61">
        <v>2</v>
      </c>
      <c r="I410" s="61" t="s">
        <v>11</v>
      </c>
      <c r="J410" s="60"/>
    </row>
    <row r="411" spans="1:10" hidden="1" outlineLevel="2">
      <c r="A411" s="60">
        <v>2</v>
      </c>
      <c r="B411" s="61" t="s">
        <v>1993</v>
      </c>
      <c r="C411" s="62" t="s">
        <v>301</v>
      </c>
      <c r="D411" s="63" t="s">
        <v>2007</v>
      </c>
      <c r="E411" s="61" t="s">
        <v>318</v>
      </c>
      <c r="F411" s="61" t="s">
        <v>319</v>
      </c>
      <c r="G411" s="61">
        <v>44</v>
      </c>
      <c r="H411" s="61">
        <v>2</v>
      </c>
      <c r="I411" s="61" t="s">
        <v>11</v>
      </c>
      <c r="J411" s="60"/>
    </row>
    <row r="412" spans="1:10" hidden="1" outlineLevel="2">
      <c r="A412" s="60">
        <v>2</v>
      </c>
      <c r="B412" s="61" t="s">
        <v>1993</v>
      </c>
      <c r="C412" s="62" t="s">
        <v>301</v>
      </c>
      <c r="D412" s="63" t="s">
        <v>2007</v>
      </c>
      <c r="E412" s="61" t="s">
        <v>469</v>
      </c>
      <c r="F412" s="61" t="s">
        <v>470</v>
      </c>
      <c r="G412" s="61">
        <v>47</v>
      </c>
      <c r="H412" s="61">
        <v>2</v>
      </c>
      <c r="I412" s="61" t="s">
        <v>11</v>
      </c>
      <c r="J412" s="60"/>
    </row>
    <row r="413" spans="1:10" hidden="1" outlineLevel="2">
      <c r="A413" s="60">
        <v>2</v>
      </c>
      <c r="B413" s="61" t="s">
        <v>1993</v>
      </c>
      <c r="C413" s="62" t="s">
        <v>301</v>
      </c>
      <c r="D413" s="63" t="s">
        <v>2007</v>
      </c>
      <c r="E413" s="61" t="s">
        <v>471</v>
      </c>
      <c r="F413" s="61" t="s">
        <v>472</v>
      </c>
      <c r="G413" s="61">
        <v>55</v>
      </c>
      <c r="H413" s="61">
        <v>2</v>
      </c>
      <c r="I413" s="61" t="s">
        <v>11</v>
      </c>
      <c r="J413" s="60"/>
    </row>
    <row r="414" spans="1:10" hidden="1" outlineLevel="2">
      <c r="A414" s="60">
        <v>2</v>
      </c>
      <c r="B414" s="61" t="s">
        <v>1993</v>
      </c>
      <c r="C414" s="62" t="s">
        <v>301</v>
      </c>
      <c r="D414" s="63" t="s">
        <v>2007</v>
      </c>
      <c r="E414" s="61" t="s">
        <v>473</v>
      </c>
      <c r="F414" s="61" t="s">
        <v>474</v>
      </c>
      <c r="G414" s="61">
        <v>40</v>
      </c>
      <c r="H414" s="61">
        <v>2</v>
      </c>
      <c r="I414" s="61" t="s">
        <v>11</v>
      </c>
      <c r="J414" s="60"/>
    </row>
    <row r="415" spans="1:10" hidden="1" outlineLevel="2">
      <c r="A415" s="60">
        <v>2</v>
      </c>
      <c r="B415" s="61" t="s">
        <v>1993</v>
      </c>
      <c r="C415" s="62" t="s">
        <v>301</v>
      </c>
      <c r="D415" s="63" t="s">
        <v>2007</v>
      </c>
      <c r="E415" s="61" t="s">
        <v>475</v>
      </c>
      <c r="F415" s="61" t="s">
        <v>476</v>
      </c>
      <c r="G415" s="61">
        <v>49</v>
      </c>
      <c r="H415" s="61">
        <v>2</v>
      </c>
      <c r="I415" s="61" t="s">
        <v>11</v>
      </c>
      <c r="J415" s="60"/>
    </row>
    <row r="416" spans="1:10" hidden="1" outlineLevel="2">
      <c r="A416" s="60">
        <v>2</v>
      </c>
      <c r="B416" s="61" t="s">
        <v>1993</v>
      </c>
      <c r="C416" s="62" t="s">
        <v>301</v>
      </c>
      <c r="D416" s="63" t="s">
        <v>2007</v>
      </c>
      <c r="E416" s="61" t="s">
        <v>477</v>
      </c>
      <c r="F416" s="61" t="s">
        <v>478</v>
      </c>
      <c r="G416" s="61">
        <v>55</v>
      </c>
      <c r="H416" s="61">
        <v>2</v>
      </c>
      <c r="I416" s="61" t="s">
        <v>11</v>
      </c>
      <c r="J416" s="60"/>
    </row>
    <row r="417" spans="1:10" outlineLevel="1" collapsed="1">
      <c r="A417" s="60"/>
      <c r="B417" s="61"/>
      <c r="C417" s="62"/>
      <c r="D417" s="64" t="s">
        <v>2131</v>
      </c>
      <c r="E417" s="61">
        <f>SUBTOTAL(3,E405:E416)</f>
        <v>12</v>
      </c>
      <c r="F417" s="61"/>
      <c r="G417" s="61"/>
      <c r="H417" s="61"/>
      <c r="I417" s="61">
        <f>SUBTOTAL(3,I405:I416)</f>
        <v>12</v>
      </c>
      <c r="J417" s="60"/>
    </row>
    <row r="418" spans="1:10" hidden="1" outlineLevel="2">
      <c r="A418" s="60">
        <v>2</v>
      </c>
      <c r="B418" s="61" t="s">
        <v>1993</v>
      </c>
      <c r="C418" s="62" t="s">
        <v>84</v>
      </c>
      <c r="D418" s="63" t="s">
        <v>2008</v>
      </c>
      <c r="E418" s="61" t="s">
        <v>441</v>
      </c>
      <c r="F418" s="61" t="s">
        <v>442</v>
      </c>
      <c r="G418" s="61">
        <v>54</v>
      </c>
      <c r="H418" s="61">
        <v>2</v>
      </c>
      <c r="I418" s="61" t="s">
        <v>11</v>
      </c>
      <c r="J418" s="60"/>
    </row>
    <row r="419" spans="1:10" hidden="1" outlineLevel="2">
      <c r="A419" s="60">
        <v>2</v>
      </c>
      <c r="B419" s="61" t="s">
        <v>1993</v>
      </c>
      <c r="C419" s="62" t="s">
        <v>84</v>
      </c>
      <c r="D419" s="63" t="s">
        <v>2008</v>
      </c>
      <c r="E419" s="61" t="s">
        <v>89</v>
      </c>
      <c r="F419" s="61" t="s">
        <v>90</v>
      </c>
      <c r="G419" s="61">
        <v>40</v>
      </c>
      <c r="H419" s="61">
        <v>2</v>
      </c>
      <c r="I419" s="61" t="s">
        <v>11</v>
      </c>
      <c r="J419" s="60"/>
    </row>
    <row r="420" spans="1:10" hidden="1" outlineLevel="2">
      <c r="A420" s="60">
        <v>2</v>
      </c>
      <c r="B420" s="61" t="s">
        <v>1993</v>
      </c>
      <c r="C420" s="62" t="s">
        <v>84</v>
      </c>
      <c r="D420" s="63" t="s">
        <v>2008</v>
      </c>
      <c r="E420" s="61" t="s">
        <v>443</v>
      </c>
      <c r="F420" s="61" t="s">
        <v>444</v>
      </c>
      <c r="G420" s="61">
        <v>49</v>
      </c>
      <c r="H420" s="61">
        <v>2</v>
      </c>
      <c r="I420" s="61" t="s">
        <v>11</v>
      </c>
      <c r="J420" s="60"/>
    </row>
    <row r="421" spans="1:10" hidden="1" outlineLevel="2">
      <c r="A421" s="60">
        <v>2</v>
      </c>
      <c r="B421" s="61" t="s">
        <v>1993</v>
      </c>
      <c r="C421" s="62" t="s">
        <v>84</v>
      </c>
      <c r="D421" s="63" t="s">
        <v>2008</v>
      </c>
      <c r="E421" s="61" t="s">
        <v>91</v>
      </c>
      <c r="F421" s="61" t="s">
        <v>92</v>
      </c>
      <c r="G421" s="61">
        <v>40</v>
      </c>
      <c r="H421" s="61">
        <v>2</v>
      </c>
      <c r="I421" s="61" t="s">
        <v>11</v>
      </c>
      <c r="J421" s="60"/>
    </row>
    <row r="422" spans="1:10" hidden="1" outlineLevel="2">
      <c r="A422" s="60">
        <v>2</v>
      </c>
      <c r="B422" s="61" t="s">
        <v>1993</v>
      </c>
      <c r="C422" s="62" t="s">
        <v>84</v>
      </c>
      <c r="D422" s="63" t="s">
        <v>2008</v>
      </c>
      <c r="E422" s="61" t="s">
        <v>445</v>
      </c>
      <c r="F422" s="61" t="s">
        <v>446</v>
      </c>
      <c r="G422" s="61">
        <v>41</v>
      </c>
      <c r="H422" s="61">
        <v>2</v>
      </c>
      <c r="I422" s="61" t="s">
        <v>11</v>
      </c>
      <c r="J422" s="60"/>
    </row>
    <row r="423" spans="1:10" hidden="1" outlineLevel="2">
      <c r="A423" s="60">
        <v>2</v>
      </c>
      <c r="B423" s="61" t="s">
        <v>1993</v>
      </c>
      <c r="C423" s="62" t="s">
        <v>84</v>
      </c>
      <c r="D423" s="63" t="s">
        <v>2008</v>
      </c>
      <c r="E423" s="61" t="s">
        <v>447</v>
      </c>
      <c r="F423" s="61" t="s">
        <v>448</v>
      </c>
      <c r="G423" s="61">
        <v>40</v>
      </c>
      <c r="H423" s="61">
        <v>2</v>
      </c>
      <c r="I423" s="61" t="s">
        <v>11</v>
      </c>
      <c r="J423" s="60"/>
    </row>
    <row r="424" spans="1:10" outlineLevel="1" collapsed="1">
      <c r="A424" s="60"/>
      <c r="B424" s="61"/>
      <c r="C424" s="62"/>
      <c r="D424" s="64" t="s">
        <v>2132</v>
      </c>
      <c r="E424" s="61">
        <f>SUBTOTAL(3,E418:E423)</f>
        <v>6</v>
      </c>
      <c r="F424" s="61"/>
      <c r="G424" s="61"/>
      <c r="H424" s="61"/>
      <c r="I424" s="61">
        <f>SUBTOTAL(3,I418:I423)</f>
        <v>6</v>
      </c>
      <c r="J424" s="60"/>
    </row>
    <row r="425" spans="1:10" hidden="1" outlineLevel="2">
      <c r="A425" s="60">
        <v>2</v>
      </c>
      <c r="B425" s="61" t="s">
        <v>1993</v>
      </c>
      <c r="C425" s="62" t="s">
        <v>7</v>
      </c>
      <c r="D425" s="63" t="s">
        <v>2009</v>
      </c>
      <c r="E425" s="61" t="s">
        <v>8</v>
      </c>
      <c r="F425" s="61" t="s">
        <v>9</v>
      </c>
      <c r="G425" s="61">
        <v>40</v>
      </c>
      <c r="H425" s="61">
        <v>2</v>
      </c>
      <c r="I425" s="61" t="s">
        <v>11</v>
      </c>
      <c r="J425" s="60"/>
    </row>
    <row r="426" spans="1:10" hidden="1" outlineLevel="2">
      <c r="A426" s="60">
        <v>2</v>
      </c>
      <c r="B426" s="61" t="s">
        <v>1993</v>
      </c>
      <c r="C426" s="62" t="s">
        <v>7</v>
      </c>
      <c r="D426" s="63" t="s">
        <v>2009</v>
      </c>
      <c r="E426" s="61" t="s">
        <v>13</v>
      </c>
      <c r="F426" s="61" t="s">
        <v>14</v>
      </c>
      <c r="G426" s="61">
        <v>56</v>
      </c>
      <c r="H426" s="61">
        <v>2</v>
      </c>
      <c r="I426" s="61" t="s">
        <v>11</v>
      </c>
      <c r="J426" s="60"/>
    </row>
    <row r="427" spans="1:10" hidden="1" outlineLevel="2">
      <c r="A427" s="60">
        <v>2</v>
      </c>
      <c r="B427" s="61" t="s">
        <v>1993</v>
      </c>
      <c r="C427" s="62" t="s">
        <v>7</v>
      </c>
      <c r="D427" s="63" t="s">
        <v>2009</v>
      </c>
      <c r="E427" s="61" t="s">
        <v>541</v>
      </c>
      <c r="F427" s="61" t="s">
        <v>542</v>
      </c>
      <c r="G427" s="61">
        <v>56</v>
      </c>
      <c r="H427" s="61">
        <v>2</v>
      </c>
      <c r="I427" s="61" t="s">
        <v>11</v>
      </c>
      <c r="J427" s="60"/>
    </row>
    <row r="428" spans="1:10" hidden="1" outlineLevel="2">
      <c r="A428" s="60">
        <v>2</v>
      </c>
      <c r="B428" s="61" t="s">
        <v>1993</v>
      </c>
      <c r="C428" s="62" t="s">
        <v>7</v>
      </c>
      <c r="D428" s="63" t="s">
        <v>2009</v>
      </c>
      <c r="E428" s="61" t="s">
        <v>543</v>
      </c>
      <c r="F428" s="61" t="s">
        <v>71</v>
      </c>
      <c r="G428" s="61">
        <v>55</v>
      </c>
      <c r="H428" s="61">
        <v>2</v>
      </c>
      <c r="I428" s="61" t="s">
        <v>11</v>
      </c>
      <c r="J428" s="60"/>
    </row>
    <row r="429" spans="1:10" hidden="1" outlineLevel="2">
      <c r="A429" s="60">
        <v>2</v>
      </c>
      <c r="B429" s="61" t="s">
        <v>1993</v>
      </c>
      <c r="C429" s="62" t="s">
        <v>7</v>
      </c>
      <c r="D429" s="63" t="s">
        <v>2009</v>
      </c>
      <c r="E429" s="61" t="s">
        <v>17</v>
      </c>
      <c r="F429" s="61" t="s">
        <v>18</v>
      </c>
      <c r="G429" s="61">
        <v>42</v>
      </c>
      <c r="H429" s="61">
        <v>2</v>
      </c>
      <c r="I429" s="61" t="s">
        <v>11</v>
      </c>
      <c r="J429" s="60"/>
    </row>
    <row r="430" spans="1:10" hidden="1" outlineLevel="2">
      <c r="A430" s="60">
        <v>2</v>
      </c>
      <c r="B430" s="61" t="s">
        <v>1993</v>
      </c>
      <c r="C430" s="62" t="s">
        <v>7</v>
      </c>
      <c r="D430" s="63" t="s">
        <v>2009</v>
      </c>
      <c r="E430" s="61" t="s">
        <v>544</v>
      </c>
      <c r="F430" s="61" t="s">
        <v>545</v>
      </c>
      <c r="G430" s="61">
        <v>53</v>
      </c>
      <c r="H430" s="61">
        <v>2</v>
      </c>
      <c r="I430" s="61" t="s">
        <v>11</v>
      </c>
      <c r="J430" s="60"/>
    </row>
    <row r="431" spans="1:10" hidden="1" outlineLevel="2">
      <c r="A431" s="60">
        <v>2</v>
      </c>
      <c r="B431" s="61" t="s">
        <v>1993</v>
      </c>
      <c r="C431" s="62" t="s">
        <v>7</v>
      </c>
      <c r="D431" s="63" t="s">
        <v>2009</v>
      </c>
      <c r="E431" s="61" t="s">
        <v>546</v>
      </c>
      <c r="F431" s="61" t="s">
        <v>547</v>
      </c>
      <c r="G431" s="61">
        <v>40</v>
      </c>
      <c r="H431" s="61">
        <v>2</v>
      </c>
      <c r="I431" s="61" t="s">
        <v>11</v>
      </c>
      <c r="J431" s="60"/>
    </row>
    <row r="432" spans="1:10" hidden="1" outlineLevel="2">
      <c r="A432" s="60">
        <v>2</v>
      </c>
      <c r="B432" s="61" t="s">
        <v>1993</v>
      </c>
      <c r="C432" s="62" t="s">
        <v>7</v>
      </c>
      <c r="D432" s="63" t="s">
        <v>2009</v>
      </c>
      <c r="E432" s="61" t="s">
        <v>548</v>
      </c>
      <c r="F432" s="61" t="s">
        <v>549</v>
      </c>
      <c r="G432" s="61">
        <v>54</v>
      </c>
      <c r="H432" s="61">
        <v>2</v>
      </c>
      <c r="I432" s="61" t="s">
        <v>11</v>
      </c>
      <c r="J432" s="60"/>
    </row>
    <row r="433" spans="1:10" hidden="1" outlineLevel="2">
      <c r="A433" s="60">
        <v>2</v>
      </c>
      <c r="B433" s="61" t="s">
        <v>1993</v>
      </c>
      <c r="C433" s="62" t="s">
        <v>7</v>
      </c>
      <c r="D433" s="63" t="s">
        <v>2009</v>
      </c>
      <c r="E433" s="61" t="s">
        <v>550</v>
      </c>
      <c r="F433" s="61" t="s">
        <v>551</v>
      </c>
      <c r="G433" s="61">
        <v>40</v>
      </c>
      <c r="H433" s="61">
        <v>2</v>
      </c>
      <c r="I433" s="61" t="s">
        <v>11</v>
      </c>
      <c r="J433" s="60"/>
    </row>
    <row r="434" spans="1:10" hidden="1" outlineLevel="2">
      <c r="A434" s="60">
        <v>2</v>
      </c>
      <c r="B434" s="61" t="s">
        <v>1993</v>
      </c>
      <c r="C434" s="62" t="s">
        <v>7</v>
      </c>
      <c r="D434" s="63" t="s">
        <v>2009</v>
      </c>
      <c r="E434" s="61" t="s">
        <v>552</v>
      </c>
      <c r="F434" s="61" t="s">
        <v>553</v>
      </c>
      <c r="G434" s="61">
        <v>55</v>
      </c>
      <c r="H434" s="61">
        <v>2</v>
      </c>
      <c r="I434" s="61" t="s">
        <v>11</v>
      </c>
      <c r="J434" s="60"/>
    </row>
    <row r="435" spans="1:10" hidden="1" outlineLevel="2">
      <c r="A435" s="60">
        <v>2</v>
      </c>
      <c r="B435" s="61" t="s">
        <v>1993</v>
      </c>
      <c r="C435" s="62" t="s">
        <v>7</v>
      </c>
      <c r="D435" s="63" t="s">
        <v>2009</v>
      </c>
      <c r="E435" s="61" t="s">
        <v>554</v>
      </c>
      <c r="F435" s="61" t="s">
        <v>555</v>
      </c>
      <c r="G435" s="61">
        <v>54</v>
      </c>
      <c r="H435" s="61">
        <v>2</v>
      </c>
      <c r="I435" s="61" t="s">
        <v>11</v>
      </c>
      <c r="J435" s="60"/>
    </row>
    <row r="436" spans="1:10" hidden="1" outlineLevel="2">
      <c r="A436" s="60">
        <v>2</v>
      </c>
      <c r="B436" s="61" t="s">
        <v>1993</v>
      </c>
      <c r="C436" s="62" t="s">
        <v>7</v>
      </c>
      <c r="D436" s="63" t="s">
        <v>2009</v>
      </c>
      <c r="E436" s="61" t="s">
        <v>556</v>
      </c>
      <c r="F436" s="61" t="s">
        <v>557</v>
      </c>
      <c r="G436" s="61">
        <v>40</v>
      </c>
      <c r="H436" s="61">
        <v>2</v>
      </c>
      <c r="I436" s="61" t="s">
        <v>11</v>
      </c>
      <c r="J436" s="60"/>
    </row>
    <row r="437" spans="1:10" outlineLevel="1" collapsed="1">
      <c r="A437" s="60"/>
      <c r="B437" s="61"/>
      <c r="C437" s="62"/>
      <c r="D437" s="64" t="s">
        <v>2133</v>
      </c>
      <c r="E437" s="61">
        <f>SUBTOTAL(3,E425:E436)</f>
        <v>12</v>
      </c>
      <c r="F437" s="61"/>
      <c r="G437" s="61"/>
      <c r="H437" s="61"/>
      <c r="I437" s="61">
        <f>SUBTOTAL(3,I425:I436)</f>
        <v>12</v>
      </c>
      <c r="J437" s="60"/>
    </row>
    <row r="438" spans="1:10" hidden="1" outlineLevel="2">
      <c r="A438" s="60">
        <v>2</v>
      </c>
      <c r="B438" s="61" t="s">
        <v>1993</v>
      </c>
      <c r="C438" s="62" t="s">
        <v>246</v>
      </c>
      <c r="D438" s="63" t="s">
        <v>2013</v>
      </c>
      <c r="E438" s="61" t="s">
        <v>247</v>
      </c>
      <c r="F438" s="61" t="s">
        <v>248</v>
      </c>
      <c r="G438" s="61">
        <v>47</v>
      </c>
      <c r="H438" s="61">
        <v>2</v>
      </c>
      <c r="I438" s="61" t="s">
        <v>11</v>
      </c>
      <c r="J438" s="60"/>
    </row>
    <row r="439" spans="1:10" hidden="1" outlineLevel="2">
      <c r="A439" s="60">
        <v>2</v>
      </c>
      <c r="B439" s="61" t="s">
        <v>1993</v>
      </c>
      <c r="C439" s="62" t="s">
        <v>246</v>
      </c>
      <c r="D439" s="63" t="s">
        <v>2013</v>
      </c>
      <c r="E439" s="61" t="s">
        <v>251</v>
      </c>
      <c r="F439" s="61" t="s">
        <v>252</v>
      </c>
      <c r="G439" s="61">
        <v>52</v>
      </c>
      <c r="H439" s="61">
        <v>2</v>
      </c>
      <c r="I439" s="61" t="s">
        <v>11</v>
      </c>
      <c r="J439" s="60"/>
    </row>
    <row r="440" spans="1:10" hidden="1" outlineLevel="2">
      <c r="A440" s="60">
        <v>2</v>
      </c>
      <c r="B440" s="61" t="s">
        <v>1993</v>
      </c>
      <c r="C440" s="62" t="s">
        <v>246</v>
      </c>
      <c r="D440" s="63" t="s">
        <v>2013</v>
      </c>
      <c r="E440" s="61" t="s">
        <v>253</v>
      </c>
      <c r="F440" s="61" t="s">
        <v>254</v>
      </c>
      <c r="G440" s="61">
        <v>47</v>
      </c>
      <c r="H440" s="61">
        <v>2</v>
      </c>
      <c r="I440" s="61" t="s">
        <v>11</v>
      </c>
      <c r="J440" s="60"/>
    </row>
    <row r="441" spans="1:10" hidden="1" outlineLevel="2">
      <c r="A441" s="60">
        <v>2</v>
      </c>
      <c r="B441" s="61" t="s">
        <v>1993</v>
      </c>
      <c r="C441" s="62" t="s">
        <v>246</v>
      </c>
      <c r="D441" s="63" t="s">
        <v>2013</v>
      </c>
      <c r="E441" s="61" t="s">
        <v>255</v>
      </c>
      <c r="F441" s="61" t="s">
        <v>256</v>
      </c>
      <c r="G441" s="61">
        <v>50</v>
      </c>
      <c r="H441" s="61">
        <v>2</v>
      </c>
      <c r="I441" s="61" t="s">
        <v>11</v>
      </c>
      <c r="J441" s="60"/>
    </row>
    <row r="442" spans="1:10" hidden="1" outlineLevel="2">
      <c r="A442" s="60">
        <v>2</v>
      </c>
      <c r="B442" s="61" t="s">
        <v>1993</v>
      </c>
      <c r="C442" s="62" t="s">
        <v>246</v>
      </c>
      <c r="D442" s="63" t="s">
        <v>2013</v>
      </c>
      <c r="E442" s="61" t="s">
        <v>411</v>
      </c>
      <c r="F442" s="61" t="s">
        <v>412</v>
      </c>
      <c r="G442" s="61">
        <v>49</v>
      </c>
      <c r="H442" s="61">
        <v>2</v>
      </c>
      <c r="I442" s="61" t="s">
        <v>11</v>
      </c>
      <c r="J442" s="60"/>
    </row>
    <row r="443" spans="1:10" hidden="1" outlineLevel="2">
      <c r="A443" s="60">
        <v>2</v>
      </c>
      <c r="B443" s="61" t="s">
        <v>1993</v>
      </c>
      <c r="C443" s="62" t="s">
        <v>246</v>
      </c>
      <c r="D443" s="63" t="s">
        <v>2013</v>
      </c>
      <c r="E443" s="61" t="s">
        <v>259</v>
      </c>
      <c r="F443" s="61" t="s">
        <v>260</v>
      </c>
      <c r="G443" s="61">
        <v>47</v>
      </c>
      <c r="H443" s="61">
        <v>2</v>
      </c>
      <c r="I443" s="61" t="s">
        <v>11</v>
      </c>
      <c r="J443" s="60"/>
    </row>
    <row r="444" spans="1:10" hidden="1" outlineLevel="2">
      <c r="A444" s="60">
        <v>2</v>
      </c>
      <c r="B444" s="61" t="s">
        <v>1993</v>
      </c>
      <c r="C444" s="62" t="s">
        <v>246</v>
      </c>
      <c r="D444" s="63" t="s">
        <v>2013</v>
      </c>
      <c r="E444" s="61" t="s">
        <v>413</v>
      </c>
      <c r="F444" s="61" t="s">
        <v>414</v>
      </c>
      <c r="G444" s="61">
        <v>54</v>
      </c>
      <c r="H444" s="61">
        <v>2</v>
      </c>
      <c r="I444" s="61" t="s">
        <v>11</v>
      </c>
      <c r="J444" s="60"/>
    </row>
    <row r="445" spans="1:10" hidden="1" outlineLevel="2">
      <c r="A445" s="60">
        <v>2</v>
      </c>
      <c r="B445" s="61" t="s">
        <v>1993</v>
      </c>
      <c r="C445" s="62" t="s">
        <v>246</v>
      </c>
      <c r="D445" s="63" t="s">
        <v>2013</v>
      </c>
      <c r="E445" s="61" t="s">
        <v>263</v>
      </c>
      <c r="F445" s="61" t="s">
        <v>264</v>
      </c>
      <c r="G445" s="61">
        <v>52</v>
      </c>
      <c r="H445" s="61">
        <v>2</v>
      </c>
      <c r="I445" s="61" t="s">
        <v>11</v>
      </c>
      <c r="J445" s="60"/>
    </row>
    <row r="446" spans="1:10" hidden="1" outlineLevel="2">
      <c r="A446" s="60">
        <v>2</v>
      </c>
      <c r="B446" s="61" t="s">
        <v>1993</v>
      </c>
      <c r="C446" s="62" t="s">
        <v>246</v>
      </c>
      <c r="D446" s="63" t="s">
        <v>2013</v>
      </c>
      <c r="E446" s="61" t="s">
        <v>267</v>
      </c>
      <c r="F446" s="61" t="s">
        <v>268</v>
      </c>
      <c r="G446" s="61">
        <v>47</v>
      </c>
      <c r="H446" s="61">
        <v>2</v>
      </c>
      <c r="I446" s="61" t="s">
        <v>11</v>
      </c>
      <c r="J446" s="60"/>
    </row>
    <row r="447" spans="1:10" hidden="1" outlineLevel="2">
      <c r="A447" s="60">
        <v>2</v>
      </c>
      <c r="B447" s="61" t="s">
        <v>1993</v>
      </c>
      <c r="C447" s="62" t="s">
        <v>246</v>
      </c>
      <c r="D447" s="63" t="s">
        <v>2013</v>
      </c>
      <c r="E447" s="61" t="s">
        <v>415</v>
      </c>
      <c r="F447" s="61" t="s">
        <v>416</v>
      </c>
      <c r="G447" s="61">
        <v>50</v>
      </c>
      <c r="H447" s="61">
        <v>2</v>
      </c>
      <c r="I447" s="61" t="s">
        <v>11</v>
      </c>
      <c r="J447" s="60"/>
    </row>
    <row r="448" spans="1:10" outlineLevel="1" collapsed="1">
      <c r="A448" s="60"/>
      <c r="B448" s="61"/>
      <c r="C448" s="62"/>
      <c r="D448" s="64" t="s">
        <v>2134</v>
      </c>
      <c r="E448" s="61">
        <f>SUBTOTAL(3,E438:E447)</f>
        <v>10</v>
      </c>
      <c r="F448" s="61"/>
      <c r="G448" s="61"/>
      <c r="H448" s="61"/>
      <c r="I448" s="61">
        <f>SUBTOTAL(3,I438:I447)</f>
        <v>10</v>
      </c>
      <c r="J448" s="60">
        <f>E448+E437+E424+E417</f>
        <v>40</v>
      </c>
    </row>
    <row r="449" spans="1:10" hidden="1" outlineLevel="2">
      <c r="A449" s="60">
        <v>2</v>
      </c>
      <c r="B449" s="61" t="s">
        <v>1993</v>
      </c>
      <c r="C449" s="62" t="s">
        <v>25</v>
      </c>
      <c r="D449" s="63" t="s">
        <v>2014</v>
      </c>
      <c r="E449" s="61" t="s">
        <v>338</v>
      </c>
      <c r="F449" s="61" t="s">
        <v>339</v>
      </c>
      <c r="G449" s="61">
        <v>40</v>
      </c>
      <c r="H449" s="61">
        <v>2</v>
      </c>
      <c r="I449" s="61" t="s">
        <v>11</v>
      </c>
      <c r="J449" s="60"/>
    </row>
    <row r="450" spans="1:10" hidden="1" outlineLevel="2">
      <c r="A450" s="60">
        <v>2</v>
      </c>
      <c r="B450" s="61" t="s">
        <v>1993</v>
      </c>
      <c r="C450" s="62" t="s">
        <v>25</v>
      </c>
      <c r="D450" s="63" t="s">
        <v>2014</v>
      </c>
      <c r="E450" s="61" t="s">
        <v>30</v>
      </c>
      <c r="F450" s="61" t="s">
        <v>31</v>
      </c>
      <c r="G450" s="61">
        <v>40</v>
      </c>
      <c r="H450" s="61">
        <v>2</v>
      </c>
      <c r="I450" s="61" t="s">
        <v>11</v>
      </c>
      <c r="J450" s="60"/>
    </row>
    <row r="451" spans="1:10" hidden="1" outlineLevel="2">
      <c r="A451" s="60">
        <v>2</v>
      </c>
      <c r="B451" s="61" t="s">
        <v>1993</v>
      </c>
      <c r="C451" s="62" t="s">
        <v>25</v>
      </c>
      <c r="D451" s="63" t="s">
        <v>2014</v>
      </c>
      <c r="E451" s="61" t="s">
        <v>341</v>
      </c>
      <c r="F451" s="61" t="s">
        <v>342</v>
      </c>
      <c r="G451" s="61">
        <v>49</v>
      </c>
      <c r="H451" s="61">
        <v>2</v>
      </c>
      <c r="I451" s="61" t="s">
        <v>11</v>
      </c>
      <c r="J451" s="60"/>
    </row>
    <row r="452" spans="1:10" hidden="1" outlineLevel="2">
      <c r="A452" s="60">
        <v>2</v>
      </c>
      <c r="B452" s="61" t="s">
        <v>1993</v>
      </c>
      <c r="C452" s="62" t="s">
        <v>25</v>
      </c>
      <c r="D452" s="63" t="s">
        <v>2014</v>
      </c>
      <c r="E452" s="61" t="s">
        <v>343</v>
      </c>
      <c r="F452" s="61" t="s">
        <v>344</v>
      </c>
      <c r="G452" s="61">
        <v>51</v>
      </c>
      <c r="H452" s="61">
        <v>2</v>
      </c>
      <c r="I452" s="61" t="s">
        <v>11</v>
      </c>
      <c r="J452" s="60"/>
    </row>
    <row r="453" spans="1:10" hidden="1" outlineLevel="2">
      <c r="A453" s="60">
        <v>2</v>
      </c>
      <c r="B453" s="61" t="s">
        <v>1993</v>
      </c>
      <c r="C453" s="62" t="s">
        <v>25</v>
      </c>
      <c r="D453" s="63" t="s">
        <v>2014</v>
      </c>
      <c r="E453" s="61" t="s">
        <v>345</v>
      </c>
      <c r="F453" s="61" t="s">
        <v>346</v>
      </c>
      <c r="G453" s="61">
        <v>46</v>
      </c>
      <c r="H453" s="61">
        <v>2</v>
      </c>
      <c r="I453" s="61" t="s">
        <v>11</v>
      </c>
      <c r="J453" s="60"/>
    </row>
    <row r="454" spans="1:10" hidden="1" outlineLevel="2">
      <c r="A454" s="60">
        <v>2</v>
      </c>
      <c r="B454" s="61" t="s">
        <v>1993</v>
      </c>
      <c r="C454" s="62" t="s">
        <v>25</v>
      </c>
      <c r="D454" s="63" t="s">
        <v>2014</v>
      </c>
      <c r="E454" s="61" t="s">
        <v>347</v>
      </c>
      <c r="F454" s="61" t="s">
        <v>348</v>
      </c>
      <c r="G454" s="61">
        <v>54</v>
      </c>
      <c r="H454" s="61">
        <v>2</v>
      </c>
      <c r="I454" s="61" t="s">
        <v>11</v>
      </c>
      <c r="J454" s="60"/>
    </row>
    <row r="455" spans="1:10" hidden="1" outlineLevel="2">
      <c r="A455" s="60">
        <v>2</v>
      </c>
      <c r="B455" s="61" t="s">
        <v>1993</v>
      </c>
      <c r="C455" s="62" t="s">
        <v>25</v>
      </c>
      <c r="D455" s="63" t="s">
        <v>2014</v>
      </c>
      <c r="E455" s="61" t="s">
        <v>32</v>
      </c>
      <c r="F455" s="61" t="s">
        <v>33</v>
      </c>
      <c r="G455" s="61">
        <v>40</v>
      </c>
      <c r="H455" s="61">
        <v>2</v>
      </c>
      <c r="I455" s="61" t="s">
        <v>11</v>
      </c>
      <c r="J455" s="60"/>
    </row>
    <row r="456" spans="1:10" hidden="1" outlineLevel="2">
      <c r="A456" s="60">
        <v>2</v>
      </c>
      <c r="B456" s="61" t="s">
        <v>1993</v>
      </c>
      <c r="C456" s="62" t="s">
        <v>25</v>
      </c>
      <c r="D456" s="63" t="s">
        <v>2014</v>
      </c>
      <c r="E456" s="61" t="s">
        <v>34</v>
      </c>
      <c r="F456" s="61" t="s">
        <v>35</v>
      </c>
      <c r="G456" s="61">
        <v>47</v>
      </c>
      <c r="H456" s="61">
        <v>2</v>
      </c>
      <c r="I456" s="61" t="s">
        <v>11</v>
      </c>
      <c r="J456" s="60"/>
    </row>
    <row r="457" spans="1:10" hidden="1" outlineLevel="2">
      <c r="A457" s="60">
        <v>2</v>
      </c>
      <c r="B457" s="61" t="s">
        <v>1993</v>
      </c>
      <c r="C457" s="62" t="s">
        <v>25</v>
      </c>
      <c r="D457" s="63" t="s">
        <v>2014</v>
      </c>
      <c r="E457" s="61" t="s">
        <v>38</v>
      </c>
      <c r="F457" s="61" t="s">
        <v>39</v>
      </c>
      <c r="G457" s="61">
        <v>56</v>
      </c>
      <c r="H457" s="61">
        <v>2</v>
      </c>
      <c r="I457" s="61" t="s">
        <v>11</v>
      </c>
      <c r="J457" s="60"/>
    </row>
    <row r="458" spans="1:10" hidden="1" outlineLevel="2">
      <c r="A458" s="60">
        <v>2</v>
      </c>
      <c r="B458" s="61" t="s">
        <v>1993</v>
      </c>
      <c r="C458" s="62" t="s">
        <v>25</v>
      </c>
      <c r="D458" s="63" t="s">
        <v>2014</v>
      </c>
      <c r="E458" s="61" t="s">
        <v>349</v>
      </c>
      <c r="F458" s="61" t="s">
        <v>350</v>
      </c>
      <c r="G458" s="61">
        <v>40</v>
      </c>
      <c r="H458" s="61">
        <v>2</v>
      </c>
      <c r="I458" s="61" t="s">
        <v>11</v>
      </c>
      <c r="J458" s="60"/>
    </row>
    <row r="459" spans="1:10" hidden="1" outlineLevel="2">
      <c r="A459" s="60">
        <v>2</v>
      </c>
      <c r="B459" s="61" t="s">
        <v>1993</v>
      </c>
      <c r="C459" s="62" t="s">
        <v>25</v>
      </c>
      <c r="D459" s="63" t="s">
        <v>2014</v>
      </c>
      <c r="E459" s="61" t="s">
        <v>351</v>
      </c>
      <c r="F459" s="61" t="s">
        <v>352</v>
      </c>
      <c r="G459" s="61">
        <v>40</v>
      </c>
      <c r="H459" s="61">
        <v>2</v>
      </c>
      <c r="I459" s="61" t="s">
        <v>11</v>
      </c>
      <c r="J459" s="60"/>
    </row>
    <row r="460" spans="1:10" outlineLevel="1" collapsed="1">
      <c r="A460" s="60"/>
      <c r="B460" s="61"/>
      <c r="C460" s="62"/>
      <c r="D460" s="64" t="s">
        <v>2135</v>
      </c>
      <c r="E460" s="61">
        <f>SUBTOTAL(3,E449:E459)</f>
        <v>11</v>
      </c>
      <c r="F460" s="61"/>
      <c r="G460" s="61"/>
      <c r="H460" s="61"/>
      <c r="I460" s="61">
        <f>SUBTOTAL(3,I449:I459)</f>
        <v>11</v>
      </c>
      <c r="J460" s="60"/>
    </row>
    <row r="461" spans="1:10" hidden="1" outlineLevel="2">
      <c r="A461" s="60">
        <v>2</v>
      </c>
      <c r="B461" s="65" t="s">
        <v>1946</v>
      </c>
      <c r="C461" s="62" t="s">
        <v>1144</v>
      </c>
      <c r="D461" s="63" t="str">
        <f t="shared" ref="D461:D475" si="11">B461&amp;"-"&amp;C461</f>
        <v>英語文4-汽車二乙</v>
      </c>
      <c r="E461" s="61" t="s">
        <v>1145</v>
      </c>
      <c r="F461" s="61" t="s">
        <v>1146</v>
      </c>
      <c r="G461" s="61">
        <v>56</v>
      </c>
      <c r="H461" s="61">
        <v>2</v>
      </c>
      <c r="I461" s="61" t="s">
        <v>11</v>
      </c>
      <c r="J461" s="60"/>
    </row>
    <row r="462" spans="1:10" hidden="1" outlineLevel="2">
      <c r="A462" s="60">
        <v>2</v>
      </c>
      <c r="B462" s="65" t="s">
        <v>1946</v>
      </c>
      <c r="C462" s="62" t="s">
        <v>1144</v>
      </c>
      <c r="D462" s="63" t="str">
        <f t="shared" si="11"/>
        <v>英語文4-汽車二乙</v>
      </c>
      <c r="E462" s="61" t="s">
        <v>1351</v>
      </c>
      <c r="F462" s="61" t="s">
        <v>1352</v>
      </c>
      <c r="G462" s="61">
        <v>48</v>
      </c>
      <c r="H462" s="61">
        <v>2</v>
      </c>
      <c r="I462" s="61" t="s">
        <v>11</v>
      </c>
      <c r="J462" s="60"/>
    </row>
    <row r="463" spans="1:10" hidden="1" outlineLevel="2">
      <c r="A463" s="60">
        <v>2</v>
      </c>
      <c r="B463" s="65" t="s">
        <v>1946</v>
      </c>
      <c r="C463" s="62" t="s">
        <v>1144</v>
      </c>
      <c r="D463" s="63" t="str">
        <f t="shared" si="11"/>
        <v>英語文4-汽車二乙</v>
      </c>
      <c r="E463" s="61" t="s">
        <v>1147</v>
      </c>
      <c r="F463" s="61" t="s">
        <v>1148</v>
      </c>
      <c r="G463" s="61">
        <v>48</v>
      </c>
      <c r="H463" s="61">
        <v>2</v>
      </c>
      <c r="I463" s="61" t="s">
        <v>11</v>
      </c>
      <c r="J463" s="60"/>
    </row>
    <row r="464" spans="1:10" hidden="1" outlineLevel="2">
      <c r="A464" s="60">
        <v>2</v>
      </c>
      <c r="B464" s="65" t="s">
        <v>1946</v>
      </c>
      <c r="C464" s="62" t="s">
        <v>1144</v>
      </c>
      <c r="D464" s="63" t="str">
        <f t="shared" si="11"/>
        <v>英語文4-汽車二乙</v>
      </c>
      <c r="E464" s="61" t="s">
        <v>1149</v>
      </c>
      <c r="F464" s="61" t="s">
        <v>1150</v>
      </c>
      <c r="G464" s="61">
        <v>43</v>
      </c>
      <c r="H464" s="61">
        <v>2</v>
      </c>
      <c r="I464" s="61" t="s">
        <v>11</v>
      </c>
      <c r="J464" s="60"/>
    </row>
    <row r="465" spans="1:10" hidden="1" outlineLevel="2">
      <c r="A465" s="60">
        <v>2</v>
      </c>
      <c r="B465" s="65" t="s">
        <v>1946</v>
      </c>
      <c r="C465" s="62" t="s">
        <v>1144</v>
      </c>
      <c r="D465" s="63" t="str">
        <f t="shared" si="11"/>
        <v>英語文4-汽車二乙</v>
      </c>
      <c r="E465" s="61" t="s">
        <v>1353</v>
      </c>
      <c r="F465" s="61" t="s">
        <v>1354</v>
      </c>
      <c r="G465" s="61">
        <v>54</v>
      </c>
      <c r="H465" s="61">
        <v>2</v>
      </c>
      <c r="I465" s="61" t="s">
        <v>11</v>
      </c>
      <c r="J465" s="60"/>
    </row>
    <row r="466" spans="1:10" hidden="1" outlineLevel="2">
      <c r="A466" s="60">
        <v>2</v>
      </c>
      <c r="B466" s="65" t="s">
        <v>1946</v>
      </c>
      <c r="C466" s="62" t="s">
        <v>1144</v>
      </c>
      <c r="D466" s="63" t="str">
        <f t="shared" si="11"/>
        <v>英語文4-汽車二乙</v>
      </c>
      <c r="E466" s="61" t="s">
        <v>1153</v>
      </c>
      <c r="F466" s="61" t="s">
        <v>1154</v>
      </c>
      <c r="G466" s="61">
        <v>51</v>
      </c>
      <c r="H466" s="61">
        <v>2</v>
      </c>
      <c r="I466" s="61" t="s">
        <v>11</v>
      </c>
      <c r="J466" s="60"/>
    </row>
    <row r="467" spans="1:10" hidden="1" outlineLevel="2">
      <c r="A467" s="60">
        <v>2</v>
      </c>
      <c r="B467" s="65" t="s">
        <v>1946</v>
      </c>
      <c r="C467" s="62" t="s">
        <v>1144</v>
      </c>
      <c r="D467" s="63" t="str">
        <f t="shared" si="11"/>
        <v>英語文4-汽車二乙</v>
      </c>
      <c r="E467" s="61" t="s">
        <v>1155</v>
      </c>
      <c r="F467" s="61" t="s">
        <v>1156</v>
      </c>
      <c r="G467" s="61">
        <v>48</v>
      </c>
      <c r="H467" s="61">
        <v>2</v>
      </c>
      <c r="I467" s="61" t="s">
        <v>11</v>
      </c>
      <c r="J467" s="60"/>
    </row>
    <row r="468" spans="1:10" hidden="1" outlineLevel="2">
      <c r="A468" s="60">
        <v>2</v>
      </c>
      <c r="B468" s="65" t="s">
        <v>1946</v>
      </c>
      <c r="C468" s="62" t="s">
        <v>1144</v>
      </c>
      <c r="D468" s="63" t="str">
        <f t="shared" si="11"/>
        <v>英語文4-汽車二乙</v>
      </c>
      <c r="E468" s="61" t="s">
        <v>1355</v>
      </c>
      <c r="F468" s="61" t="s">
        <v>1356</v>
      </c>
      <c r="G468" s="61">
        <v>44</v>
      </c>
      <c r="H468" s="61">
        <v>2</v>
      </c>
      <c r="I468" s="61" t="s">
        <v>11</v>
      </c>
      <c r="J468" s="60"/>
    </row>
    <row r="469" spans="1:10" hidden="1" outlineLevel="2">
      <c r="A469" s="60">
        <v>2</v>
      </c>
      <c r="B469" s="65" t="s">
        <v>1946</v>
      </c>
      <c r="C469" s="62" t="s">
        <v>1144</v>
      </c>
      <c r="D469" s="63" t="str">
        <f t="shared" si="11"/>
        <v>英語文4-汽車二乙</v>
      </c>
      <c r="E469" s="61" t="s">
        <v>1163</v>
      </c>
      <c r="F469" s="61" t="s">
        <v>1164</v>
      </c>
      <c r="G469" s="61">
        <v>48</v>
      </c>
      <c r="H469" s="61">
        <v>2</v>
      </c>
      <c r="I469" s="61" t="s">
        <v>11</v>
      </c>
      <c r="J469" s="60"/>
    </row>
    <row r="470" spans="1:10" hidden="1" outlineLevel="2">
      <c r="A470" s="60">
        <v>2</v>
      </c>
      <c r="B470" s="65" t="s">
        <v>1946</v>
      </c>
      <c r="C470" s="62" t="s">
        <v>1144</v>
      </c>
      <c r="D470" s="63" t="str">
        <f t="shared" si="11"/>
        <v>英語文4-汽車二乙</v>
      </c>
      <c r="E470" s="61" t="s">
        <v>1357</v>
      </c>
      <c r="F470" s="61" t="s">
        <v>1358</v>
      </c>
      <c r="G470" s="61">
        <v>57</v>
      </c>
      <c r="H470" s="61">
        <v>2</v>
      </c>
      <c r="I470" s="61" t="s">
        <v>11</v>
      </c>
      <c r="J470" s="60"/>
    </row>
    <row r="471" spans="1:10" hidden="1" outlineLevel="2">
      <c r="A471" s="60">
        <v>2</v>
      </c>
      <c r="B471" s="65" t="s">
        <v>1946</v>
      </c>
      <c r="C471" s="62" t="s">
        <v>1144</v>
      </c>
      <c r="D471" s="63" t="str">
        <f t="shared" si="11"/>
        <v>英語文4-汽車二乙</v>
      </c>
      <c r="E471" s="61" t="s">
        <v>1359</v>
      </c>
      <c r="F471" s="61" t="s">
        <v>1360</v>
      </c>
      <c r="G471" s="61">
        <v>45</v>
      </c>
      <c r="H471" s="61">
        <v>2</v>
      </c>
      <c r="I471" s="61" t="s">
        <v>11</v>
      </c>
      <c r="J471" s="60"/>
    </row>
    <row r="472" spans="1:10" hidden="1" outlineLevel="2">
      <c r="A472" s="60">
        <v>2</v>
      </c>
      <c r="B472" s="65" t="s">
        <v>1946</v>
      </c>
      <c r="C472" s="62" t="s">
        <v>1144</v>
      </c>
      <c r="D472" s="63" t="str">
        <f t="shared" si="11"/>
        <v>英語文4-汽車二乙</v>
      </c>
      <c r="E472" s="61" t="s">
        <v>1361</v>
      </c>
      <c r="F472" s="61" t="s">
        <v>1362</v>
      </c>
      <c r="G472" s="61">
        <v>55</v>
      </c>
      <c r="H472" s="61">
        <v>2</v>
      </c>
      <c r="I472" s="61" t="s">
        <v>11</v>
      </c>
      <c r="J472" s="60"/>
    </row>
    <row r="473" spans="1:10" hidden="1" outlineLevel="2">
      <c r="A473" s="60">
        <v>2</v>
      </c>
      <c r="B473" s="65" t="s">
        <v>1946</v>
      </c>
      <c r="C473" s="62" t="s">
        <v>1144</v>
      </c>
      <c r="D473" s="63" t="str">
        <f t="shared" si="11"/>
        <v>英語文4-汽車二乙</v>
      </c>
      <c r="E473" s="61" t="s">
        <v>1169</v>
      </c>
      <c r="F473" s="61" t="s">
        <v>1170</v>
      </c>
      <c r="G473" s="61">
        <v>48</v>
      </c>
      <c r="H473" s="61">
        <v>2</v>
      </c>
      <c r="I473" s="61" t="s">
        <v>11</v>
      </c>
      <c r="J473" s="60"/>
    </row>
    <row r="474" spans="1:10" hidden="1" outlineLevel="2">
      <c r="A474" s="60">
        <v>2</v>
      </c>
      <c r="B474" s="65" t="s">
        <v>1946</v>
      </c>
      <c r="C474" s="62" t="s">
        <v>1144</v>
      </c>
      <c r="D474" s="63" t="str">
        <f t="shared" si="11"/>
        <v>英語文4-汽車二乙</v>
      </c>
      <c r="E474" s="61" t="s">
        <v>1363</v>
      </c>
      <c r="F474" s="61" t="s">
        <v>1364</v>
      </c>
      <c r="G474" s="61">
        <v>52</v>
      </c>
      <c r="H474" s="61">
        <v>2</v>
      </c>
      <c r="I474" s="61" t="s">
        <v>11</v>
      </c>
      <c r="J474" s="60"/>
    </row>
    <row r="475" spans="1:10" hidden="1" outlineLevel="2">
      <c r="A475" s="60">
        <v>2</v>
      </c>
      <c r="B475" s="65" t="s">
        <v>1946</v>
      </c>
      <c r="C475" s="62" t="s">
        <v>1144</v>
      </c>
      <c r="D475" s="63" t="str">
        <f t="shared" si="11"/>
        <v>英語文4-汽車二乙</v>
      </c>
      <c r="E475" s="61" t="s">
        <v>1365</v>
      </c>
      <c r="F475" s="61" t="s">
        <v>1366</v>
      </c>
      <c r="G475" s="61">
        <v>43</v>
      </c>
      <c r="H475" s="61">
        <v>2</v>
      </c>
      <c r="I475" s="61" t="s">
        <v>11</v>
      </c>
      <c r="J475" s="60"/>
    </row>
    <row r="476" spans="1:10" outlineLevel="1" collapsed="1">
      <c r="A476" s="60"/>
      <c r="B476" s="65"/>
      <c r="C476" s="62"/>
      <c r="D476" s="64" t="s">
        <v>2136</v>
      </c>
      <c r="E476" s="61">
        <f>SUBTOTAL(3,E461:E475)</f>
        <v>15</v>
      </c>
      <c r="F476" s="61"/>
      <c r="G476" s="61"/>
      <c r="H476" s="61"/>
      <c r="I476" s="61">
        <f>SUBTOTAL(3,I461:I475)</f>
        <v>15</v>
      </c>
      <c r="J476" s="60"/>
    </row>
    <row r="477" spans="1:10" hidden="1" outlineLevel="2">
      <c r="A477" s="60">
        <v>2</v>
      </c>
      <c r="B477" s="65" t="s">
        <v>1946</v>
      </c>
      <c r="C477" s="62" t="s">
        <v>1035</v>
      </c>
      <c r="D477" s="63" t="str">
        <f>B477&amp;"-"&amp;C477</f>
        <v>英語文4-汽車二甲</v>
      </c>
      <c r="E477" s="61" t="s">
        <v>1291</v>
      </c>
      <c r="F477" s="61" t="s">
        <v>1292</v>
      </c>
      <c r="G477" s="61">
        <v>57</v>
      </c>
      <c r="H477" s="61">
        <v>2</v>
      </c>
      <c r="I477" s="61" t="s">
        <v>11</v>
      </c>
      <c r="J477" s="60"/>
    </row>
    <row r="478" spans="1:10" hidden="1" outlineLevel="2">
      <c r="A478" s="60">
        <v>2</v>
      </c>
      <c r="B478" s="65" t="s">
        <v>1946</v>
      </c>
      <c r="C478" s="62" t="s">
        <v>1035</v>
      </c>
      <c r="D478" s="63" t="str">
        <f>B478&amp;"-"&amp;C478</f>
        <v>英語文4-汽車二甲</v>
      </c>
      <c r="E478" s="61" t="s">
        <v>1042</v>
      </c>
      <c r="F478" s="61" t="s">
        <v>1043</v>
      </c>
      <c r="G478" s="61">
        <v>52</v>
      </c>
      <c r="H478" s="61">
        <v>2</v>
      </c>
      <c r="I478" s="61" t="s">
        <v>11</v>
      </c>
      <c r="J478" s="60"/>
    </row>
    <row r="479" spans="1:10" hidden="1" outlineLevel="2">
      <c r="A479" s="60">
        <v>2</v>
      </c>
      <c r="B479" s="65" t="s">
        <v>1946</v>
      </c>
      <c r="C479" s="62" t="s">
        <v>1035</v>
      </c>
      <c r="D479" s="63" t="str">
        <f>B479&amp;"-"&amp;C479</f>
        <v>英語文4-汽車二甲</v>
      </c>
      <c r="E479" s="61" t="s">
        <v>1293</v>
      </c>
      <c r="F479" s="61" t="s">
        <v>1294</v>
      </c>
      <c r="G479" s="61">
        <v>46</v>
      </c>
      <c r="H479" s="61">
        <v>2</v>
      </c>
      <c r="I479" s="61" t="s">
        <v>11</v>
      </c>
      <c r="J479" s="60"/>
    </row>
    <row r="480" spans="1:10" outlineLevel="1" collapsed="1">
      <c r="A480" s="60"/>
      <c r="B480" s="65"/>
      <c r="C480" s="62"/>
      <c r="D480" s="64" t="s">
        <v>2137</v>
      </c>
      <c r="E480" s="61">
        <f>SUBTOTAL(3,E477:E479)</f>
        <v>3</v>
      </c>
      <c r="F480" s="61"/>
      <c r="G480" s="61"/>
      <c r="H480" s="61"/>
      <c r="I480" s="61">
        <f>SUBTOTAL(3,I477:I479)</f>
        <v>3</v>
      </c>
      <c r="J480" s="60"/>
    </row>
    <row r="481" spans="1:10" hidden="1" outlineLevel="2">
      <c r="A481" s="60">
        <v>2</v>
      </c>
      <c r="B481" s="65" t="s">
        <v>1946</v>
      </c>
      <c r="C481" s="62" t="s">
        <v>1083</v>
      </c>
      <c r="D481" s="63" t="str">
        <f>B481&amp;"-"&amp;C481</f>
        <v>英語文4-資訊二甲</v>
      </c>
      <c r="E481" s="61" t="s">
        <v>1399</v>
      </c>
      <c r="F481" s="61" t="s">
        <v>954</v>
      </c>
      <c r="G481" s="61">
        <v>56</v>
      </c>
      <c r="H481" s="61">
        <v>2</v>
      </c>
      <c r="I481" s="61" t="s">
        <v>11</v>
      </c>
      <c r="J481" s="60"/>
    </row>
    <row r="482" spans="1:10" hidden="1" outlineLevel="2">
      <c r="A482" s="60">
        <v>2</v>
      </c>
      <c r="B482" s="65" t="s">
        <v>1946</v>
      </c>
      <c r="C482" s="62" t="s">
        <v>1083</v>
      </c>
      <c r="D482" s="63" t="str">
        <f>B482&amp;"-"&amp;C482</f>
        <v>英語文4-資訊二甲</v>
      </c>
      <c r="E482" s="61" t="s">
        <v>1400</v>
      </c>
      <c r="F482" s="61" t="s">
        <v>1401</v>
      </c>
      <c r="G482" s="61">
        <v>46</v>
      </c>
      <c r="H482" s="61">
        <v>2</v>
      </c>
      <c r="I482" s="61" t="s">
        <v>11</v>
      </c>
      <c r="J482" s="60"/>
    </row>
    <row r="483" spans="1:10" hidden="1" outlineLevel="2">
      <c r="A483" s="60">
        <v>2</v>
      </c>
      <c r="B483" s="65" t="s">
        <v>1946</v>
      </c>
      <c r="C483" s="62" t="s">
        <v>1083</v>
      </c>
      <c r="D483" s="63" t="str">
        <f>B483&amp;"-"&amp;C483</f>
        <v>英語文4-資訊二甲</v>
      </c>
      <c r="E483" s="61" t="s">
        <v>1402</v>
      </c>
      <c r="F483" s="61" t="s">
        <v>1403</v>
      </c>
      <c r="G483" s="61">
        <v>53</v>
      </c>
      <c r="H483" s="61">
        <v>2</v>
      </c>
      <c r="I483" s="61" t="s">
        <v>11</v>
      </c>
      <c r="J483" s="60"/>
    </row>
    <row r="484" spans="1:10" outlineLevel="1" collapsed="1">
      <c r="A484" s="60"/>
      <c r="B484" s="65"/>
      <c r="C484" s="62"/>
      <c r="D484" s="64" t="s">
        <v>2138</v>
      </c>
      <c r="E484" s="61">
        <f>SUBTOTAL(3,E481:E483)</f>
        <v>3</v>
      </c>
      <c r="F484" s="61"/>
      <c r="G484" s="61"/>
      <c r="H484" s="61"/>
      <c r="I484" s="61">
        <f>SUBTOTAL(3,I481:I483)</f>
        <v>3</v>
      </c>
      <c r="J484" s="60"/>
    </row>
    <row r="485" spans="1:10" hidden="1" outlineLevel="2">
      <c r="A485" s="60">
        <v>2</v>
      </c>
      <c r="B485" s="65" t="s">
        <v>1946</v>
      </c>
      <c r="C485" s="62" t="s">
        <v>1428</v>
      </c>
      <c r="D485" s="63" t="str">
        <f>B485&amp;"-"&amp;C485</f>
        <v>英語文4-資處二乙</v>
      </c>
      <c r="E485" s="61" t="s">
        <v>1429</v>
      </c>
      <c r="F485" s="61" t="s">
        <v>1430</v>
      </c>
      <c r="G485" s="61">
        <v>45</v>
      </c>
      <c r="H485" s="61">
        <v>2</v>
      </c>
      <c r="I485" s="61" t="s">
        <v>11</v>
      </c>
      <c r="J485" s="60"/>
    </row>
    <row r="486" spans="1:10" hidden="1" outlineLevel="2">
      <c r="A486" s="60">
        <v>2</v>
      </c>
      <c r="B486" s="65" t="s">
        <v>1946</v>
      </c>
      <c r="C486" s="62" t="s">
        <v>1428</v>
      </c>
      <c r="D486" s="63" t="str">
        <f>B486&amp;"-"&amp;C486</f>
        <v>英語文4-資處二乙</v>
      </c>
      <c r="E486" s="61" t="s">
        <v>1431</v>
      </c>
      <c r="F486" s="61" t="s">
        <v>1432</v>
      </c>
      <c r="G486" s="61">
        <v>48</v>
      </c>
      <c r="H486" s="61">
        <v>2</v>
      </c>
      <c r="I486" s="61" t="s">
        <v>11</v>
      </c>
      <c r="J486" s="60"/>
    </row>
    <row r="487" spans="1:10" outlineLevel="1" collapsed="1">
      <c r="A487" s="60"/>
      <c r="B487" s="65"/>
      <c r="C487" s="62"/>
      <c r="D487" s="64" t="s">
        <v>2139</v>
      </c>
      <c r="E487" s="61">
        <f>SUBTOTAL(3,E485:E486)</f>
        <v>2</v>
      </c>
      <c r="F487" s="61"/>
      <c r="G487" s="61"/>
      <c r="H487" s="61"/>
      <c r="I487" s="61">
        <f>SUBTOTAL(3,I485:I486)</f>
        <v>2</v>
      </c>
      <c r="J487" s="60"/>
    </row>
    <row r="488" spans="1:10" hidden="1" outlineLevel="2">
      <c r="A488" s="60">
        <v>2</v>
      </c>
      <c r="B488" s="65" t="s">
        <v>1946</v>
      </c>
      <c r="C488" s="62" t="s">
        <v>1135</v>
      </c>
      <c r="D488" s="63" t="str">
        <f t="shared" ref="D488:D494" si="12">B488&amp;"-"&amp;C488</f>
        <v>英語文4-資處二甲</v>
      </c>
      <c r="E488" s="61" t="s">
        <v>1138</v>
      </c>
      <c r="F488" s="61" t="s">
        <v>1139</v>
      </c>
      <c r="G488" s="61">
        <v>42</v>
      </c>
      <c r="H488" s="61">
        <v>2</v>
      </c>
      <c r="I488" s="61" t="s">
        <v>11</v>
      </c>
      <c r="J488" s="60"/>
    </row>
    <row r="489" spans="1:10" hidden="1" outlineLevel="2">
      <c r="A489" s="60">
        <v>2</v>
      </c>
      <c r="B489" s="65" t="s">
        <v>1946</v>
      </c>
      <c r="C489" s="62" t="s">
        <v>1135</v>
      </c>
      <c r="D489" s="63" t="str">
        <f t="shared" si="12"/>
        <v>英語文4-資處二甲</v>
      </c>
      <c r="E489" s="61" t="s">
        <v>1339</v>
      </c>
      <c r="F489" s="61" t="s">
        <v>1340</v>
      </c>
      <c r="G489" s="61">
        <v>55</v>
      </c>
      <c r="H489" s="61">
        <v>2</v>
      </c>
      <c r="I489" s="61" t="s">
        <v>11</v>
      </c>
      <c r="J489" s="60"/>
    </row>
    <row r="490" spans="1:10" hidden="1" outlineLevel="2">
      <c r="A490" s="60">
        <v>2</v>
      </c>
      <c r="B490" s="65" t="s">
        <v>1946</v>
      </c>
      <c r="C490" s="62" t="s">
        <v>1135</v>
      </c>
      <c r="D490" s="63" t="str">
        <f t="shared" si="12"/>
        <v>英語文4-資處二甲</v>
      </c>
      <c r="E490" s="61" t="s">
        <v>1341</v>
      </c>
      <c r="F490" s="61" t="s">
        <v>1342</v>
      </c>
      <c r="G490" s="61">
        <v>49</v>
      </c>
      <c r="H490" s="61">
        <v>2</v>
      </c>
      <c r="I490" s="61" t="s">
        <v>11</v>
      </c>
      <c r="J490" s="60"/>
    </row>
    <row r="491" spans="1:10" hidden="1" outlineLevel="2">
      <c r="A491" s="60">
        <v>2</v>
      </c>
      <c r="B491" s="65" t="s">
        <v>1946</v>
      </c>
      <c r="C491" s="62" t="s">
        <v>1135</v>
      </c>
      <c r="D491" s="63" t="str">
        <f t="shared" si="12"/>
        <v>英語文4-資處二甲</v>
      </c>
      <c r="E491" s="61" t="s">
        <v>1343</v>
      </c>
      <c r="F491" s="61" t="s">
        <v>1344</v>
      </c>
      <c r="G491" s="61">
        <v>52</v>
      </c>
      <c r="H491" s="61">
        <v>2</v>
      </c>
      <c r="I491" s="61" t="s">
        <v>11</v>
      </c>
      <c r="J491" s="60"/>
    </row>
    <row r="492" spans="1:10" hidden="1" outlineLevel="2">
      <c r="A492" s="60">
        <v>2</v>
      </c>
      <c r="B492" s="65" t="s">
        <v>1946</v>
      </c>
      <c r="C492" s="62" t="s">
        <v>1135</v>
      </c>
      <c r="D492" s="63" t="str">
        <f t="shared" si="12"/>
        <v>英語文4-資處二甲</v>
      </c>
      <c r="E492" s="61" t="s">
        <v>1345</v>
      </c>
      <c r="F492" s="61" t="s">
        <v>1346</v>
      </c>
      <c r="G492" s="61">
        <v>43</v>
      </c>
      <c r="H492" s="61">
        <v>2</v>
      </c>
      <c r="I492" s="61" t="s">
        <v>11</v>
      </c>
      <c r="J492" s="60"/>
    </row>
    <row r="493" spans="1:10" hidden="1" outlineLevel="2">
      <c r="A493" s="60">
        <v>2</v>
      </c>
      <c r="B493" s="65" t="s">
        <v>1946</v>
      </c>
      <c r="C493" s="62" t="s">
        <v>1135</v>
      </c>
      <c r="D493" s="63" t="str">
        <f t="shared" si="12"/>
        <v>英語文4-資處二甲</v>
      </c>
      <c r="E493" s="61" t="s">
        <v>1347</v>
      </c>
      <c r="F493" s="61" t="s">
        <v>1348</v>
      </c>
      <c r="G493" s="61">
        <v>56</v>
      </c>
      <c r="H493" s="61">
        <v>2</v>
      </c>
      <c r="I493" s="61" t="s">
        <v>11</v>
      </c>
      <c r="J493" s="60"/>
    </row>
    <row r="494" spans="1:10" hidden="1" outlineLevel="2">
      <c r="A494" s="60">
        <v>2</v>
      </c>
      <c r="B494" s="65" t="s">
        <v>1946</v>
      </c>
      <c r="C494" s="62" t="s">
        <v>1135</v>
      </c>
      <c r="D494" s="63" t="str">
        <f t="shared" si="12"/>
        <v>英語文4-資處二甲</v>
      </c>
      <c r="E494" s="61" t="s">
        <v>1349</v>
      </c>
      <c r="F494" s="61" t="s">
        <v>1350</v>
      </c>
      <c r="G494" s="61">
        <v>51</v>
      </c>
      <c r="H494" s="61">
        <v>2</v>
      </c>
      <c r="I494" s="61" t="s">
        <v>11</v>
      </c>
      <c r="J494" s="60"/>
    </row>
    <row r="495" spans="1:10" outlineLevel="1" collapsed="1">
      <c r="A495" s="60"/>
      <c r="B495" s="65"/>
      <c r="C495" s="62"/>
      <c r="D495" s="64" t="s">
        <v>2140</v>
      </c>
      <c r="E495" s="61">
        <f>SUBTOTAL(3,E488:E494)</f>
        <v>7</v>
      </c>
      <c r="F495" s="61"/>
      <c r="G495" s="61"/>
      <c r="H495" s="61"/>
      <c r="I495" s="61">
        <f>SUBTOTAL(3,I488:I494)</f>
        <v>7</v>
      </c>
      <c r="J495" s="60">
        <f>E495+E487+E484+E480+E476+E460</f>
        <v>41</v>
      </c>
    </row>
    <row r="496" spans="1:10" hidden="1" outlineLevel="2">
      <c r="A496" s="60">
        <v>2</v>
      </c>
      <c r="B496" s="65" t="s">
        <v>1946</v>
      </c>
      <c r="C496" s="62" t="s">
        <v>1200</v>
      </c>
      <c r="D496" s="63" t="str">
        <f t="shared" ref="D496:D504" si="13">B496&amp;"-"&amp;C496</f>
        <v>英語文4-電機二乙</v>
      </c>
      <c r="E496" s="61" t="s">
        <v>1295</v>
      </c>
      <c r="F496" s="61" t="s">
        <v>1296</v>
      </c>
      <c r="G496" s="61">
        <v>47</v>
      </c>
      <c r="H496" s="61">
        <v>2</v>
      </c>
      <c r="I496" s="61" t="s">
        <v>11</v>
      </c>
      <c r="J496" s="60"/>
    </row>
    <row r="497" spans="1:10" hidden="1" outlineLevel="2">
      <c r="A497" s="60">
        <v>2</v>
      </c>
      <c r="B497" s="65" t="s">
        <v>1946</v>
      </c>
      <c r="C497" s="62" t="s">
        <v>1200</v>
      </c>
      <c r="D497" s="63" t="str">
        <f t="shared" si="13"/>
        <v>英語文4-電機二乙</v>
      </c>
      <c r="E497" s="61" t="s">
        <v>1297</v>
      </c>
      <c r="F497" s="61" t="s">
        <v>1298</v>
      </c>
      <c r="G497" s="61">
        <v>51</v>
      </c>
      <c r="H497" s="61">
        <v>2</v>
      </c>
      <c r="I497" s="61" t="s">
        <v>11</v>
      </c>
      <c r="J497" s="60"/>
    </row>
    <row r="498" spans="1:10" hidden="1" outlineLevel="2">
      <c r="A498" s="60">
        <v>2</v>
      </c>
      <c r="B498" s="65" t="s">
        <v>1946</v>
      </c>
      <c r="C498" s="62" t="s">
        <v>1200</v>
      </c>
      <c r="D498" s="63" t="str">
        <f t="shared" si="13"/>
        <v>英語文4-電機二乙</v>
      </c>
      <c r="E498" s="61" t="s">
        <v>1201</v>
      </c>
      <c r="F498" s="61" t="s">
        <v>1202</v>
      </c>
      <c r="G498" s="61">
        <v>46</v>
      </c>
      <c r="H498" s="61">
        <v>2</v>
      </c>
      <c r="I498" s="61" t="s">
        <v>11</v>
      </c>
      <c r="J498" s="60"/>
    </row>
    <row r="499" spans="1:10" hidden="1" outlineLevel="2">
      <c r="A499" s="60">
        <v>2</v>
      </c>
      <c r="B499" s="65" t="s">
        <v>1946</v>
      </c>
      <c r="C499" s="62" t="s">
        <v>1200</v>
      </c>
      <c r="D499" s="63" t="str">
        <f t="shared" si="13"/>
        <v>英語文4-電機二乙</v>
      </c>
      <c r="E499" s="61" t="s">
        <v>1203</v>
      </c>
      <c r="F499" s="61" t="s">
        <v>1204</v>
      </c>
      <c r="G499" s="61">
        <v>55</v>
      </c>
      <c r="H499" s="61">
        <v>2</v>
      </c>
      <c r="I499" s="61" t="s">
        <v>11</v>
      </c>
      <c r="J499" s="60"/>
    </row>
    <row r="500" spans="1:10" hidden="1" outlineLevel="2">
      <c r="A500" s="60">
        <v>2</v>
      </c>
      <c r="B500" s="65" t="s">
        <v>1946</v>
      </c>
      <c r="C500" s="62" t="s">
        <v>1200</v>
      </c>
      <c r="D500" s="63" t="str">
        <f t="shared" si="13"/>
        <v>英語文4-電機二乙</v>
      </c>
      <c r="E500" s="61" t="s">
        <v>1205</v>
      </c>
      <c r="F500" s="61" t="s">
        <v>1206</v>
      </c>
      <c r="G500" s="61">
        <v>40</v>
      </c>
      <c r="H500" s="61">
        <v>2</v>
      </c>
      <c r="I500" s="61" t="s">
        <v>11</v>
      </c>
      <c r="J500" s="60"/>
    </row>
    <row r="501" spans="1:10" hidden="1" outlineLevel="2">
      <c r="A501" s="60">
        <v>2</v>
      </c>
      <c r="B501" s="65" t="s">
        <v>1946</v>
      </c>
      <c r="C501" s="62" t="s">
        <v>1200</v>
      </c>
      <c r="D501" s="63" t="str">
        <f t="shared" si="13"/>
        <v>英語文4-電機二乙</v>
      </c>
      <c r="E501" s="61" t="s">
        <v>1207</v>
      </c>
      <c r="F501" s="61" t="s">
        <v>1208</v>
      </c>
      <c r="G501" s="61">
        <v>43</v>
      </c>
      <c r="H501" s="61">
        <v>2</v>
      </c>
      <c r="I501" s="61" t="s">
        <v>11</v>
      </c>
      <c r="J501" s="60"/>
    </row>
    <row r="502" spans="1:10" hidden="1" outlineLevel="2">
      <c r="A502" s="60">
        <v>2</v>
      </c>
      <c r="B502" s="65" t="s">
        <v>1946</v>
      </c>
      <c r="C502" s="62" t="s">
        <v>1200</v>
      </c>
      <c r="D502" s="63" t="str">
        <f t="shared" si="13"/>
        <v>英語文4-電機二乙</v>
      </c>
      <c r="E502" s="61" t="s">
        <v>1299</v>
      </c>
      <c r="F502" s="61" t="s">
        <v>1300</v>
      </c>
      <c r="G502" s="61">
        <v>40</v>
      </c>
      <c r="H502" s="61">
        <v>2</v>
      </c>
      <c r="I502" s="61" t="s">
        <v>11</v>
      </c>
      <c r="J502" s="60"/>
    </row>
    <row r="503" spans="1:10" hidden="1" outlineLevel="2">
      <c r="A503" s="60">
        <v>2</v>
      </c>
      <c r="B503" s="65" t="s">
        <v>1946</v>
      </c>
      <c r="C503" s="62" t="s">
        <v>1200</v>
      </c>
      <c r="D503" s="63" t="str">
        <f t="shared" si="13"/>
        <v>英語文4-電機二乙</v>
      </c>
      <c r="E503" s="61" t="s">
        <v>1211</v>
      </c>
      <c r="F503" s="61" t="s">
        <v>1212</v>
      </c>
      <c r="G503" s="61">
        <v>47</v>
      </c>
      <c r="H503" s="61">
        <v>2</v>
      </c>
      <c r="I503" s="61" t="s">
        <v>11</v>
      </c>
      <c r="J503" s="60"/>
    </row>
    <row r="504" spans="1:10" hidden="1" outlineLevel="2">
      <c r="A504" s="60">
        <v>2</v>
      </c>
      <c r="B504" s="65" t="s">
        <v>1946</v>
      </c>
      <c r="C504" s="62" t="s">
        <v>1200</v>
      </c>
      <c r="D504" s="63" t="str">
        <f t="shared" si="13"/>
        <v>英語文4-電機二乙</v>
      </c>
      <c r="E504" s="61" t="s">
        <v>1301</v>
      </c>
      <c r="F504" s="61" t="s">
        <v>1302</v>
      </c>
      <c r="G504" s="61">
        <v>41</v>
      </c>
      <c r="H504" s="61">
        <v>2</v>
      </c>
      <c r="I504" s="61" t="s">
        <v>11</v>
      </c>
      <c r="J504" s="60"/>
    </row>
    <row r="505" spans="1:10" outlineLevel="1" collapsed="1">
      <c r="A505" s="60"/>
      <c r="B505" s="65"/>
      <c r="C505" s="62"/>
      <c r="D505" s="64" t="s">
        <v>2141</v>
      </c>
      <c r="E505" s="61">
        <f>SUBTOTAL(3,E496:E504)</f>
        <v>9</v>
      </c>
      <c r="F505" s="61"/>
      <c r="G505" s="61"/>
      <c r="H505" s="61"/>
      <c r="I505" s="61">
        <f>SUBTOTAL(3,I496:I504)</f>
        <v>9</v>
      </c>
      <c r="J505" s="60"/>
    </row>
    <row r="506" spans="1:10" hidden="1" outlineLevel="2">
      <c r="A506" s="60">
        <v>2</v>
      </c>
      <c r="B506" s="65" t="s">
        <v>1946</v>
      </c>
      <c r="C506" s="62" t="s">
        <v>1184</v>
      </c>
      <c r="D506" s="63" t="str">
        <f t="shared" ref="D506:D512" si="14">B506&amp;"-"&amp;C506</f>
        <v>英語文4-電機二丙</v>
      </c>
      <c r="E506" s="61" t="s">
        <v>1387</v>
      </c>
      <c r="F506" s="61" t="s">
        <v>1388</v>
      </c>
      <c r="G506" s="61">
        <v>57</v>
      </c>
      <c r="H506" s="61">
        <v>2</v>
      </c>
      <c r="I506" s="61" t="s">
        <v>11</v>
      </c>
      <c r="J506" s="60"/>
    </row>
    <row r="507" spans="1:10" hidden="1" outlineLevel="2">
      <c r="A507" s="60">
        <v>2</v>
      </c>
      <c r="B507" s="65" t="s">
        <v>1946</v>
      </c>
      <c r="C507" s="62" t="s">
        <v>1184</v>
      </c>
      <c r="D507" s="63" t="str">
        <f t="shared" si="14"/>
        <v>英語文4-電機二丙</v>
      </c>
      <c r="E507" s="61" t="s">
        <v>1389</v>
      </c>
      <c r="F507" s="61" t="s">
        <v>1390</v>
      </c>
      <c r="G507" s="61">
        <v>43</v>
      </c>
      <c r="H507" s="61">
        <v>2</v>
      </c>
      <c r="I507" s="61" t="s">
        <v>11</v>
      </c>
      <c r="J507" s="60"/>
    </row>
    <row r="508" spans="1:10" hidden="1" outlineLevel="2">
      <c r="A508" s="60">
        <v>2</v>
      </c>
      <c r="B508" s="65" t="s">
        <v>1946</v>
      </c>
      <c r="C508" s="62" t="s">
        <v>1184</v>
      </c>
      <c r="D508" s="63" t="str">
        <f t="shared" si="14"/>
        <v>英語文4-電機二丙</v>
      </c>
      <c r="E508" s="61" t="s">
        <v>1187</v>
      </c>
      <c r="F508" s="61" t="s">
        <v>1188</v>
      </c>
      <c r="G508" s="61">
        <v>57</v>
      </c>
      <c r="H508" s="61">
        <v>2</v>
      </c>
      <c r="I508" s="61" t="s">
        <v>11</v>
      </c>
      <c r="J508" s="60"/>
    </row>
    <row r="509" spans="1:10" hidden="1" outlineLevel="2">
      <c r="A509" s="60">
        <v>2</v>
      </c>
      <c r="B509" s="65" t="s">
        <v>1946</v>
      </c>
      <c r="C509" s="62" t="s">
        <v>1184</v>
      </c>
      <c r="D509" s="63" t="str">
        <f t="shared" si="14"/>
        <v>英語文4-電機二丙</v>
      </c>
      <c r="E509" s="61" t="s">
        <v>1391</v>
      </c>
      <c r="F509" s="61" t="s">
        <v>1392</v>
      </c>
      <c r="G509" s="61">
        <v>40</v>
      </c>
      <c r="H509" s="61">
        <v>2</v>
      </c>
      <c r="I509" s="61" t="s">
        <v>11</v>
      </c>
      <c r="J509" s="60"/>
    </row>
    <row r="510" spans="1:10" hidden="1" outlineLevel="2">
      <c r="A510" s="60">
        <v>2</v>
      </c>
      <c r="B510" s="65" t="s">
        <v>1946</v>
      </c>
      <c r="C510" s="62" t="s">
        <v>1184</v>
      </c>
      <c r="D510" s="63" t="str">
        <f t="shared" si="14"/>
        <v>英語文4-電機二丙</v>
      </c>
      <c r="E510" s="61" t="s">
        <v>1393</v>
      </c>
      <c r="F510" s="61" t="s">
        <v>1394</v>
      </c>
      <c r="G510" s="61">
        <v>55</v>
      </c>
      <c r="H510" s="61">
        <v>2</v>
      </c>
      <c r="I510" s="61" t="s">
        <v>11</v>
      </c>
      <c r="J510" s="60"/>
    </row>
    <row r="511" spans="1:10" hidden="1" outlineLevel="2">
      <c r="A511" s="60">
        <v>2</v>
      </c>
      <c r="B511" s="65" t="s">
        <v>1946</v>
      </c>
      <c r="C511" s="62" t="s">
        <v>1184</v>
      </c>
      <c r="D511" s="63" t="str">
        <f t="shared" si="14"/>
        <v>英語文4-電機二丙</v>
      </c>
      <c r="E511" s="61" t="s">
        <v>1395</v>
      </c>
      <c r="F511" s="61" t="s">
        <v>1396</v>
      </c>
      <c r="G511" s="61">
        <v>46</v>
      </c>
      <c r="H511" s="61">
        <v>2</v>
      </c>
      <c r="I511" s="61" t="s">
        <v>11</v>
      </c>
      <c r="J511" s="60"/>
    </row>
    <row r="512" spans="1:10" hidden="1" outlineLevel="2">
      <c r="A512" s="60">
        <v>2</v>
      </c>
      <c r="B512" s="65" t="s">
        <v>1946</v>
      </c>
      <c r="C512" s="62" t="s">
        <v>1184</v>
      </c>
      <c r="D512" s="63" t="str">
        <f t="shared" si="14"/>
        <v>英語文4-電機二丙</v>
      </c>
      <c r="E512" s="61" t="s">
        <v>1397</v>
      </c>
      <c r="F512" s="61" t="s">
        <v>1398</v>
      </c>
      <c r="G512" s="61">
        <v>48</v>
      </c>
      <c r="H512" s="61">
        <v>2</v>
      </c>
      <c r="I512" s="61" t="s">
        <v>11</v>
      </c>
      <c r="J512" s="60"/>
    </row>
    <row r="513" spans="1:10" outlineLevel="1" collapsed="1">
      <c r="A513" s="60"/>
      <c r="B513" s="65"/>
      <c r="C513" s="62"/>
      <c r="D513" s="64" t="s">
        <v>2142</v>
      </c>
      <c r="E513" s="61">
        <f>SUBTOTAL(3,E506:E512)</f>
        <v>7</v>
      </c>
      <c r="F513" s="61"/>
      <c r="G513" s="61"/>
      <c r="H513" s="61"/>
      <c r="I513" s="61">
        <f>SUBTOTAL(3,I506:I512)</f>
        <v>7</v>
      </c>
      <c r="J513" s="60"/>
    </row>
    <row r="514" spans="1:10" hidden="1" outlineLevel="2">
      <c r="A514" s="60">
        <v>2</v>
      </c>
      <c r="B514" s="65" t="s">
        <v>1946</v>
      </c>
      <c r="C514" s="62" t="s">
        <v>1054</v>
      </c>
      <c r="D514" s="63" t="str">
        <f t="shared" ref="D514:D522" si="15">B514&amp;"-"&amp;C514</f>
        <v>英語文4-電機二甲</v>
      </c>
      <c r="E514" s="61" t="s">
        <v>1369</v>
      </c>
      <c r="F514" s="61" t="s">
        <v>1370</v>
      </c>
      <c r="G514" s="61">
        <v>40</v>
      </c>
      <c r="H514" s="61">
        <v>2</v>
      </c>
      <c r="I514" s="61" t="s">
        <v>11</v>
      </c>
      <c r="J514" s="60"/>
    </row>
    <row r="515" spans="1:10" hidden="1" outlineLevel="2">
      <c r="A515" s="60">
        <v>2</v>
      </c>
      <c r="B515" s="65" t="s">
        <v>1946</v>
      </c>
      <c r="C515" s="62" t="s">
        <v>1054</v>
      </c>
      <c r="D515" s="63" t="str">
        <f t="shared" si="15"/>
        <v>英語文4-電機二甲</v>
      </c>
      <c r="E515" s="61" t="s">
        <v>1371</v>
      </c>
      <c r="F515" s="61" t="s">
        <v>1372</v>
      </c>
      <c r="G515" s="61">
        <v>40</v>
      </c>
      <c r="H515" s="61">
        <v>2</v>
      </c>
      <c r="I515" s="61" t="s">
        <v>11</v>
      </c>
      <c r="J515" s="60"/>
    </row>
    <row r="516" spans="1:10" hidden="1" outlineLevel="2">
      <c r="A516" s="60">
        <v>2</v>
      </c>
      <c r="B516" s="65" t="s">
        <v>1946</v>
      </c>
      <c r="C516" s="62" t="s">
        <v>1054</v>
      </c>
      <c r="D516" s="63" t="str">
        <f t="shared" si="15"/>
        <v>英語文4-電機二甲</v>
      </c>
      <c r="E516" s="61" t="s">
        <v>1373</v>
      </c>
      <c r="F516" s="61" t="s">
        <v>1374</v>
      </c>
      <c r="G516" s="61">
        <v>43</v>
      </c>
      <c r="H516" s="61">
        <v>2</v>
      </c>
      <c r="I516" s="61" t="s">
        <v>11</v>
      </c>
      <c r="J516" s="60"/>
    </row>
    <row r="517" spans="1:10" hidden="1" outlineLevel="2">
      <c r="A517" s="60">
        <v>2</v>
      </c>
      <c r="B517" s="65" t="s">
        <v>1946</v>
      </c>
      <c r="C517" s="62" t="s">
        <v>1054</v>
      </c>
      <c r="D517" s="63" t="str">
        <f t="shared" si="15"/>
        <v>英語文4-電機二甲</v>
      </c>
      <c r="E517" s="61" t="s">
        <v>1375</v>
      </c>
      <c r="F517" s="61" t="s">
        <v>1376</v>
      </c>
      <c r="G517" s="61">
        <v>49</v>
      </c>
      <c r="H517" s="61">
        <v>2</v>
      </c>
      <c r="I517" s="61" t="s">
        <v>11</v>
      </c>
      <c r="J517" s="60"/>
    </row>
    <row r="518" spans="1:10" hidden="1" outlineLevel="2">
      <c r="A518" s="60">
        <v>2</v>
      </c>
      <c r="B518" s="65" t="s">
        <v>1946</v>
      </c>
      <c r="C518" s="62" t="s">
        <v>1054</v>
      </c>
      <c r="D518" s="63" t="str">
        <f t="shared" si="15"/>
        <v>英語文4-電機二甲</v>
      </c>
      <c r="E518" s="61" t="s">
        <v>1377</v>
      </c>
      <c r="F518" s="61" t="s">
        <v>1378</v>
      </c>
      <c r="G518" s="61">
        <v>54</v>
      </c>
      <c r="H518" s="61">
        <v>2</v>
      </c>
      <c r="I518" s="61" t="s">
        <v>11</v>
      </c>
      <c r="J518" s="60"/>
    </row>
    <row r="519" spans="1:10" hidden="1" outlineLevel="2">
      <c r="A519" s="60">
        <v>2</v>
      </c>
      <c r="B519" s="65" t="s">
        <v>1946</v>
      </c>
      <c r="C519" s="62" t="s">
        <v>1054</v>
      </c>
      <c r="D519" s="63" t="str">
        <f t="shared" si="15"/>
        <v>英語文4-電機二甲</v>
      </c>
      <c r="E519" s="61" t="s">
        <v>1379</v>
      </c>
      <c r="F519" s="61" t="s">
        <v>1380</v>
      </c>
      <c r="G519" s="61">
        <v>45</v>
      </c>
      <c r="H519" s="61">
        <v>2</v>
      </c>
      <c r="I519" s="61" t="s">
        <v>11</v>
      </c>
      <c r="J519" s="60"/>
    </row>
    <row r="520" spans="1:10" hidden="1" outlineLevel="2">
      <c r="A520" s="60">
        <v>2</v>
      </c>
      <c r="B520" s="65" t="s">
        <v>1946</v>
      </c>
      <c r="C520" s="62" t="s">
        <v>1054</v>
      </c>
      <c r="D520" s="63" t="str">
        <f t="shared" si="15"/>
        <v>英語文4-電機二甲</v>
      </c>
      <c r="E520" s="61" t="s">
        <v>1381</v>
      </c>
      <c r="F520" s="61" t="s">
        <v>1382</v>
      </c>
      <c r="G520" s="61">
        <v>48</v>
      </c>
      <c r="H520" s="61">
        <v>2</v>
      </c>
      <c r="I520" s="61" t="s">
        <v>11</v>
      </c>
      <c r="J520" s="60"/>
    </row>
    <row r="521" spans="1:10" hidden="1" outlineLevel="2">
      <c r="A521" s="60">
        <v>2</v>
      </c>
      <c r="B521" s="65" t="s">
        <v>1946</v>
      </c>
      <c r="C521" s="62" t="s">
        <v>1054</v>
      </c>
      <c r="D521" s="63" t="str">
        <f t="shared" si="15"/>
        <v>英語文4-電機二甲</v>
      </c>
      <c r="E521" s="61" t="s">
        <v>1383</v>
      </c>
      <c r="F521" s="61" t="s">
        <v>1384</v>
      </c>
      <c r="G521" s="61">
        <v>42</v>
      </c>
      <c r="H521" s="61">
        <v>2</v>
      </c>
      <c r="I521" s="61" t="s">
        <v>11</v>
      </c>
      <c r="J521" s="60"/>
    </row>
    <row r="522" spans="1:10" hidden="1" outlineLevel="2">
      <c r="A522" s="60">
        <v>2</v>
      </c>
      <c r="B522" s="65" t="s">
        <v>1946</v>
      </c>
      <c r="C522" s="62" t="s">
        <v>1054</v>
      </c>
      <c r="D522" s="63" t="str">
        <f t="shared" si="15"/>
        <v>英語文4-電機二甲</v>
      </c>
      <c r="E522" s="61" t="s">
        <v>1385</v>
      </c>
      <c r="F522" s="61" t="s">
        <v>1386</v>
      </c>
      <c r="G522" s="61">
        <v>50</v>
      </c>
      <c r="H522" s="61">
        <v>2</v>
      </c>
      <c r="I522" s="61" t="s">
        <v>11</v>
      </c>
      <c r="J522" s="60"/>
    </row>
    <row r="523" spans="1:10" outlineLevel="1" collapsed="1">
      <c r="A523" s="60"/>
      <c r="B523" s="65"/>
      <c r="C523" s="62"/>
      <c r="D523" s="64" t="s">
        <v>2143</v>
      </c>
      <c r="E523" s="61">
        <f>SUBTOTAL(3,E514:E522)</f>
        <v>9</v>
      </c>
      <c r="F523" s="61"/>
      <c r="G523" s="61"/>
      <c r="H523" s="61"/>
      <c r="I523" s="61">
        <f>SUBTOTAL(3,I514:I522)</f>
        <v>9</v>
      </c>
      <c r="J523" s="60"/>
    </row>
    <row r="524" spans="1:10" hidden="1" outlineLevel="2">
      <c r="A524" s="60">
        <v>2</v>
      </c>
      <c r="B524" s="65" t="s">
        <v>1946</v>
      </c>
      <c r="C524" s="62" t="s">
        <v>1231</v>
      </c>
      <c r="D524" s="63" t="str">
        <f t="shared" ref="D524:D536" si="16">B524&amp;"-"&amp;C524</f>
        <v>英語文4-製圖二乙</v>
      </c>
      <c r="E524" s="61" t="s">
        <v>1412</v>
      </c>
      <c r="F524" s="61" t="s">
        <v>1413</v>
      </c>
      <c r="G524" s="61">
        <v>51</v>
      </c>
      <c r="H524" s="61">
        <v>2</v>
      </c>
      <c r="I524" s="61" t="s">
        <v>11</v>
      </c>
      <c r="J524" s="60"/>
    </row>
    <row r="525" spans="1:10" hidden="1" outlineLevel="2">
      <c r="A525" s="60">
        <v>2</v>
      </c>
      <c r="B525" s="65" t="s">
        <v>1946</v>
      </c>
      <c r="C525" s="62" t="s">
        <v>1231</v>
      </c>
      <c r="D525" s="63" t="str">
        <f t="shared" si="16"/>
        <v>英語文4-製圖二乙</v>
      </c>
      <c r="E525" s="61" t="s">
        <v>1414</v>
      </c>
      <c r="F525" s="61" t="s">
        <v>1415</v>
      </c>
      <c r="G525" s="61">
        <v>52</v>
      </c>
      <c r="H525" s="61">
        <v>2</v>
      </c>
      <c r="I525" s="61" t="s">
        <v>11</v>
      </c>
      <c r="J525" s="60"/>
    </row>
    <row r="526" spans="1:10" hidden="1" outlineLevel="2">
      <c r="A526" s="60">
        <v>2</v>
      </c>
      <c r="B526" s="65" t="s">
        <v>1946</v>
      </c>
      <c r="C526" s="62" t="s">
        <v>1231</v>
      </c>
      <c r="D526" s="63" t="str">
        <f t="shared" si="16"/>
        <v>英語文4-製圖二乙</v>
      </c>
      <c r="E526" s="61" t="s">
        <v>1416</v>
      </c>
      <c r="F526" s="61" t="s">
        <v>1417</v>
      </c>
      <c r="G526" s="61">
        <v>50</v>
      </c>
      <c r="H526" s="61">
        <v>2</v>
      </c>
      <c r="I526" s="61" t="s">
        <v>11</v>
      </c>
      <c r="J526" s="60"/>
    </row>
    <row r="527" spans="1:10" hidden="1" outlineLevel="2">
      <c r="A527" s="60">
        <v>2</v>
      </c>
      <c r="B527" s="65" t="s">
        <v>1946</v>
      </c>
      <c r="C527" s="62" t="s">
        <v>1231</v>
      </c>
      <c r="D527" s="63" t="str">
        <f t="shared" si="16"/>
        <v>英語文4-製圖二乙</v>
      </c>
      <c r="E527" s="61" t="s">
        <v>1234</v>
      </c>
      <c r="F527" s="61" t="s">
        <v>1235</v>
      </c>
      <c r="G527" s="61">
        <v>54</v>
      </c>
      <c r="H527" s="61">
        <v>2</v>
      </c>
      <c r="I527" s="61" t="s">
        <v>11</v>
      </c>
      <c r="J527" s="60"/>
    </row>
    <row r="528" spans="1:10" hidden="1" outlineLevel="2">
      <c r="A528" s="60">
        <v>2</v>
      </c>
      <c r="B528" s="65" t="s">
        <v>1946</v>
      </c>
      <c r="C528" s="62" t="s">
        <v>1231</v>
      </c>
      <c r="D528" s="63" t="str">
        <f t="shared" si="16"/>
        <v>英語文4-製圖二乙</v>
      </c>
      <c r="E528" s="61" t="s">
        <v>1418</v>
      </c>
      <c r="F528" s="61" t="s">
        <v>1419</v>
      </c>
      <c r="G528" s="61">
        <v>48</v>
      </c>
      <c r="H528" s="61">
        <v>2</v>
      </c>
      <c r="I528" s="61" t="s">
        <v>11</v>
      </c>
      <c r="J528" s="60"/>
    </row>
    <row r="529" spans="1:10" hidden="1" outlineLevel="2">
      <c r="A529" s="60">
        <v>2</v>
      </c>
      <c r="B529" s="65" t="s">
        <v>1946</v>
      </c>
      <c r="C529" s="62" t="s">
        <v>1231</v>
      </c>
      <c r="D529" s="63" t="str">
        <f t="shared" si="16"/>
        <v>英語文4-製圖二乙</v>
      </c>
      <c r="E529" s="61" t="s">
        <v>1420</v>
      </c>
      <c r="F529" s="61" t="s">
        <v>1421</v>
      </c>
      <c r="G529" s="61">
        <v>55</v>
      </c>
      <c r="H529" s="61">
        <v>2</v>
      </c>
      <c r="I529" s="61" t="s">
        <v>11</v>
      </c>
      <c r="J529" s="60"/>
    </row>
    <row r="530" spans="1:10" hidden="1" outlineLevel="2">
      <c r="A530" s="60">
        <v>2</v>
      </c>
      <c r="B530" s="65" t="s">
        <v>1946</v>
      </c>
      <c r="C530" s="62" t="s">
        <v>1231</v>
      </c>
      <c r="D530" s="63" t="str">
        <f t="shared" si="16"/>
        <v>英語文4-製圖二乙</v>
      </c>
      <c r="E530" s="61" t="s">
        <v>1422</v>
      </c>
      <c r="F530" s="61" t="s">
        <v>1423</v>
      </c>
      <c r="G530" s="61">
        <v>50</v>
      </c>
      <c r="H530" s="61">
        <v>2</v>
      </c>
      <c r="I530" s="61" t="s">
        <v>11</v>
      </c>
      <c r="J530" s="60"/>
    </row>
    <row r="531" spans="1:10" hidden="1" outlineLevel="2">
      <c r="A531" s="60">
        <v>2</v>
      </c>
      <c r="B531" s="65" t="s">
        <v>1946</v>
      </c>
      <c r="C531" s="62" t="s">
        <v>1231</v>
      </c>
      <c r="D531" s="63" t="str">
        <f t="shared" si="16"/>
        <v>英語文4-製圖二乙</v>
      </c>
      <c r="E531" s="61" t="s">
        <v>1236</v>
      </c>
      <c r="F531" s="61" t="s">
        <v>1237</v>
      </c>
      <c r="G531" s="61">
        <v>40</v>
      </c>
      <c r="H531" s="61">
        <v>2</v>
      </c>
      <c r="I531" s="61" t="s">
        <v>11</v>
      </c>
      <c r="J531" s="60"/>
    </row>
    <row r="532" spans="1:10" hidden="1" outlineLevel="2">
      <c r="A532" s="60">
        <v>2</v>
      </c>
      <c r="B532" s="65" t="s">
        <v>1946</v>
      </c>
      <c r="C532" s="62" t="s">
        <v>1231</v>
      </c>
      <c r="D532" s="63" t="str">
        <f t="shared" si="16"/>
        <v>英語文4-製圖二乙</v>
      </c>
      <c r="E532" s="61" t="s">
        <v>1238</v>
      </c>
      <c r="F532" s="61" t="s">
        <v>1239</v>
      </c>
      <c r="G532" s="61">
        <v>43</v>
      </c>
      <c r="H532" s="61">
        <v>2</v>
      </c>
      <c r="I532" s="61" t="s">
        <v>11</v>
      </c>
      <c r="J532" s="60"/>
    </row>
    <row r="533" spans="1:10" hidden="1" outlineLevel="2">
      <c r="A533" s="60">
        <v>2</v>
      </c>
      <c r="B533" s="65" t="s">
        <v>1946</v>
      </c>
      <c r="C533" s="62" t="s">
        <v>1231</v>
      </c>
      <c r="D533" s="63" t="str">
        <f t="shared" si="16"/>
        <v>英語文4-製圖二乙</v>
      </c>
      <c r="E533" s="61" t="s">
        <v>1240</v>
      </c>
      <c r="F533" s="61" t="s">
        <v>157</v>
      </c>
      <c r="G533" s="61">
        <v>40</v>
      </c>
      <c r="H533" s="61">
        <v>2</v>
      </c>
      <c r="I533" s="61" t="s">
        <v>11</v>
      </c>
      <c r="J533" s="60"/>
    </row>
    <row r="534" spans="1:10" hidden="1" outlineLevel="2">
      <c r="A534" s="60">
        <v>2</v>
      </c>
      <c r="B534" s="65" t="s">
        <v>1946</v>
      </c>
      <c r="C534" s="62" t="s">
        <v>1231</v>
      </c>
      <c r="D534" s="63" t="str">
        <f t="shared" si="16"/>
        <v>英語文4-製圖二乙</v>
      </c>
      <c r="E534" s="61" t="s">
        <v>1424</v>
      </c>
      <c r="F534" s="61" t="s">
        <v>1425</v>
      </c>
      <c r="G534" s="61">
        <v>40</v>
      </c>
      <c r="H534" s="61">
        <v>2</v>
      </c>
      <c r="I534" s="61" t="s">
        <v>11</v>
      </c>
      <c r="J534" s="60"/>
    </row>
    <row r="535" spans="1:10" hidden="1" outlineLevel="2">
      <c r="A535" s="60">
        <v>2</v>
      </c>
      <c r="B535" s="65" t="s">
        <v>1946</v>
      </c>
      <c r="C535" s="62" t="s">
        <v>1231</v>
      </c>
      <c r="D535" s="63" t="str">
        <f t="shared" si="16"/>
        <v>英語文4-製圖二乙</v>
      </c>
      <c r="E535" s="61" t="s">
        <v>1426</v>
      </c>
      <c r="F535" s="61" t="s">
        <v>1427</v>
      </c>
      <c r="G535" s="61">
        <v>44</v>
      </c>
      <c r="H535" s="61">
        <v>2</v>
      </c>
      <c r="I535" s="61" t="s">
        <v>11</v>
      </c>
      <c r="J535" s="60"/>
    </row>
    <row r="536" spans="1:10" hidden="1" outlineLevel="2">
      <c r="A536" s="60">
        <v>2</v>
      </c>
      <c r="B536" s="65" t="s">
        <v>1946</v>
      </c>
      <c r="C536" s="62" t="s">
        <v>1231</v>
      </c>
      <c r="D536" s="63" t="str">
        <f t="shared" si="16"/>
        <v>英語文4-製圖二乙</v>
      </c>
      <c r="E536" s="61" t="s">
        <v>1241</v>
      </c>
      <c r="F536" s="61" t="s">
        <v>1242</v>
      </c>
      <c r="G536" s="61">
        <v>40</v>
      </c>
      <c r="H536" s="61">
        <v>2</v>
      </c>
      <c r="I536" s="61" t="s">
        <v>11</v>
      </c>
      <c r="J536" s="60"/>
    </row>
    <row r="537" spans="1:10" outlineLevel="1" collapsed="1">
      <c r="A537" s="60"/>
      <c r="B537" s="65"/>
      <c r="C537" s="62"/>
      <c r="D537" s="64" t="s">
        <v>2144</v>
      </c>
      <c r="E537" s="61">
        <f>SUBTOTAL(3,E524:E536)</f>
        <v>13</v>
      </c>
      <c r="F537" s="61"/>
      <c r="G537" s="61"/>
      <c r="H537" s="61"/>
      <c r="I537" s="61">
        <f>SUBTOTAL(3,I524:I536)</f>
        <v>13</v>
      </c>
      <c r="J537" s="60">
        <f>E537+E523+E513+E505</f>
        <v>38</v>
      </c>
    </row>
    <row r="538" spans="1:10" hidden="1" outlineLevel="2">
      <c r="A538" s="60">
        <v>2</v>
      </c>
      <c r="B538" s="65" t="s">
        <v>1946</v>
      </c>
      <c r="C538" s="62" t="s">
        <v>1102</v>
      </c>
      <c r="D538" s="63" t="str">
        <f t="shared" ref="D538:D543" si="17">B538&amp;"-"&amp;C538</f>
        <v>英語文4-製圖二丙</v>
      </c>
      <c r="E538" s="61" t="s">
        <v>1105</v>
      </c>
      <c r="F538" s="61" t="s">
        <v>1106</v>
      </c>
      <c r="G538" s="61">
        <v>49</v>
      </c>
      <c r="H538" s="61">
        <v>2</v>
      </c>
      <c r="I538" s="61" t="s">
        <v>11</v>
      </c>
      <c r="J538" s="60"/>
    </row>
    <row r="539" spans="1:10" hidden="1" outlineLevel="2">
      <c r="A539" s="60">
        <v>2</v>
      </c>
      <c r="B539" s="65" t="s">
        <v>1946</v>
      </c>
      <c r="C539" s="62" t="s">
        <v>1102</v>
      </c>
      <c r="D539" s="63" t="str">
        <f t="shared" si="17"/>
        <v>英語文4-製圖二丙</v>
      </c>
      <c r="E539" s="61" t="s">
        <v>1107</v>
      </c>
      <c r="F539" s="61" t="s">
        <v>1108</v>
      </c>
      <c r="G539" s="61">
        <v>45</v>
      </c>
      <c r="H539" s="61">
        <v>2</v>
      </c>
      <c r="I539" s="61" t="s">
        <v>11</v>
      </c>
      <c r="J539" s="60"/>
    </row>
    <row r="540" spans="1:10" hidden="1" outlineLevel="2">
      <c r="A540" s="60">
        <v>2</v>
      </c>
      <c r="B540" s="65" t="s">
        <v>1946</v>
      </c>
      <c r="C540" s="62" t="s">
        <v>1102</v>
      </c>
      <c r="D540" s="63" t="str">
        <f t="shared" si="17"/>
        <v>英語文4-製圖二丙</v>
      </c>
      <c r="E540" s="61" t="s">
        <v>1117</v>
      </c>
      <c r="F540" s="61" t="s">
        <v>1118</v>
      </c>
      <c r="G540" s="61">
        <v>44</v>
      </c>
      <c r="H540" s="61">
        <v>2</v>
      </c>
      <c r="I540" s="61" t="s">
        <v>11</v>
      </c>
      <c r="J540" s="60"/>
    </row>
    <row r="541" spans="1:10" hidden="1" outlineLevel="2">
      <c r="A541" s="60">
        <v>2</v>
      </c>
      <c r="B541" s="65" t="s">
        <v>1946</v>
      </c>
      <c r="C541" s="62" t="s">
        <v>1102</v>
      </c>
      <c r="D541" s="63" t="str">
        <f t="shared" si="17"/>
        <v>英語文4-製圖二丙</v>
      </c>
      <c r="E541" s="61" t="s">
        <v>1303</v>
      </c>
      <c r="F541" s="61" t="s">
        <v>1304</v>
      </c>
      <c r="G541" s="61">
        <v>40</v>
      </c>
      <c r="H541" s="61">
        <v>2</v>
      </c>
      <c r="I541" s="61" t="s">
        <v>11</v>
      </c>
      <c r="J541" s="60"/>
    </row>
    <row r="542" spans="1:10" hidden="1" outlineLevel="2">
      <c r="A542" s="60">
        <v>2</v>
      </c>
      <c r="B542" s="65" t="s">
        <v>1946</v>
      </c>
      <c r="C542" s="62" t="s">
        <v>1102</v>
      </c>
      <c r="D542" s="63" t="str">
        <f t="shared" si="17"/>
        <v>英語文4-製圖二丙</v>
      </c>
      <c r="E542" s="61" t="s">
        <v>1129</v>
      </c>
      <c r="F542" s="61" t="s">
        <v>1130</v>
      </c>
      <c r="G542" s="61">
        <v>43</v>
      </c>
      <c r="H542" s="61">
        <v>2</v>
      </c>
      <c r="I542" s="61" t="s">
        <v>11</v>
      </c>
      <c r="J542" s="60"/>
    </row>
    <row r="543" spans="1:10" hidden="1" outlineLevel="2">
      <c r="A543" s="60">
        <v>2</v>
      </c>
      <c r="B543" s="65" t="s">
        <v>1946</v>
      </c>
      <c r="C543" s="62" t="s">
        <v>1102</v>
      </c>
      <c r="D543" s="63" t="str">
        <f t="shared" si="17"/>
        <v>英語文4-製圖二丙</v>
      </c>
      <c r="E543" s="61" t="s">
        <v>1131</v>
      </c>
      <c r="F543" s="61" t="s">
        <v>1132</v>
      </c>
      <c r="G543" s="61">
        <v>52</v>
      </c>
      <c r="H543" s="61">
        <v>2</v>
      </c>
      <c r="I543" s="61" t="s">
        <v>11</v>
      </c>
      <c r="J543" s="60"/>
    </row>
    <row r="544" spans="1:10" outlineLevel="1" collapsed="1">
      <c r="A544" s="60"/>
      <c r="B544" s="65"/>
      <c r="C544" s="62"/>
      <c r="D544" s="64" t="s">
        <v>2145</v>
      </c>
      <c r="E544" s="61">
        <f>SUBTOTAL(3,E538:E543)</f>
        <v>6</v>
      </c>
      <c r="F544" s="61"/>
      <c r="G544" s="61"/>
      <c r="H544" s="61"/>
      <c r="I544" s="61">
        <f>SUBTOTAL(3,I538:I543)</f>
        <v>6</v>
      </c>
      <c r="J544" s="60"/>
    </row>
    <row r="545" spans="1:10" hidden="1" outlineLevel="2">
      <c r="A545" s="60">
        <v>2</v>
      </c>
      <c r="B545" s="65" t="s">
        <v>1946</v>
      </c>
      <c r="C545" s="62" t="s">
        <v>1191</v>
      </c>
      <c r="D545" s="63" t="str">
        <f t="shared" ref="D545:D555" si="18">B545&amp;"-"&amp;C545</f>
        <v>英語文4-製圖二甲</v>
      </c>
      <c r="E545" s="61" t="s">
        <v>1319</v>
      </c>
      <c r="F545" s="61" t="s">
        <v>1320</v>
      </c>
      <c r="G545" s="61">
        <v>48</v>
      </c>
      <c r="H545" s="61">
        <v>2</v>
      </c>
      <c r="I545" s="61" t="s">
        <v>11</v>
      </c>
      <c r="J545" s="60"/>
    </row>
    <row r="546" spans="1:10" hidden="1" outlineLevel="2">
      <c r="A546" s="60">
        <v>2</v>
      </c>
      <c r="B546" s="65" t="s">
        <v>1946</v>
      </c>
      <c r="C546" s="62" t="s">
        <v>1191</v>
      </c>
      <c r="D546" s="63" t="str">
        <f t="shared" si="18"/>
        <v>英語文4-製圖二甲</v>
      </c>
      <c r="E546" s="61" t="s">
        <v>1321</v>
      </c>
      <c r="F546" s="61" t="s">
        <v>1322</v>
      </c>
      <c r="G546" s="61">
        <v>45</v>
      </c>
      <c r="H546" s="61">
        <v>2</v>
      </c>
      <c r="I546" s="61" t="s">
        <v>11</v>
      </c>
      <c r="J546" s="60"/>
    </row>
    <row r="547" spans="1:10" hidden="1" outlineLevel="2">
      <c r="A547" s="60">
        <v>2</v>
      </c>
      <c r="B547" s="65" t="s">
        <v>1946</v>
      </c>
      <c r="C547" s="62" t="s">
        <v>1191</v>
      </c>
      <c r="D547" s="63" t="str">
        <f t="shared" si="18"/>
        <v>英語文4-製圖二甲</v>
      </c>
      <c r="E547" s="61" t="s">
        <v>1323</v>
      </c>
      <c r="F547" s="61" t="s">
        <v>1324</v>
      </c>
      <c r="G547" s="61">
        <v>54</v>
      </c>
      <c r="H547" s="61">
        <v>2</v>
      </c>
      <c r="I547" s="61" t="s">
        <v>11</v>
      </c>
      <c r="J547" s="60"/>
    </row>
    <row r="548" spans="1:10" hidden="1" outlineLevel="2">
      <c r="A548" s="60">
        <v>2</v>
      </c>
      <c r="B548" s="65" t="s">
        <v>1946</v>
      </c>
      <c r="C548" s="62" t="s">
        <v>1191</v>
      </c>
      <c r="D548" s="63" t="str">
        <f t="shared" si="18"/>
        <v>英語文4-製圖二甲</v>
      </c>
      <c r="E548" s="61" t="s">
        <v>1325</v>
      </c>
      <c r="F548" s="61" t="s">
        <v>1326</v>
      </c>
      <c r="G548" s="61">
        <v>41</v>
      </c>
      <c r="H548" s="61">
        <v>2</v>
      </c>
      <c r="I548" s="61" t="s">
        <v>11</v>
      </c>
      <c r="J548" s="60"/>
    </row>
    <row r="549" spans="1:10" hidden="1" outlineLevel="2">
      <c r="A549" s="60">
        <v>2</v>
      </c>
      <c r="B549" s="65" t="s">
        <v>1946</v>
      </c>
      <c r="C549" s="62" t="s">
        <v>1191</v>
      </c>
      <c r="D549" s="63" t="str">
        <f t="shared" si="18"/>
        <v>英語文4-製圖二甲</v>
      </c>
      <c r="E549" s="61" t="s">
        <v>1327</v>
      </c>
      <c r="F549" s="61" t="s">
        <v>1328</v>
      </c>
      <c r="G549" s="61">
        <v>46</v>
      </c>
      <c r="H549" s="61">
        <v>2</v>
      </c>
      <c r="I549" s="61" t="s">
        <v>11</v>
      </c>
      <c r="J549" s="60"/>
    </row>
    <row r="550" spans="1:10" hidden="1" outlineLevel="2">
      <c r="A550" s="60">
        <v>2</v>
      </c>
      <c r="B550" s="65" t="s">
        <v>1946</v>
      </c>
      <c r="C550" s="62" t="s">
        <v>1191</v>
      </c>
      <c r="D550" s="63" t="str">
        <f t="shared" si="18"/>
        <v>英語文4-製圖二甲</v>
      </c>
      <c r="E550" s="61" t="s">
        <v>1329</v>
      </c>
      <c r="F550" s="61" t="s">
        <v>1330</v>
      </c>
      <c r="G550" s="61">
        <v>53</v>
      </c>
      <c r="H550" s="61">
        <v>2</v>
      </c>
      <c r="I550" s="61" t="s">
        <v>11</v>
      </c>
      <c r="J550" s="60"/>
    </row>
    <row r="551" spans="1:10" hidden="1" outlineLevel="2">
      <c r="A551" s="60">
        <v>2</v>
      </c>
      <c r="B551" s="65" t="s">
        <v>1946</v>
      </c>
      <c r="C551" s="62" t="s">
        <v>1191</v>
      </c>
      <c r="D551" s="63" t="str">
        <f t="shared" si="18"/>
        <v>英語文4-製圖二甲</v>
      </c>
      <c r="E551" s="61" t="s">
        <v>1331</v>
      </c>
      <c r="F551" s="61" t="s">
        <v>1332</v>
      </c>
      <c r="G551" s="61">
        <v>40</v>
      </c>
      <c r="H551" s="61">
        <v>2</v>
      </c>
      <c r="I551" s="61" t="s">
        <v>11</v>
      </c>
      <c r="J551" s="60"/>
    </row>
    <row r="552" spans="1:10" hidden="1" outlineLevel="2">
      <c r="A552" s="60">
        <v>2</v>
      </c>
      <c r="B552" s="65" t="s">
        <v>1946</v>
      </c>
      <c r="C552" s="62" t="s">
        <v>1191</v>
      </c>
      <c r="D552" s="63" t="str">
        <f t="shared" si="18"/>
        <v>英語文4-製圖二甲</v>
      </c>
      <c r="E552" s="61" t="s">
        <v>1333</v>
      </c>
      <c r="F552" s="61" t="s">
        <v>1334</v>
      </c>
      <c r="G552" s="61">
        <v>40</v>
      </c>
      <c r="H552" s="61">
        <v>2</v>
      </c>
      <c r="I552" s="61" t="s">
        <v>11</v>
      </c>
      <c r="J552" s="60"/>
    </row>
    <row r="553" spans="1:10" hidden="1" outlineLevel="2">
      <c r="A553" s="60">
        <v>2</v>
      </c>
      <c r="B553" s="65" t="s">
        <v>1946</v>
      </c>
      <c r="C553" s="62" t="s">
        <v>1191</v>
      </c>
      <c r="D553" s="63" t="str">
        <f t="shared" si="18"/>
        <v>英語文4-製圖二甲</v>
      </c>
      <c r="E553" s="61" t="s">
        <v>1335</v>
      </c>
      <c r="F553" s="61" t="s">
        <v>1336</v>
      </c>
      <c r="G553" s="61">
        <v>42</v>
      </c>
      <c r="H553" s="61">
        <v>2</v>
      </c>
      <c r="I553" s="61" t="s">
        <v>11</v>
      </c>
      <c r="J553" s="60"/>
    </row>
    <row r="554" spans="1:10" hidden="1" outlineLevel="2">
      <c r="A554" s="60">
        <v>2</v>
      </c>
      <c r="B554" s="65" t="s">
        <v>1946</v>
      </c>
      <c r="C554" s="62" t="s">
        <v>1191</v>
      </c>
      <c r="D554" s="63" t="str">
        <f t="shared" si="18"/>
        <v>英語文4-製圖二甲</v>
      </c>
      <c r="E554" s="61" t="s">
        <v>1337</v>
      </c>
      <c r="F554" s="61" t="s">
        <v>1338</v>
      </c>
      <c r="G554" s="61">
        <v>55</v>
      </c>
      <c r="H554" s="61">
        <v>2</v>
      </c>
      <c r="I554" s="61" t="s">
        <v>11</v>
      </c>
      <c r="J554" s="60"/>
    </row>
    <row r="555" spans="1:10" hidden="1" outlineLevel="2">
      <c r="A555" s="60">
        <v>2</v>
      </c>
      <c r="B555" s="65" t="s">
        <v>1946</v>
      </c>
      <c r="C555" s="62" t="s">
        <v>1191</v>
      </c>
      <c r="D555" s="63" t="str">
        <f t="shared" si="18"/>
        <v>英語文4-製圖二甲</v>
      </c>
      <c r="E555" s="61" t="s">
        <v>1198</v>
      </c>
      <c r="F555" s="61" t="s">
        <v>1199</v>
      </c>
      <c r="G555" s="61">
        <v>47</v>
      </c>
      <c r="H555" s="61">
        <v>2</v>
      </c>
      <c r="I555" s="61" t="s">
        <v>11</v>
      </c>
      <c r="J555" s="60"/>
    </row>
    <row r="556" spans="1:10" outlineLevel="1" collapsed="1">
      <c r="A556" s="60"/>
      <c r="B556" s="65"/>
      <c r="C556" s="62"/>
      <c r="D556" s="64" t="s">
        <v>2146</v>
      </c>
      <c r="E556" s="61">
        <f>SUBTOTAL(3,E545:E555)</f>
        <v>11</v>
      </c>
      <c r="F556" s="61"/>
      <c r="G556" s="61"/>
      <c r="H556" s="61"/>
      <c r="I556" s="61">
        <f>SUBTOTAL(3,I545:I555)</f>
        <v>11</v>
      </c>
      <c r="J556" s="60"/>
    </row>
    <row r="557" spans="1:10" hidden="1" outlineLevel="2">
      <c r="A557" s="60">
        <v>2</v>
      </c>
      <c r="B557" s="65" t="s">
        <v>1946</v>
      </c>
      <c r="C557" s="62" t="s">
        <v>998</v>
      </c>
      <c r="D557" s="63" t="str">
        <f>B557&amp;"-"&amp;C557</f>
        <v>英語文4-模具二乙</v>
      </c>
      <c r="E557" s="61" t="s">
        <v>1367</v>
      </c>
      <c r="F557" s="61" t="s">
        <v>1368</v>
      </c>
      <c r="G557" s="61">
        <v>51</v>
      </c>
      <c r="H557" s="61">
        <v>2</v>
      </c>
      <c r="I557" s="61" t="s">
        <v>11</v>
      </c>
      <c r="J557" s="60"/>
    </row>
    <row r="558" spans="1:10" outlineLevel="1" collapsed="1">
      <c r="A558" s="60"/>
      <c r="B558" s="65"/>
      <c r="C558" s="62"/>
      <c r="D558" s="64" t="s">
        <v>2147</v>
      </c>
      <c r="E558" s="61">
        <f>SUBTOTAL(3,E557:E557)</f>
        <v>1</v>
      </c>
      <c r="F558" s="61"/>
      <c r="G558" s="61"/>
      <c r="H558" s="61"/>
      <c r="I558" s="61">
        <f>SUBTOTAL(3,I557:I557)</f>
        <v>1</v>
      </c>
      <c r="J558" s="60"/>
    </row>
    <row r="559" spans="1:10" hidden="1" outlineLevel="2">
      <c r="A559" s="60">
        <v>2</v>
      </c>
      <c r="B559" s="65" t="s">
        <v>1946</v>
      </c>
      <c r="C559" s="62" t="s">
        <v>1217</v>
      </c>
      <c r="D559" s="63" t="str">
        <f t="shared" ref="D559:D565" si="19">B559&amp;"-"&amp;C559</f>
        <v>英語文4-模具二甲</v>
      </c>
      <c r="E559" s="61" t="s">
        <v>1404</v>
      </c>
      <c r="F559" s="61" t="s">
        <v>1405</v>
      </c>
      <c r="G559" s="61">
        <v>40</v>
      </c>
      <c r="H559" s="61">
        <v>2</v>
      </c>
      <c r="I559" s="61" t="s">
        <v>11</v>
      </c>
      <c r="J559" s="60"/>
    </row>
    <row r="560" spans="1:10" hidden="1" outlineLevel="2">
      <c r="A560" s="60">
        <v>2</v>
      </c>
      <c r="B560" s="65" t="s">
        <v>1946</v>
      </c>
      <c r="C560" s="62" t="s">
        <v>1217</v>
      </c>
      <c r="D560" s="63" t="str">
        <f t="shared" si="19"/>
        <v>英語文4-模具二甲</v>
      </c>
      <c r="E560" s="61" t="s">
        <v>1220</v>
      </c>
      <c r="F560" s="61" t="s">
        <v>1221</v>
      </c>
      <c r="G560" s="61">
        <v>46</v>
      </c>
      <c r="H560" s="61">
        <v>2</v>
      </c>
      <c r="I560" s="61" t="s">
        <v>11</v>
      </c>
      <c r="J560" s="60"/>
    </row>
    <row r="561" spans="1:10" hidden="1" outlineLevel="2">
      <c r="A561" s="60">
        <v>2</v>
      </c>
      <c r="B561" s="65" t="s">
        <v>1946</v>
      </c>
      <c r="C561" s="62" t="s">
        <v>1217</v>
      </c>
      <c r="D561" s="63" t="str">
        <f t="shared" si="19"/>
        <v>英語文4-模具二甲</v>
      </c>
      <c r="E561" s="61" t="s">
        <v>1406</v>
      </c>
      <c r="F561" s="61" t="s">
        <v>1407</v>
      </c>
      <c r="G561" s="61">
        <v>50</v>
      </c>
      <c r="H561" s="61">
        <v>2</v>
      </c>
      <c r="I561" s="61" t="s">
        <v>11</v>
      </c>
      <c r="J561" s="60"/>
    </row>
    <row r="562" spans="1:10" hidden="1" outlineLevel="2">
      <c r="A562" s="60">
        <v>2</v>
      </c>
      <c r="B562" s="65" t="s">
        <v>1946</v>
      </c>
      <c r="C562" s="62" t="s">
        <v>1217</v>
      </c>
      <c r="D562" s="63" t="str">
        <f t="shared" si="19"/>
        <v>英語文4-模具二甲</v>
      </c>
      <c r="E562" s="61" t="s">
        <v>1222</v>
      </c>
      <c r="F562" s="61" t="s">
        <v>1223</v>
      </c>
      <c r="G562" s="61">
        <v>40</v>
      </c>
      <c r="H562" s="61">
        <v>2</v>
      </c>
      <c r="I562" s="61" t="s">
        <v>11</v>
      </c>
      <c r="J562" s="60"/>
    </row>
    <row r="563" spans="1:10" hidden="1" outlineLevel="2">
      <c r="A563" s="60">
        <v>2</v>
      </c>
      <c r="B563" s="65" t="s">
        <v>1946</v>
      </c>
      <c r="C563" s="62" t="s">
        <v>1217</v>
      </c>
      <c r="D563" s="63" t="str">
        <f t="shared" si="19"/>
        <v>英語文4-模具二甲</v>
      </c>
      <c r="E563" s="61" t="s">
        <v>1224</v>
      </c>
      <c r="F563" s="61" t="s">
        <v>1225</v>
      </c>
      <c r="G563" s="61">
        <v>46</v>
      </c>
      <c r="H563" s="61">
        <v>2</v>
      </c>
      <c r="I563" s="61" t="s">
        <v>11</v>
      </c>
      <c r="J563" s="60"/>
    </row>
    <row r="564" spans="1:10" hidden="1" outlineLevel="2">
      <c r="A564" s="60">
        <v>2</v>
      </c>
      <c r="B564" s="65" t="s">
        <v>1946</v>
      </c>
      <c r="C564" s="62" t="s">
        <v>1217</v>
      </c>
      <c r="D564" s="63" t="str">
        <f t="shared" si="19"/>
        <v>英語文4-模具二甲</v>
      </c>
      <c r="E564" s="61" t="s">
        <v>1408</v>
      </c>
      <c r="F564" s="61" t="s">
        <v>1409</v>
      </c>
      <c r="G564" s="61">
        <v>51</v>
      </c>
      <c r="H564" s="61">
        <v>2</v>
      </c>
      <c r="I564" s="61" t="s">
        <v>11</v>
      </c>
      <c r="J564" s="60"/>
    </row>
    <row r="565" spans="1:10" hidden="1" outlineLevel="2">
      <c r="A565" s="60">
        <v>2</v>
      </c>
      <c r="B565" s="65" t="s">
        <v>1946</v>
      </c>
      <c r="C565" s="62" t="s">
        <v>1217</v>
      </c>
      <c r="D565" s="63" t="str">
        <f t="shared" si="19"/>
        <v>英語文4-模具二甲</v>
      </c>
      <c r="E565" s="61" t="s">
        <v>1410</v>
      </c>
      <c r="F565" s="61" t="s">
        <v>1411</v>
      </c>
      <c r="G565" s="61">
        <v>41</v>
      </c>
      <c r="H565" s="61">
        <v>2</v>
      </c>
      <c r="I565" s="61" t="s">
        <v>11</v>
      </c>
      <c r="J565" s="60"/>
    </row>
    <row r="566" spans="1:10" outlineLevel="1" collapsed="1">
      <c r="A566" s="60"/>
      <c r="B566" s="65"/>
      <c r="C566" s="62"/>
      <c r="D566" s="64" t="s">
        <v>2148</v>
      </c>
      <c r="E566" s="61">
        <f>SUBTOTAL(3,E559:E565)</f>
        <v>7</v>
      </c>
      <c r="F566" s="61"/>
      <c r="G566" s="61"/>
      <c r="H566" s="61"/>
      <c r="I566" s="61">
        <f>SUBTOTAL(3,I559:I565)</f>
        <v>7</v>
      </c>
      <c r="J566" s="60"/>
    </row>
    <row r="567" spans="1:10" hidden="1" outlineLevel="2">
      <c r="A567" s="60">
        <v>2</v>
      </c>
      <c r="B567" s="65" t="s">
        <v>1946</v>
      </c>
      <c r="C567" s="62" t="s">
        <v>1171</v>
      </c>
      <c r="D567" s="63" t="str">
        <f t="shared" ref="D567:D574" si="20">B567&amp;"-"&amp;C567</f>
        <v>英語文4-機械二乙</v>
      </c>
      <c r="E567" s="61" t="s">
        <v>1243</v>
      </c>
      <c r="F567" s="61" t="s">
        <v>1244</v>
      </c>
      <c r="G567" s="61">
        <v>40</v>
      </c>
      <c r="H567" s="61">
        <v>2</v>
      </c>
      <c r="I567" s="61" t="s">
        <v>11</v>
      </c>
      <c r="J567" s="60"/>
    </row>
    <row r="568" spans="1:10" hidden="1" outlineLevel="2">
      <c r="A568" s="60">
        <v>2</v>
      </c>
      <c r="B568" s="65" t="s">
        <v>1946</v>
      </c>
      <c r="C568" s="62" t="s">
        <v>1171</v>
      </c>
      <c r="D568" s="63" t="str">
        <f t="shared" si="20"/>
        <v>英語文4-機械二乙</v>
      </c>
      <c r="E568" s="61" t="s">
        <v>1245</v>
      </c>
      <c r="F568" s="61" t="s">
        <v>1246</v>
      </c>
      <c r="G568" s="61">
        <v>40</v>
      </c>
      <c r="H568" s="61">
        <v>2</v>
      </c>
      <c r="I568" s="61" t="s">
        <v>11</v>
      </c>
      <c r="J568" s="60"/>
    </row>
    <row r="569" spans="1:10" hidden="1" outlineLevel="2">
      <c r="A569" s="60">
        <v>2</v>
      </c>
      <c r="B569" s="65" t="s">
        <v>1946</v>
      </c>
      <c r="C569" s="62" t="s">
        <v>1171</v>
      </c>
      <c r="D569" s="63" t="str">
        <f t="shared" si="20"/>
        <v>英語文4-機械二乙</v>
      </c>
      <c r="E569" s="61" t="s">
        <v>1247</v>
      </c>
      <c r="F569" s="61" t="s">
        <v>1248</v>
      </c>
      <c r="G569" s="61">
        <v>41</v>
      </c>
      <c r="H569" s="61">
        <v>2</v>
      </c>
      <c r="I569" s="61" t="s">
        <v>11</v>
      </c>
      <c r="J569" s="60"/>
    </row>
    <row r="570" spans="1:10" hidden="1" outlineLevel="2">
      <c r="A570" s="60">
        <v>2</v>
      </c>
      <c r="B570" s="65" t="s">
        <v>1946</v>
      </c>
      <c r="C570" s="62" t="s">
        <v>1171</v>
      </c>
      <c r="D570" s="63" t="str">
        <f t="shared" si="20"/>
        <v>英語文4-機械二乙</v>
      </c>
      <c r="E570" s="61" t="s">
        <v>1176</v>
      </c>
      <c r="F570" s="61" t="s">
        <v>1177</v>
      </c>
      <c r="G570" s="61">
        <v>53</v>
      </c>
      <c r="H570" s="61">
        <v>2</v>
      </c>
      <c r="I570" s="61" t="s">
        <v>11</v>
      </c>
      <c r="J570" s="60"/>
    </row>
    <row r="571" spans="1:10" hidden="1" outlineLevel="2">
      <c r="A571" s="60">
        <v>2</v>
      </c>
      <c r="B571" s="65" t="s">
        <v>1946</v>
      </c>
      <c r="C571" s="62" t="s">
        <v>1171</v>
      </c>
      <c r="D571" s="63" t="str">
        <f t="shared" si="20"/>
        <v>英語文4-機械二乙</v>
      </c>
      <c r="E571" s="61" t="s">
        <v>1249</v>
      </c>
      <c r="F571" s="61" t="s">
        <v>1250</v>
      </c>
      <c r="G571" s="61">
        <v>51</v>
      </c>
      <c r="H571" s="61">
        <v>2</v>
      </c>
      <c r="I571" s="61" t="s">
        <v>11</v>
      </c>
      <c r="J571" s="60"/>
    </row>
    <row r="572" spans="1:10" hidden="1" outlineLevel="2">
      <c r="A572" s="60">
        <v>2</v>
      </c>
      <c r="B572" s="65" t="s">
        <v>1946</v>
      </c>
      <c r="C572" s="62" t="s">
        <v>1171</v>
      </c>
      <c r="D572" s="63" t="str">
        <f t="shared" si="20"/>
        <v>英語文4-機械二乙</v>
      </c>
      <c r="E572" s="61" t="s">
        <v>1251</v>
      </c>
      <c r="F572" s="61" t="s">
        <v>1252</v>
      </c>
      <c r="G572" s="61">
        <v>40</v>
      </c>
      <c r="H572" s="61">
        <v>2</v>
      </c>
      <c r="I572" s="61" t="s">
        <v>11</v>
      </c>
      <c r="J572" s="60"/>
    </row>
    <row r="573" spans="1:10" hidden="1" outlineLevel="2">
      <c r="A573" s="60">
        <v>2</v>
      </c>
      <c r="B573" s="65" t="s">
        <v>1946</v>
      </c>
      <c r="C573" s="62" t="s">
        <v>1171</v>
      </c>
      <c r="D573" s="63" t="str">
        <f t="shared" si="20"/>
        <v>英語文4-機械二乙</v>
      </c>
      <c r="E573" s="61" t="s">
        <v>1253</v>
      </c>
      <c r="F573" s="61" t="s">
        <v>1254</v>
      </c>
      <c r="G573" s="61">
        <v>43</v>
      </c>
      <c r="H573" s="61">
        <v>2</v>
      </c>
      <c r="I573" s="61" t="s">
        <v>11</v>
      </c>
      <c r="J573" s="60"/>
    </row>
    <row r="574" spans="1:10" hidden="1" outlineLevel="2">
      <c r="A574" s="60">
        <v>2</v>
      </c>
      <c r="B574" s="65" t="s">
        <v>1946</v>
      </c>
      <c r="C574" s="62" t="s">
        <v>1171</v>
      </c>
      <c r="D574" s="63" t="str">
        <f t="shared" si="20"/>
        <v>英語文4-機械二乙</v>
      </c>
      <c r="E574" s="61" t="s">
        <v>1255</v>
      </c>
      <c r="F574" s="61" t="s">
        <v>1256</v>
      </c>
      <c r="G574" s="61">
        <v>52</v>
      </c>
      <c r="H574" s="61">
        <v>2</v>
      </c>
      <c r="I574" s="61" t="s">
        <v>11</v>
      </c>
      <c r="J574" s="60"/>
    </row>
    <row r="575" spans="1:10" outlineLevel="1" collapsed="1">
      <c r="A575" s="60"/>
      <c r="B575" s="65"/>
      <c r="C575" s="62"/>
      <c r="D575" s="64" t="s">
        <v>2149</v>
      </c>
      <c r="E575" s="61">
        <f>SUBTOTAL(3,E567:E574)</f>
        <v>8</v>
      </c>
      <c r="F575" s="61"/>
      <c r="G575" s="61"/>
      <c r="H575" s="61"/>
      <c r="I575" s="61">
        <f>SUBTOTAL(3,I567:I574)</f>
        <v>8</v>
      </c>
      <c r="J575" s="60"/>
    </row>
    <row r="576" spans="1:10" hidden="1" outlineLevel="2">
      <c r="A576" s="60">
        <v>2</v>
      </c>
      <c r="B576" s="65" t="s">
        <v>1946</v>
      </c>
      <c r="C576" s="62" t="s">
        <v>971</v>
      </c>
      <c r="D576" s="63" t="str">
        <f t="shared" ref="D576:D583" si="21">B576&amp;"-"&amp;C576</f>
        <v>英語文4-機械二甲</v>
      </c>
      <c r="E576" s="61" t="s">
        <v>1281</v>
      </c>
      <c r="F576" s="61" t="s">
        <v>1282</v>
      </c>
      <c r="G576" s="61">
        <v>54</v>
      </c>
      <c r="H576" s="61">
        <v>2</v>
      </c>
      <c r="I576" s="61" t="s">
        <v>11</v>
      </c>
      <c r="J576" s="60"/>
    </row>
    <row r="577" spans="1:10" hidden="1" outlineLevel="2">
      <c r="A577" s="60">
        <v>2</v>
      </c>
      <c r="B577" s="65" t="s">
        <v>1946</v>
      </c>
      <c r="C577" s="62" t="s">
        <v>971</v>
      </c>
      <c r="D577" s="63" t="str">
        <f t="shared" si="21"/>
        <v>英語文4-機械二甲</v>
      </c>
      <c r="E577" s="61" t="s">
        <v>1283</v>
      </c>
      <c r="F577" s="61" t="s">
        <v>1284</v>
      </c>
      <c r="G577" s="61">
        <v>46</v>
      </c>
      <c r="H577" s="61">
        <v>2</v>
      </c>
      <c r="I577" s="61" t="s">
        <v>11</v>
      </c>
      <c r="J577" s="60"/>
    </row>
    <row r="578" spans="1:10" hidden="1" outlineLevel="2">
      <c r="A578" s="60">
        <v>2</v>
      </c>
      <c r="B578" s="65" t="s">
        <v>1946</v>
      </c>
      <c r="C578" s="62" t="s">
        <v>971</v>
      </c>
      <c r="D578" s="63" t="str">
        <f t="shared" si="21"/>
        <v>英語文4-機械二甲</v>
      </c>
      <c r="E578" s="61" t="s">
        <v>1285</v>
      </c>
      <c r="F578" s="61" t="s">
        <v>1286</v>
      </c>
      <c r="G578" s="61">
        <v>48</v>
      </c>
      <c r="H578" s="61">
        <v>2</v>
      </c>
      <c r="I578" s="61" t="s">
        <v>11</v>
      </c>
      <c r="J578" s="60"/>
    </row>
    <row r="579" spans="1:10" hidden="1" outlineLevel="2">
      <c r="A579" s="60">
        <v>2</v>
      </c>
      <c r="B579" s="65" t="s">
        <v>1946</v>
      </c>
      <c r="C579" s="62" t="s">
        <v>971</v>
      </c>
      <c r="D579" s="63" t="str">
        <f t="shared" si="21"/>
        <v>英語文4-機械二甲</v>
      </c>
      <c r="E579" s="61" t="s">
        <v>980</v>
      </c>
      <c r="F579" s="61" t="s">
        <v>981</v>
      </c>
      <c r="G579" s="61">
        <v>42</v>
      </c>
      <c r="H579" s="61">
        <v>2</v>
      </c>
      <c r="I579" s="61" t="s">
        <v>11</v>
      </c>
      <c r="J579" s="60"/>
    </row>
    <row r="580" spans="1:10" hidden="1" outlineLevel="2">
      <c r="A580" s="60">
        <v>2</v>
      </c>
      <c r="B580" s="65" t="s">
        <v>1946</v>
      </c>
      <c r="C580" s="62" t="s">
        <v>971</v>
      </c>
      <c r="D580" s="63" t="str">
        <f t="shared" si="21"/>
        <v>英語文4-機械二甲</v>
      </c>
      <c r="E580" s="61" t="s">
        <v>988</v>
      </c>
      <c r="F580" s="61" t="s">
        <v>989</v>
      </c>
      <c r="G580" s="61">
        <v>54</v>
      </c>
      <c r="H580" s="61">
        <v>2</v>
      </c>
      <c r="I580" s="61" t="s">
        <v>11</v>
      </c>
      <c r="J580" s="60"/>
    </row>
    <row r="581" spans="1:10" hidden="1" outlineLevel="2">
      <c r="A581" s="60">
        <v>2</v>
      </c>
      <c r="B581" s="65" t="s">
        <v>1946</v>
      </c>
      <c r="C581" s="62" t="s">
        <v>971</v>
      </c>
      <c r="D581" s="63" t="str">
        <f t="shared" si="21"/>
        <v>英語文4-機械二甲</v>
      </c>
      <c r="E581" s="61" t="s">
        <v>990</v>
      </c>
      <c r="F581" s="61" t="s">
        <v>991</v>
      </c>
      <c r="G581" s="61">
        <v>47</v>
      </c>
      <c r="H581" s="61">
        <v>2</v>
      </c>
      <c r="I581" s="61" t="s">
        <v>11</v>
      </c>
      <c r="J581" s="60"/>
    </row>
    <row r="582" spans="1:10" hidden="1" outlineLevel="2">
      <c r="A582" s="60">
        <v>2</v>
      </c>
      <c r="B582" s="65" t="s">
        <v>1946</v>
      </c>
      <c r="C582" s="62" t="s">
        <v>971</v>
      </c>
      <c r="D582" s="63" t="str">
        <f t="shared" si="21"/>
        <v>英語文4-機械二甲</v>
      </c>
      <c r="E582" s="61" t="s">
        <v>1287</v>
      </c>
      <c r="F582" s="61" t="s">
        <v>1288</v>
      </c>
      <c r="G582" s="61">
        <v>41</v>
      </c>
      <c r="H582" s="61">
        <v>2</v>
      </c>
      <c r="I582" s="61" t="s">
        <v>11</v>
      </c>
      <c r="J582" s="60"/>
    </row>
    <row r="583" spans="1:10" hidden="1" outlineLevel="2">
      <c r="A583" s="60">
        <v>2</v>
      </c>
      <c r="B583" s="65" t="s">
        <v>1946</v>
      </c>
      <c r="C583" s="62" t="s">
        <v>971</v>
      </c>
      <c r="D583" s="63" t="str">
        <f t="shared" si="21"/>
        <v>英語文4-機械二甲</v>
      </c>
      <c r="E583" s="61" t="s">
        <v>1289</v>
      </c>
      <c r="F583" s="61" t="s">
        <v>1290</v>
      </c>
      <c r="G583" s="61">
        <v>42</v>
      </c>
      <c r="H583" s="61">
        <v>2</v>
      </c>
      <c r="I583" s="61" t="s">
        <v>11</v>
      </c>
      <c r="J583" s="60"/>
    </row>
    <row r="584" spans="1:10" outlineLevel="1" collapsed="1">
      <c r="A584" s="60"/>
      <c r="B584" s="65"/>
      <c r="C584" s="62"/>
      <c r="D584" s="64" t="s">
        <v>2150</v>
      </c>
      <c r="E584" s="61">
        <f>SUBTOTAL(3,E576:E583)</f>
        <v>8</v>
      </c>
      <c r="F584" s="61"/>
      <c r="G584" s="61"/>
      <c r="H584" s="61"/>
      <c r="I584" s="61">
        <f>SUBTOTAL(3,I576:I583)</f>
        <v>8</v>
      </c>
      <c r="J584" s="60">
        <f>E584+E575+E566+E558+E556+E544</f>
        <v>41</v>
      </c>
    </row>
    <row r="585" spans="1:10" hidden="1" outlineLevel="2">
      <c r="A585" s="60">
        <v>2</v>
      </c>
      <c r="B585" s="65" t="s">
        <v>1946</v>
      </c>
      <c r="C585" s="62" t="s">
        <v>1020</v>
      </c>
      <c r="D585" s="63" t="str">
        <f t="shared" ref="D585:D595" si="22">B585&amp;"-"&amp;C585</f>
        <v>英語文4-鑄造二乙</v>
      </c>
      <c r="E585" s="61" t="s">
        <v>1257</v>
      </c>
      <c r="F585" s="61" t="s">
        <v>1258</v>
      </c>
      <c r="G585" s="61">
        <v>48</v>
      </c>
      <c r="H585" s="61">
        <v>2</v>
      </c>
      <c r="I585" s="61" t="s">
        <v>11</v>
      </c>
      <c r="J585" s="60"/>
    </row>
    <row r="586" spans="1:10" hidden="1" outlineLevel="2">
      <c r="A586" s="60">
        <v>2</v>
      </c>
      <c r="B586" s="65" t="s">
        <v>1946</v>
      </c>
      <c r="C586" s="62" t="s">
        <v>1020</v>
      </c>
      <c r="D586" s="63" t="str">
        <f t="shared" si="22"/>
        <v>英語文4-鑄造二乙</v>
      </c>
      <c r="E586" s="61" t="s">
        <v>1259</v>
      </c>
      <c r="F586" s="61" t="s">
        <v>1260</v>
      </c>
      <c r="G586" s="61">
        <v>40</v>
      </c>
      <c r="H586" s="61">
        <v>2</v>
      </c>
      <c r="I586" s="61" t="s">
        <v>11</v>
      </c>
      <c r="J586" s="60"/>
    </row>
    <row r="587" spans="1:10" hidden="1" outlineLevel="2">
      <c r="A587" s="60">
        <v>2</v>
      </c>
      <c r="B587" s="65" t="s">
        <v>1946</v>
      </c>
      <c r="C587" s="62" t="s">
        <v>1020</v>
      </c>
      <c r="D587" s="63" t="str">
        <f t="shared" si="22"/>
        <v>英語文4-鑄造二乙</v>
      </c>
      <c r="E587" s="61" t="s">
        <v>1261</v>
      </c>
      <c r="F587" s="61" t="s">
        <v>1262</v>
      </c>
      <c r="G587" s="61">
        <v>50</v>
      </c>
      <c r="H587" s="61">
        <v>2</v>
      </c>
      <c r="I587" s="61" t="s">
        <v>11</v>
      </c>
      <c r="J587" s="60"/>
    </row>
    <row r="588" spans="1:10" hidden="1" outlineLevel="2">
      <c r="A588" s="60">
        <v>2</v>
      </c>
      <c r="B588" s="65" t="s">
        <v>1946</v>
      </c>
      <c r="C588" s="62" t="s">
        <v>1020</v>
      </c>
      <c r="D588" s="63" t="str">
        <f t="shared" si="22"/>
        <v>英語文4-鑄造二乙</v>
      </c>
      <c r="E588" s="61" t="s">
        <v>1263</v>
      </c>
      <c r="F588" s="61" t="s">
        <v>1264</v>
      </c>
      <c r="G588" s="61">
        <v>49</v>
      </c>
      <c r="H588" s="61">
        <v>2</v>
      </c>
      <c r="I588" s="61" t="s">
        <v>11</v>
      </c>
      <c r="J588" s="60"/>
    </row>
    <row r="589" spans="1:10" hidden="1" outlineLevel="2">
      <c r="A589" s="60">
        <v>2</v>
      </c>
      <c r="B589" s="65" t="s">
        <v>1946</v>
      </c>
      <c r="C589" s="62" t="s">
        <v>1020</v>
      </c>
      <c r="D589" s="63" t="str">
        <f t="shared" si="22"/>
        <v>英語文4-鑄造二乙</v>
      </c>
      <c r="E589" s="61" t="s">
        <v>1265</v>
      </c>
      <c r="F589" s="61" t="s">
        <v>1266</v>
      </c>
      <c r="G589" s="61">
        <v>33</v>
      </c>
      <c r="H589" s="61">
        <v>2</v>
      </c>
      <c r="I589" s="61" t="s">
        <v>11</v>
      </c>
      <c r="J589" s="60"/>
    </row>
    <row r="590" spans="1:10" hidden="1" outlineLevel="2">
      <c r="A590" s="60">
        <v>2</v>
      </c>
      <c r="B590" s="65" t="s">
        <v>1946</v>
      </c>
      <c r="C590" s="62" t="s">
        <v>1020</v>
      </c>
      <c r="D590" s="63" t="str">
        <f t="shared" si="22"/>
        <v>英語文4-鑄造二乙</v>
      </c>
      <c r="E590" s="61" t="s">
        <v>1025</v>
      </c>
      <c r="F590" s="61" t="s">
        <v>1026</v>
      </c>
      <c r="G590" s="61">
        <v>40</v>
      </c>
      <c r="H590" s="61">
        <v>2</v>
      </c>
      <c r="I590" s="61" t="s">
        <v>11</v>
      </c>
      <c r="J590" s="60"/>
    </row>
    <row r="591" spans="1:10" hidden="1" outlineLevel="2">
      <c r="A591" s="60">
        <v>2</v>
      </c>
      <c r="B591" s="65" t="s">
        <v>1946</v>
      </c>
      <c r="C591" s="62" t="s">
        <v>1020</v>
      </c>
      <c r="D591" s="63" t="str">
        <f t="shared" si="22"/>
        <v>英語文4-鑄造二乙</v>
      </c>
      <c r="E591" s="61" t="s">
        <v>1267</v>
      </c>
      <c r="F591" s="61" t="s">
        <v>1268</v>
      </c>
      <c r="G591" s="61">
        <v>47</v>
      </c>
      <c r="H591" s="61">
        <v>2</v>
      </c>
      <c r="I591" s="61" t="s">
        <v>11</v>
      </c>
      <c r="J591" s="60"/>
    </row>
    <row r="592" spans="1:10" hidden="1" outlineLevel="2">
      <c r="A592" s="60">
        <v>2</v>
      </c>
      <c r="B592" s="65" t="s">
        <v>1946</v>
      </c>
      <c r="C592" s="62" t="s">
        <v>1020</v>
      </c>
      <c r="D592" s="63" t="str">
        <f t="shared" si="22"/>
        <v>英語文4-鑄造二乙</v>
      </c>
      <c r="E592" s="61" t="s">
        <v>1027</v>
      </c>
      <c r="F592" s="61" t="s">
        <v>1028</v>
      </c>
      <c r="G592" s="61">
        <v>53</v>
      </c>
      <c r="H592" s="61">
        <v>2</v>
      </c>
      <c r="I592" s="61" t="s">
        <v>11</v>
      </c>
      <c r="J592" s="60"/>
    </row>
    <row r="593" spans="1:10" hidden="1" outlineLevel="2">
      <c r="A593" s="60">
        <v>2</v>
      </c>
      <c r="B593" s="65" t="s">
        <v>1946</v>
      </c>
      <c r="C593" s="62" t="s">
        <v>1020</v>
      </c>
      <c r="D593" s="63" t="str">
        <f t="shared" si="22"/>
        <v>英語文4-鑄造二乙</v>
      </c>
      <c r="E593" s="61" t="s">
        <v>1269</v>
      </c>
      <c r="F593" s="61" t="s">
        <v>1270</v>
      </c>
      <c r="G593" s="61">
        <v>48</v>
      </c>
      <c r="H593" s="61">
        <v>2</v>
      </c>
      <c r="I593" s="61" t="s">
        <v>11</v>
      </c>
      <c r="J593" s="60"/>
    </row>
    <row r="594" spans="1:10" hidden="1" outlineLevel="2">
      <c r="A594" s="60">
        <v>2</v>
      </c>
      <c r="B594" s="65" t="s">
        <v>1946</v>
      </c>
      <c r="C594" s="62" t="s">
        <v>1020</v>
      </c>
      <c r="D594" s="63" t="str">
        <f t="shared" si="22"/>
        <v>英語文4-鑄造二乙</v>
      </c>
      <c r="E594" s="61" t="s">
        <v>1029</v>
      </c>
      <c r="F594" s="61" t="s">
        <v>1030</v>
      </c>
      <c r="G594" s="61">
        <v>52</v>
      </c>
      <c r="H594" s="61">
        <v>2</v>
      </c>
      <c r="I594" s="61" t="s">
        <v>11</v>
      </c>
      <c r="J594" s="60"/>
    </row>
    <row r="595" spans="1:10" hidden="1" outlineLevel="2">
      <c r="A595" s="60">
        <v>2</v>
      </c>
      <c r="B595" s="65" t="s">
        <v>1946</v>
      </c>
      <c r="C595" s="62" t="s">
        <v>1020</v>
      </c>
      <c r="D595" s="63" t="str">
        <f t="shared" si="22"/>
        <v>英語文4-鑄造二乙</v>
      </c>
      <c r="E595" s="61" t="s">
        <v>1033</v>
      </c>
      <c r="F595" s="61" t="s">
        <v>1034</v>
      </c>
      <c r="G595" s="61">
        <v>44</v>
      </c>
      <c r="H595" s="61">
        <v>2</v>
      </c>
      <c r="I595" s="61" t="s">
        <v>11</v>
      </c>
      <c r="J595" s="60"/>
    </row>
    <row r="596" spans="1:10" outlineLevel="1" collapsed="1">
      <c r="A596" s="60"/>
      <c r="B596" s="65"/>
      <c r="C596" s="62"/>
      <c r="D596" s="64" t="s">
        <v>2151</v>
      </c>
      <c r="E596" s="61">
        <f>SUBTOTAL(3,E585:E595)</f>
        <v>11</v>
      </c>
      <c r="F596" s="61"/>
      <c r="G596" s="61"/>
      <c r="H596" s="61"/>
      <c r="I596" s="61">
        <f>SUBTOTAL(3,I585:I595)</f>
        <v>11</v>
      </c>
      <c r="J596" s="60"/>
    </row>
    <row r="597" spans="1:10" hidden="1" outlineLevel="2">
      <c r="A597" s="60">
        <v>2</v>
      </c>
      <c r="B597" s="65" t="s">
        <v>1946</v>
      </c>
      <c r="C597" s="62" t="s">
        <v>1064</v>
      </c>
      <c r="D597" s="63" t="str">
        <f t="shared" ref="D597:D606" si="23">B597&amp;"-"&amp;C597</f>
        <v>英語文4-鑄造二甲</v>
      </c>
      <c r="E597" s="61" t="s">
        <v>1305</v>
      </c>
      <c r="F597" s="61" t="s">
        <v>1306</v>
      </c>
      <c r="G597" s="61">
        <v>40</v>
      </c>
      <c r="H597" s="61">
        <v>2</v>
      </c>
      <c r="I597" s="61" t="s">
        <v>11</v>
      </c>
      <c r="J597" s="60"/>
    </row>
    <row r="598" spans="1:10" hidden="1" outlineLevel="2">
      <c r="A598" s="60">
        <v>2</v>
      </c>
      <c r="B598" s="65" t="s">
        <v>1946</v>
      </c>
      <c r="C598" s="62" t="s">
        <v>1064</v>
      </c>
      <c r="D598" s="63" t="str">
        <f t="shared" si="23"/>
        <v>英語文4-鑄造二甲</v>
      </c>
      <c r="E598" s="61" t="s">
        <v>1307</v>
      </c>
      <c r="F598" s="61" t="s">
        <v>1308</v>
      </c>
      <c r="G598" s="61">
        <v>47</v>
      </c>
      <c r="H598" s="61">
        <v>2</v>
      </c>
      <c r="I598" s="61" t="s">
        <v>11</v>
      </c>
      <c r="J598" s="60"/>
    </row>
    <row r="599" spans="1:10" hidden="1" outlineLevel="2">
      <c r="A599" s="60">
        <v>2</v>
      </c>
      <c r="B599" s="65" t="s">
        <v>1946</v>
      </c>
      <c r="C599" s="62" t="s">
        <v>1064</v>
      </c>
      <c r="D599" s="63" t="str">
        <f t="shared" si="23"/>
        <v>英語文4-鑄造二甲</v>
      </c>
      <c r="E599" s="61" t="s">
        <v>1309</v>
      </c>
      <c r="F599" s="61" t="s">
        <v>1310</v>
      </c>
      <c r="G599" s="61">
        <v>41</v>
      </c>
      <c r="H599" s="61">
        <v>2</v>
      </c>
      <c r="I599" s="61" t="s">
        <v>11</v>
      </c>
      <c r="J599" s="60"/>
    </row>
    <row r="600" spans="1:10" hidden="1" outlineLevel="2">
      <c r="A600" s="60">
        <v>2</v>
      </c>
      <c r="B600" s="65" t="s">
        <v>1946</v>
      </c>
      <c r="C600" s="62" t="s">
        <v>1064</v>
      </c>
      <c r="D600" s="63" t="str">
        <f t="shared" si="23"/>
        <v>英語文4-鑄造二甲</v>
      </c>
      <c r="E600" s="61" t="s">
        <v>1311</v>
      </c>
      <c r="F600" s="61" t="s">
        <v>1312</v>
      </c>
      <c r="G600" s="61">
        <v>43</v>
      </c>
      <c r="H600" s="61">
        <v>2</v>
      </c>
      <c r="I600" s="61" t="s">
        <v>11</v>
      </c>
      <c r="J600" s="60"/>
    </row>
    <row r="601" spans="1:10" hidden="1" outlineLevel="2">
      <c r="A601" s="60">
        <v>2</v>
      </c>
      <c r="B601" s="65" t="s">
        <v>1946</v>
      </c>
      <c r="C601" s="62" t="s">
        <v>1064</v>
      </c>
      <c r="D601" s="63" t="str">
        <f t="shared" si="23"/>
        <v>英語文4-鑄造二甲</v>
      </c>
      <c r="E601" s="61" t="s">
        <v>1071</v>
      </c>
      <c r="F601" s="61" t="s">
        <v>1072</v>
      </c>
      <c r="G601" s="61">
        <v>43</v>
      </c>
      <c r="H601" s="61">
        <v>2</v>
      </c>
      <c r="I601" s="61" t="s">
        <v>11</v>
      </c>
      <c r="J601" s="60"/>
    </row>
    <row r="602" spans="1:10" hidden="1" outlineLevel="2">
      <c r="A602" s="60">
        <v>2</v>
      </c>
      <c r="B602" s="65" t="s">
        <v>1946</v>
      </c>
      <c r="C602" s="62" t="s">
        <v>1064</v>
      </c>
      <c r="D602" s="63" t="str">
        <f t="shared" si="23"/>
        <v>英語文4-鑄造二甲</v>
      </c>
      <c r="E602" s="61" t="s">
        <v>1313</v>
      </c>
      <c r="F602" s="61" t="s">
        <v>1314</v>
      </c>
      <c r="G602" s="61">
        <v>49</v>
      </c>
      <c r="H602" s="61">
        <v>2</v>
      </c>
      <c r="I602" s="61" t="s">
        <v>11</v>
      </c>
      <c r="J602" s="60"/>
    </row>
    <row r="603" spans="1:10" hidden="1" outlineLevel="2">
      <c r="A603" s="60">
        <v>2</v>
      </c>
      <c r="B603" s="65" t="s">
        <v>1946</v>
      </c>
      <c r="C603" s="62" t="s">
        <v>1064</v>
      </c>
      <c r="D603" s="63" t="str">
        <f t="shared" si="23"/>
        <v>英語文4-鑄造二甲</v>
      </c>
      <c r="E603" s="61" t="s">
        <v>1315</v>
      </c>
      <c r="F603" s="61" t="s">
        <v>1316</v>
      </c>
      <c r="G603" s="61">
        <v>42</v>
      </c>
      <c r="H603" s="61">
        <v>2</v>
      </c>
      <c r="I603" s="61" t="s">
        <v>11</v>
      </c>
      <c r="J603" s="60"/>
    </row>
    <row r="604" spans="1:10" hidden="1" outlineLevel="2">
      <c r="A604" s="60">
        <v>2</v>
      </c>
      <c r="B604" s="65" t="s">
        <v>1946</v>
      </c>
      <c r="C604" s="62" t="s">
        <v>1064</v>
      </c>
      <c r="D604" s="63" t="str">
        <f t="shared" si="23"/>
        <v>英語文4-鑄造二甲</v>
      </c>
      <c r="E604" s="61" t="s">
        <v>1075</v>
      </c>
      <c r="F604" s="61" t="s">
        <v>1076</v>
      </c>
      <c r="G604" s="61">
        <v>40</v>
      </c>
      <c r="H604" s="61">
        <v>2</v>
      </c>
      <c r="I604" s="61" t="s">
        <v>11</v>
      </c>
      <c r="J604" s="60"/>
    </row>
    <row r="605" spans="1:10" hidden="1" outlineLevel="2">
      <c r="A605" s="60">
        <v>2</v>
      </c>
      <c r="B605" s="65" t="s">
        <v>1946</v>
      </c>
      <c r="C605" s="62" t="s">
        <v>1064</v>
      </c>
      <c r="D605" s="63" t="str">
        <f t="shared" si="23"/>
        <v>英語文4-鑄造二甲</v>
      </c>
      <c r="E605" s="61" t="s">
        <v>1317</v>
      </c>
      <c r="F605" s="61" t="s">
        <v>1318</v>
      </c>
      <c r="G605" s="61">
        <v>40</v>
      </c>
      <c r="H605" s="61">
        <v>2</v>
      </c>
      <c r="I605" s="61" t="s">
        <v>11</v>
      </c>
      <c r="J605" s="60"/>
    </row>
    <row r="606" spans="1:10" hidden="1" outlineLevel="2">
      <c r="A606" s="60">
        <v>2</v>
      </c>
      <c r="B606" s="65" t="s">
        <v>1946</v>
      </c>
      <c r="C606" s="62" t="s">
        <v>1064</v>
      </c>
      <c r="D606" s="63" t="str">
        <f t="shared" si="23"/>
        <v>英語文4-鑄造二甲</v>
      </c>
      <c r="E606" s="61" t="s">
        <v>1081</v>
      </c>
      <c r="F606" s="61" t="s">
        <v>1082</v>
      </c>
      <c r="G606" s="61">
        <v>54</v>
      </c>
      <c r="H606" s="61">
        <v>2</v>
      </c>
      <c r="I606" s="61" t="s">
        <v>11</v>
      </c>
      <c r="J606" s="60"/>
    </row>
    <row r="607" spans="1:10" outlineLevel="1" collapsed="1">
      <c r="A607" s="60"/>
      <c r="B607" s="65"/>
      <c r="C607" s="62"/>
      <c r="D607" s="64" t="s">
        <v>2152</v>
      </c>
      <c r="E607" s="61">
        <f>SUBTOTAL(3,E597:E606)</f>
        <v>10</v>
      </c>
      <c r="F607" s="61"/>
      <c r="G607" s="61"/>
      <c r="H607" s="61"/>
      <c r="I607" s="61">
        <f>SUBTOTAL(3,I597:I606)</f>
        <v>10</v>
      </c>
      <c r="J607" s="60"/>
    </row>
    <row r="608" spans="1:10" hidden="1" outlineLevel="2">
      <c r="A608" s="60">
        <v>2</v>
      </c>
      <c r="B608" s="61" t="s">
        <v>2015</v>
      </c>
      <c r="C608" s="62" t="s">
        <v>171</v>
      </c>
      <c r="D608" s="63" t="s">
        <v>2016</v>
      </c>
      <c r="E608" s="61" t="s">
        <v>481</v>
      </c>
      <c r="F608" s="61" t="s">
        <v>482</v>
      </c>
      <c r="G608" s="61">
        <v>35</v>
      </c>
      <c r="H608" s="61">
        <v>2</v>
      </c>
      <c r="I608" s="61" t="s">
        <v>11</v>
      </c>
      <c r="J608" s="60"/>
    </row>
    <row r="609" spans="1:10" hidden="1" outlineLevel="2">
      <c r="A609" s="60">
        <v>2</v>
      </c>
      <c r="B609" s="61" t="s">
        <v>2015</v>
      </c>
      <c r="C609" s="62" t="s">
        <v>171</v>
      </c>
      <c r="D609" s="63" t="s">
        <v>2016</v>
      </c>
      <c r="E609" s="61" t="s">
        <v>483</v>
      </c>
      <c r="F609" s="61" t="s">
        <v>484</v>
      </c>
      <c r="G609" s="61">
        <v>42</v>
      </c>
      <c r="H609" s="61">
        <v>2</v>
      </c>
      <c r="I609" s="61" t="s">
        <v>11</v>
      </c>
      <c r="J609" s="60"/>
    </row>
    <row r="610" spans="1:10" hidden="1" outlineLevel="2">
      <c r="A610" s="60">
        <v>2</v>
      </c>
      <c r="B610" s="61" t="s">
        <v>2015</v>
      </c>
      <c r="C610" s="62" t="s">
        <v>171</v>
      </c>
      <c r="D610" s="63" t="s">
        <v>2016</v>
      </c>
      <c r="E610" s="61" t="s">
        <v>172</v>
      </c>
      <c r="F610" s="61" t="s">
        <v>173</v>
      </c>
      <c r="G610" s="61">
        <v>58</v>
      </c>
      <c r="H610" s="61">
        <v>2</v>
      </c>
      <c r="I610" s="61" t="s">
        <v>11</v>
      </c>
      <c r="J610" s="60"/>
    </row>
    <row r="611" spans="1:10" hidden="1" outlineLevel="2">
      <c r="A611" s="60">
        <v>2</v>
      </c>
      <c r="B611" s="61" t="s">
        <v>2015</v>
      </c>
      <c r="C611" s="62" t="s">
        <v>171</v>
      </c>
      <c r="D611" s="63" t="s">
        <v>2016</v>
      </c>
      <c r="E611" s="61" t="s">
        <v>485</v>
      </c>
      <c r="F611" s="61" t="s">
        <v>486</v>
      </c>
      <c r="G611" s="61">
        <v>56</v>
      </c>
      <c r="H611" s="61">
        <v>2</v>
      </c>
      <c r="I611" s="61" t="s">
        <v>11</v>
      </c>
      <c r="J611" s="60"/>
    </row>
    <row r="612" spans="1:10" hidden="1" outlineLevel="2">
      <c r="A612" s="60">
        <v>2</v>
      </c>
      <c r="B612" s="61" t="s">
        <v>2015</v>
      </c>
      <c r="C612" s="62" t="s">
        <v>171</v>
      </c>
      <c r="D612" s="63" t="s">
        <v>2016</v>
      </c>
      <c r="E612" s="61" t="s">
        <v>487</v>
      </c>
      <c r="F612" s="61" t="s">
        <v>488</v>
      </c>
      <c r="G612" s="61">
        <v>52</v>
      </c>
      <c r="H612" s="61">
        <v>2</v>
      </c>
      <c r="I612" s="61" t="s">
        <v>11</v>
      </c>
      <c r="J612" s="60"/>
    </row>
    <row r="613" spans="1:10" outlineLevel="1" collapsed="1">
      <c r="A613" s="60"/>
      <c r="B613" s="61"/>
      <c r="C613" s="62"/>
      <c r="D613" s="64" t="s">
        <v>2153</v>
      </c>
      <c r="E613" s="61">
        <f>SUBTOTAL(3,E608:E612)</f>
        <v>5</v>
      </c>
      <c r="F613" s="61"/>
      <c r="G613" s="61"/>
      <c r="H613" s="61"/>
      <c r="I613" s="61">
        <f>SUBTOTAL(3,I608:I612)</f>
        <v>5</v>
      </c>
      <c r="J613" s="60"/>
    </row>
    <row r="614" spans="1:10" hidden="1" outlineLevel="2">
      <c r="A614" s="60">
        <v>2</v>
      </c>
      <c r="B614" s="65" t="s">
        <v>1947</v>
      </c>
      <c r="C614" s="62" t="s">
        <v>968</v>
      </c>
      <c r="D614" s="63" t="str">
        <f t="shared" ref="D614:D619" si="24">B614&amp;"-"&amp;C614</f>
        <v>英語文6-體育二甲</v>
      </c>
      <c r="E614" s="61" t="s">
        <v>1271</v>
      </c>
      <c r="F614" s="61" t="s">
        <v>1272</v>
      </c>
      <c r="G614" s="61">
        <v>42</v>
      </c>
      <c r="H614" s="61">
        <v>2</v>
      </c>
      <c r="I614" s="61" t="s">
        <v>11</v>
      </c>
      <c r="J614" s="60"/>
    </row>
    <row r="615" spans="1:10" hidden="1" outlineLevel="2">
      <c r="A615" s="60">
        <v>2</v>
      </c>
      <c r="B615" s="65" t="s">
        <v>1947</v>
      </c>
      <c r="C615" s="62" t="s">
        <v>968</v>
      </c>
      <c r="D615" s="63" t="str">
        <f t="shared" si="24"/>
        <v>英語文6-體育二甲</v>
      </c>
      <c r="E615" s="61" t="s">
        <v>1273</v>
      </c>
      <c r="F615" s="61" t="s">
        <v>1274</v>
      </c>
      <c r="G615" s="61">
        <v>54</v>
      </c>
      <c r="H615" s="61">
        <v>2</v>
      </c>
      <c r="I615" s="61" t="s">
        <v>11</v>
      </c>
      <c r="J615" s="60"/>
    </row>
    <row r="616" spans="1:10" hidden="1" outlineLevel="2">
      <c r="A616" s="60">
        <v>2</v>
      </c>
      <c r="B616" s="65" t="s">
        <v>1947</v>
      </c>
      <c r="C616" s="62" t="s">
        <v>968</v>
      </c>
      <c r="D616" s="63" t="str">
        <f t="shared" si="24"/>
        <v>英語文6-體育二甲</v>
      </c>
      <c r="E616" s="61" t="s">
        <v>1275</v>
      </c>
      <c r="F616" s="61" t="s">
        <v>1276</v>
      </c>
      <c r="G616" s="61">
        <v>41</v>
      </c>
      <c r="H616" s="61">
        <v>2</v>
      </c>
      <c r="I616" s="61" t="s">
        <v>11</v>
      </c>
      <c r="J616" s="60"/>
    </row>
    <row r="617" spans="1:10" hidden="1" outlineLevel="2">
      <c r="A617" s="60">
        <v>2</v>
      </c>
      <c r="B617" s="65" t="s">
        <v>1947</v>
      </c>
      <c r="C617" s="62" t="s">
        <v>968</v>
      </c>
      <c r="D617" s="63" t="str">
        <f t="shared" si="24"/>
        <v>英語文6-體育二甲</v>
      </c>
      <c r="E617" s="61" t="s">
        <v>1277</v>
      </c>
      <c r="F617" s="61" t="s">
        <v>1278</v>
      </c>
      <c r="G617" s="61">
        <v>41</v>
      </c>
      <c r="H617" s="61">
        <v>2</v>
      </c>
      <c r="I617" s="61" t="s">
        <v>11</v>
      </c>
      <c r="J617" s="60"/>
    </row>
    <row r="618" spans="1:10" hidden="1" outlineLevel="2">
      <c r="A618" s="60">
        <v>2</v>
      </c>
      <c r="B618" s="65" t="s">
        <v>1947</v>
      </c>
      <c r="C618" s="62" t="s">
        <v>968</v>
      </c>
      <c r="D618" s="63" t="str">
        <f t="shared" si="24"/>
        <v>英語文6-體育二甲</v>
      </c>
      <c r="E618" s="61" t="s">
        <v>1279</v>
      </c>
      <c r="F618" s="61" t="s">
        <v>1280</v>
      </c>
      <c r="G618" s="61">
        <v>41</v>
      </c>
      <c r="H618" s="61">
        <v>2</v>
      </c>
      <c r="I618" s="61" t="s">
        <v>11</v>
      </c>
      <c r="J618" s="60"/>
    </row>
    <row r="619" spans="1:10" hidden="1" outlineLevel="2">
      <c r="A619" s="60">
        <v>2</v>
      </c>
      <c r="B619" s="65" t="s">
        <v>1947</v>
      </c>
      <c r="C619" s="62" t="s">
        <v>968</v>
      </c>
      <c r="D619" s="63" t="str">
        <f t="shared" si="24"/>
        <v>英語文6-體育二甲</v>
      </c>
      <c r="E619" s="61" t="s">
        <v>969</v>
      </c>
      <c r="F619" s="61" t="s">
        <v>970</v>
      </c>
      <c r="G619" s="61">
        <v>41</v>
      </c>
      <c r="H619" s="61">
        <v>2</v>
      </c>
      <c r="I619" s="61" t="s">
        <v>11</v>
      </c>
      <c r="J619" s="60"/>
    </row>
    <row r="620" spans="1:10" outlineLevel="1" collapsed="1">
      <c r="A620" s="60"/>
      <c r="B620" s="65"/>
      <c r="C620" s="62"/>
      <c r="D620" s="64" t="s">
        <v>2154</v>
      </c>
      <c r="E620" s="61">
        <f>SUBTOTAL(3,E614:E619)</f>
        <v>6</v>
      </c>
      <c r="F620" s="61"/>
      <c r="G620" s="61"/>
      <c r="H620" s="61"/>
      <c r="I620" s="61">
        <f>SUBTOTAL(3,I614:I619)</f>
        <v>6</v>
      </c>
      <c r="J620" s="60">
        <f>E620+E613+E607+E596</f>
        <v>32</v>
      </c>
    </row>
    <row r="621" spans="1:10" hidden="1" outlineLevel="2">
      <c r="A621" s="23">
        <v>3</v>
      </c>
      <c r="B621" s="49" t="s">
        <v>2088</v>
      </c>
      <c r="C621" s="39" t="s">
        <v>1144</v>
      </c>
      <c r="D621" s="41" t="str">
        <f t="shared" ref="D621:D633" si="25">B621&amp;"-"&amp;C621</f>
        <v>國語文4-汽車二乙</v>
      </c>
      <c r="E621" s="22" t="s">
        <v>1145</v>
      </c>
      <c r="F621" s="22" t="s">
        <v>1146</v>
      </c>
      <c r="G621" s="22">
        <v>54</v>
      </c>
      <c r="H621" s="22">
        <v>3</v>
      </c>
      <c r="I621" s="22" t="s">
        <v>11</v>
      </c>
      <c r="J621" s="23"/>
    </row>
    <row r="622" spans="1:10" hidden="1" outlineLevel="2">
      <c r="A622" s="23">
        <v>3</v>
      </c>
      <c r="B622" s="49" t="s">
        <v>2088</v>
      </c>
      <c r="C622" s="39" t="s">
        <v>1144</v>
      </c>
      <c r="D622" s="41" t="str">
        <f t="shared" si="25"/>
        <v>國語文4-汽車二乙</v>
      </c>
      <c r="E622" s="22" t="s">
        <v>1147</v>
      </c>
      <c r="F622" s="22" t="s">
        <v>1148</v>
      </c>
      <c r="G622" s="22">
        <v>46</v>
      </c>
      <c r="H622" s="22">
        <v>3</v>
      </c>
      <c r="I622" s="22" t="s">
        <v>11</v>
      </c>
      <c r="J622" s="23"/>
    </row>
    <row r="623" spans="1:10" hidden="1" outlineLevel="2">
      <c r="A623" s="23">
        <v>3</v>
      </c>
      <c r="B623" s="49" t="s">
        <v>2088</v>
      </c>
      <c r="C623" s="39" t="s">
        <v>1144</v>
      </c>
      <c r="D623" s="41" t="str">
        <f t="shared" si="25"/>
        <v>國語文4-汽車二乙</v>
      </c>
      <c r="E623" s="22" t="s">
        <v>1149</v>
      </c>
      <c r="F623" s="22" t="s">
        <v>1150</v>
      </c>
      <c r="G623" s="22">
        <v>40</v>
      </c>
      <c r="H623" s="22">
        <v>3</v>
      </c>
      <c r="I623" s="22" t="s">
        <v>11</v>
      </c>
      <c r="J623" s="23"/>
    </row>
    <row r="624" spans="1:10" hidden="1" outlineLevel="2">
      <c r="A624" s="23">
        <v>3</v>
      </c>
      <c r="B624" s="49" t="s">
        <v>2088</v>
      </c>
      <c r="C624" s="39" t="s">
        <v>1144</v>
      </c>
      <c r="D624" s="41" t="str">
        <f t="shared" si="25"/>
        <v>國語文4-汽車二乙</v>
      </c>
      <c r="E624" s="22" t="s">
        <v>1151</v>
      </c>
      <c r="F624" s="22" t="s">
        <v>1152</v>
      </c>
      <c r="G624" s="22">
        <v>40</v>
      </c>
      <c r="H624" s="22">
        <v>3</v>
      </c>
      <c r="I624" s="22" t="s">
        <v>11</v>
      </c>
      <c r="J624" s="23"/>
    </row>
    <row r="625" spans="1:10" hidden="1" outlineLevel="2">
      <c r="A625" s="23">
        <v>3</v>
      </c>
      <c r="B625" s="49" t="s">
        <v>2088</v>
      </c>
      <c r="C625" s="39" t="s">
        <v>1144</v>
      </c>
      <c r="D625" s="41" t="str">
        <f t="shared" si="25"/>
        <v>國語文4-汽車二乙</v>
      </c>
      <c r="E625" s="22" t="s">
        <v>1153</v>
      </c>
      <c r="F625" s="22" t="s">
        <v>1154</v>
      </c>
      <c r="G625" s="22">
        <v>50</v>
      </c>
      <c r="H625" s="22">
        <v>3</v>
      </c>
      <c r="I625" s="22" t="s">
        <v>11</v>
      </c>
      <c r="J625" s="23"/>
    </row>
    <row r="626" spans="1:10" hidden="1" outlineLevel="2">
      <c r="A626" s="23">
        <v>3</v>
      </c>
      <c r="B626" s="49" t="s">
        <v>2088</v>
      </c>
      <c r="C626" s="39" t="s">
        <v>1144</v>
      </c>
      <c r="D626" s="41" t="str">
        <f t="shared" si="25"/>
        <v>國語文4-汽車二乙</v>
      </c>
      <c r="E626" s="22" t="s">
        <v>1155</v>
      </c>
      <c r="F626" s="22" t="s">
        <v>1156</v>
      </c>
      <c r="G626" s="22">
        <v>44</v>
      </c>
      <c r="H626" s="22">
        <v>3</v>
      </c>
      <c r="I626" s="22" t="s">
        <v>11</v>
      </c>
      <c r="J626" s="23"/>
    </row>
    <row r="627" spans="1:10" hidden="1" outlineLevel="2">
      <c r="A627" s="23">
        <v>3</v>
      </c>
      <c r="B627" s="49" t="s">
        <v>2088</v>
      </c>
      <c r="C627" s="39" t="s">
        <v>1144</v>
      </c>
      <c r="D627" s="41" t="str">
        <f t="shared" si="25"/>
        <v>國語文4-汽車二乙</v>
      </c>
      <c r="E627" s="22" t="s">
        <v>1157</v>
      </c>
      <c r="F627" s="22" t="s">
        <v>1158</v>
      </c>
      <c r="G627" s="22">
        <v>40</v>
      </c>
      <c r="H627" s="22">
        <v>3</v>
      </c>
      <c r="I627" s="22" t="s">
        <v>11</v>
      </c>
      <c r="J627" s="23"/>
    </row>
    <row r="628" spans="1:10" hidden="1" outlineLevel="2">
      <c r="A628" s="23">
        <v>3</v>
      </c>
      <c r="B628" s="49" t="s">
        <v>2088</v>
      </c>
      <c r="C628" s="39" t="s">
        <v>1144</v>
      </c>
      <c r="D628" s="41" t="str">
        <f t="shared" si="25"/>
        <v>國語文4-汽車二乙</v>
      </c>
      <c r="E628" s="22" t="s">
        <v>1159</v>
      </c>
      <c r="F628" s="22" t="s">
        <v>1160</v>
      </c>
      <c r="G628" s="22">
        <v>40</v>
      </c>
      <c r="H628" s="22">
        <v>3</v>
      </c>
      <c r="I628" s="22" t="s">
        <v>11</v>
      </c>
      <c r="J628" s="23"/>
    </row>
    <row r="629" spans="1:10" hidden="1" outlineLevel="2">
      <c r="A629" s="23">
        <v>3</v>
      </c>
      <c r="B629" s="49" t="s">
        <v>2088</v>
      </c>
      <c r="C629" s="39" t="s">
        <v>1144</v>
      </c>
      <c r="D629" s="41" t="str">
        <f t="shared" si="25"/>
        <v>國語文4-汽車二乙</v>
      </c>
      <c r="E629" s="22" t="s">
        <v>1161</v>
      </c>
      <c r="F629" s="22" t="s">
        <v>1162</v>
      </c>
      <c r="G629" s="22">
        <v>52</v>
      </c>
      <c r="H629" s="22">
        <v>3</v>
      </c>
      <c r="I629" s="22" t="s">
        <v>11</v>
      </c>
      <c r="J629" s="23"/>
    </row>
    <row r="630" spans="1:10" hidden="1" outlineLevel="2">
      <c r="A630" s="23">
        <v>3</v>
      </c>
      <c r="B630" s="49" t="s">
        <v>2088</v>
      </c>
      <c r="C630" s="39" t="s">
        <v>1144</v>
      </c>
      <c r="D630" s="41" t="str">
        <f t="shared" si="25"/>
        <v>國語文4-汽車二乙</v>
      </c>
      <c r="E630" s="22" t="s">
        <v>1163</v>
      </c>
      <c r="F630" s="22" t="s">
        <v>1164</v>
      </c>
      <c r="G630" s="22">
        <v>47</v>
      </c>
      <c r="H630" s="22">
        <v>3</v>
      </c>
      <c r="I630" s="22" t="s">
        <v>11</v>
      </c>
      <c r="J630" s="23"/>
    </row>
    <row r="631" spans="1:10" hidden="1" outlineLevel="2">
      <c r="A631" s="23">
        <v>3</v>
      </c>
      <c r="B631" s="49" t="s">
        <v>2088</v>
      </c>
      <c r="C631" s="39" t="s">
        <v>1144</v>
      </c>
      <c r="D631" s="41" t="str">
        <f t="shared" si="25"/>
        <v>國語文4-汽車二乙</v>
      </c>
      <c r="E631" s="22" t="s">
        <v>1165</v>
      </c>
      <c r="F631" s="22" t="s">
        <v>1166</v>
      </c>
      <c r="G631" s="22">
        <v>41</v>
      </c>
      <c r="H631" s="22">
        <v>3</v>
      </c>
      <c r="I631" s="22" t="s">
        <v>11</v>
      </c>
      <c r="J631" s="23"/>
    </row>
    <row r="632" spans="1:10" hidden="1" outlineLevel="2">
      <c r="A632" s="23">
        <v>3</v>
      </c>
      <c r="B632" s="49" t="s">
        <v>2088</v>
      </c>
      <c r="C632" s="39" t="s">
        <v>1144</v>
      </c>
      <c r="D632" s="41" t="str">
        <f t="shared" si="25"/>
        <v>國語文4-汽車二乙</v>
      </c>
      <c r="E632" s="22" t="s">
        <v>1167</v>
      </c>
      <c r="F632" s="22" t="s">
        <v>1168</v>
      </c>
      <c r="G632" s="22">
        <v>40</v>
      </c>
      <c r="H632" s="22">
        <v>3</v>
      </c>
      <c r="I632" s="22" t="s">
        <v>11</v>
      </c>
      <c r="J632" s="23"/>
    </row>
    <row r="633" spans="1:10" hidden="1" outlineLevel="2">
      <c r="A633" s="23">
        <v>3</v>
      </c>
      <c r="B633" s="49" t="s">
        <v>2088</v>
      </c>
      <c r="C633" s="39" t="s">
        <v>1144</v>
      </c>
      <c r="D633" s="41" t="str">
        <f t="shared" si="25"/>
        <v>國語文4-汽車二乙</v>
      </c>
      <c r="E633" s="22" t="s">
        <v>1169</v>
      </c>
      <c r="F633" s="22" t="s">
        <v>1170</v>
      </c>
      <c r="G633" s="22">
        <v>48</v>
      </c>
      <c r="H633" s="22">
        <v>3</v>
      </c>
      <c r="I633" s="22" t="s">
        <v>11</v>
      </c>
      <c r="J633" s="23"/>
    </row>
    <row r="634" spans="1:10" outlineLevel="1" collapsed="1">
      <c r="A634" s="23"/>
      <c r="B634" s="49"/>
      <c r="C634" s="39"/>
      <c r="D634" s="51" t="s">
        <v>2169</v>
      </c>
      <c r="E634" s="22">
        <f>SUBTOTAL(3,E621:E633)</f>
        <v>13</v>
      </c>
      <c r="F634" s="22"/>
      <c r="G634" s="22"/>
      <c r="H634" s="22"/>
      <c r="I634" s="22">
        <f>SUBTOTAL(3,I621:I633)</f>
        <v>13</v>
      </c>
      <c r="J634" s="23"/>
    </row>
    <row r="635" spans="1:10" hidden="1" outlineLevel="2">
      <c r="A635" s="23">
        <v>3</v>
      </c>
      <c r="B635" s="49" t="s">
        <v>2088</v>
      </c>
      <c r="C635" s="39" t="s">
        <v>1035</v>
      </c>
      <c r="D635" s="41" t="str">
        <f t="shared" ref="D635:D643" si="26">B635&amp;"-"&amp;C635</f>
        <v>國語文4-汽車二甲</v>
      </c>
      <c r="E635" s="22" t="s">
        <v>1036</v>
      </c>
      <c r="F635" s="22" t="s">
        <v>1037</v>
      </c>
      <c r="G635" s="22">
        <v>57</v>
      </c>
      <c r="H635" s="22">
        <v>3</v>
      </c>
      <c r="I635" s="22" t="s">
        <v>11</v>
      </c>
      <c r="J635" s="23"/>
    </row>
    <row r="636" spans="1:10" hidden="1" outlineLevel="2">
      <c r="A636" s="23">
        <v>3</v>
      </c>
      <c r="B636" s="49" t="s">
        <v>2088</v>
      </c>
      <c r="C636" s="39" t="s">
        <v>1035</v>
      </c>
      <c r="D636" s="41" t="str">
        <f t="shared" si="26"/>
        <v>國語文4-汽車二甲</v>
      </c>
      <c r="E636" s="22" t="s">
        <v>1038</v>
      </c>
      <c r="F636" s="22" t="s">
        <v>1039</v>
      </c>
      <c r="G636" s="22">
        <v>53</v>
      </c>
      <c r="H636" s="22">
        <v>3</v>
      </c>
      <c r="I636" s="22" t="s">
        <v>11</v>
      </c>
      <c r="J636" s="23"/>
    </row>
    <row r="637" spans="1:10" hidden="1" outlineLevel="2">
      <c r="A637" s="23">
        <v>3</v>
      </c>
      <c r="B637" s="49" t="s">
        <v>2088</v>
      </c>
      <c r="C637" s="39" t="s">
        <v>1035</v>
      </c>
      <c r="D637" s="41" t="str">
        <f t="shared" si="26"/>
        <v>國語文4-汽車二甲</v>
      </c>
      <c r="E637" s="22" t="s">
        <v>1040</v>
      </c>
      <c r="F637" s="22" t="s">
        <v>1041</v>
      </c>
      <c r="G637" s="22">
        <v>56</v>
      </c>
      <c r="H637" s="22">
        <v>3</v>
      </c>
      <c r="I637" s="22" t="s">
        <v>11</v>
      </c>
      <c r="J637" s="23"/>
    </row>
    <row r="638" spans="1:10" hidden="1" outlineLevel="2">
      <c r="A638" s="23">
        <v>3</v>
      </c>
      <c r="B638" s="49" t="s">
        <v>2088</v>
      </c>
      <c r="C638" s="39" t="s">
        <v>1035</v>
      </c>
      <c r="D638" s="41" t="str">
        <f t="shared" si="26"/>
        <v>國語文4-汽車二甲</v>
      </c>
      <c r="E638" s="22" t="s">
        <v>1042</v>
      </c>
      <c r="F638" s="22" t="s">
        <v>1043</v>
      </c>
      <c r="G638" s="22">
        <v>52</v>
      </c>
      <c r="H638" s="22">
        <v>3</v>
      </c>
      <c r="I638" s="22" t="s">
        <v>11</v>
      </c>
      <c r="J638" s="23"/>
    </row>
    <row r="639" spans="1:10" hidden="1" outlineLevel="2">
      <c r="A639" s="23">
        <v>3</v>
      </c>
      <c r="B639" s="49" t="s">
        <v>2088</v>
      </c>
      <c r="C639" s="39" t="s">
        <v>1035</v>
      </c>
      <c r="D639" s="41" t="str">
        <f t="shared" si="26"/>
        <v>國語文4-汽車二甲</v>
      </c>
      <c r="E639" s="22" t="s">
        <v>1044</v>
      </c>
      <c r="F639" s="22" t="s">
        <v>1045</v>
      </c>
      <c r="G639" s="22">
        <v>56</v>
      </c>
      <c r="H639" s="22">
        <v>3</v>
      </c>
      <c r="I639" s="22" t="s">
        <v>11</v>
      </c>
      <c r="J639" s="23"/>
    </row>
    <row r="640" spans="1:10" hidden="1" outlineLevel="2">
      <c r="A640" s="23">
        <v>3</v>
      </c>
      <c r="B640" s="49" t="s">
        <v>2088</v>
      </c>
      <c r="C640" s="39" t="s">
        <v>1035</v>
      </c>
      <c r="D640" s="41" t="str">
        <f t="shared" si="26"/>
        <v>國語文4-汽車二甲</v>
      </c>
      <c r="E640" s="22" t="s">
        <v>1046</v>
      </c>
      <c r="F640" s="22" t="s">
        <v>1047</v>
      </c>
      <c r="G640" s="22">
        <v>54</v>
      </c>
      <c r="H640" s="22">
        <v>3</v>
      </c>
      <c r="I640" s="22" t="s">
        <v>11</v>
      </c>
      <c r="J640" s="23"/>
    </row>
    <row r="641" spans="1:10" hidden="1" outlineLevel="2">
      <c r="A641" s="23">
        <v>3</v>
      </c>
      <c r="B641" s="49" t="s">
        <v>2088</v>
      </c>
      <c r="C641" s="39" t="s">
        <v>1035</v>
      </c>
      <c r="D641" s="41" t="str">
        <f t="shared" si="26"/>
        <v>國語文4-汽車二甲</v>
      </c>
      <c r="E641" s="22" t="s">
        <v>1048</v>
      </c>
      <c r="F641" s="22" t="s">
        <v>1049</v>
      </c>
      <c r="G641" s="22">
        <v>55</v>
      </c>
      <c r="H641" s="22">
        <v>3</v>
      </c>
      <c r="I641" s="22" t="s">
        <v>11</v>
      </c>
      <c r="J641" s="23"/>
    </row>
    <row r="642" spans="1:10" hidden="1" outlineLevel="2">
      <c r="A642" s="23">
        <v>3</v>
      </c>
      <c r="B642" s="49" t="s">
        <v>2088</v>
      </c>
      <c r="C642" s="39" t="s">
        <v>1035</v>
      </c>
      <c r="D642" s="41" t="str">
        <f t="shared" si="26"/>
        <v>國語文4-汽車二甲</v>
      </c>
      <c r="E642" s="22" t="s">
        <v>1050</v>
      </c>
      <c r="F642" s="22" t="s">
        <v>1051</v>
      </c>
      <c r="G642" s="22">
        <v>55</v>
      </c>
      <c r="H642" s="22">
        <v>3</v>
      </c>
      <c r="I642" s="22" t="s">
        <v>11</v>
      </c>
      <c r="J642" s="23"/>
    </row>
    <row r="643" spans="1:10" hidden="1" outlineLevel="2">
      <c r="A643" s="23">
        <v>3</v>
      </c>
      <c r="B643" s="49" t="s">
        <v>2088</v>
      </c>
      <c r="C643" s="39" t="s">
        <v>1035</v>
      </c>
      <c r="D643" s="41" t="str">
        <f t="shared" si="26"/>
        <v>國語文4-汽車二甲</v>
      </c>
      <c r="E643" s="22" t="s">
        <v>1052</v>
      </c>
      <c r="F643" s="22" t="s">
        <v>1053</v>
      </c>
      <c r="G643" s="22">
        <v>51</v>
      </c>
      <c r="H643" s="22">
        <v>3</v>
      </c>
      <c r="I643" s="22" t="s">
        <v>11</v>
      </c>
      <c r="J643" s="23"/>
    </row>
    <row r="644" spans="1:10" outlineLevel="1" collapsed="1">
      <c r="A644" s="23"/>
      <c r="B644" s="49"/>
      <c r="C644" s="39"/>
      <c r="D644" s="51" t="s">
        <v>2170</v>
      </c>
      <c r="E644" s="22">
        <f>SUBTOTAL(3,E635:E643)</f>
        <v>9</v>
      </c>
      <c r="F644" s="22"/>
      <c r="G644" s="22"/>
      <c r="H644" s="22"/>
      <c r="I644" s="22">
        <f>SUBTOTAL(3,I635:I643)</f>
        <v>9</v>
      </c>
      <c r="J644" s="23"/>
    </row>
    <row r="645" spans="1:10" hidden="1" outlineLevel="2">
      <c r="A645" s="23">
        <v>3</v>
      </c>
      <c r="B645" s="49" t="s">
        <v>2088</v>
      </c>
      <c r="C645" s="39" t="s">
        <v>1083</v>
      </c>
      <c r="D645" s="41" t="str">
        <f t="shared" ref="D645:D653" si="27">B645&amp;"-"&amp;C645</f>
        <v>國語文4-資訊二甲</v>
      </c>
      <c r="E645" s="22" t="s">
        <v>1084</v>
      </c>
      <c r="F645" s="22" t="s">
        <v>1085</v>
      </c>
      <c r="G645" s="22">
        <v>42</v>
      </c>
      <c r="H645" s="22">
        <v>3</v>
      </c>
      <c r="I645" s="22" t="s">
        <v>11</v>
      </c>
      <c r="J645" s="23"/>
    </row>
    <row r="646" spans="1:10" hidden="1" outlineLevel="2">
      <c r="A646" s="23">
        <v>3</v>
      </c>
      <c r="B646" s="49" t="s">
        <v>2088</v>
      </c>
      <c r="C646" s="39" t="s">
        <v>1083</v>
      </c>
      <c r="D646" s="41" t="str">
        <f t="shared" si="27"/>
        <v>國語文4-資訊二甲</v>
      </c>
      <c r="E646" s="22" t="s">
        <v>1086</v>
      </c>
      <c r="F646" s="22" t="s">
        <v>1087</v>
      </c>
      <c r="G646" s="22">
        <v>54</v>
      </c>
      <c r="H646" s="22">
        <v>3</v>
      </c>
      <c r="I646" s="22" t="s">
        <v>11</v>
      </c>
      <c r="J646" s="23"/>
    </row>
    <row r="647" spans="1:10" hidden="1" outlineLevel="2">
      <c r="A647" s="23">
        <v>3</v>
      </c>
      <c r="B647" s="49" t="s">
        <v>2088</v>
      </c>
      <c r="C647" s="39" t="s">
        <v>1083</v>
      </c>
      <c r="D647" s="41" t="str">
        <f t="shared" si="27"/>
        <v>國語文4-資訊二甲</v>
      </c>
      <c r="E647" s="22" t="s">
        <v>1088</v>
      </c>
      <c r="F647" s="22" t="s">
        <v>1089</v>
      </c>
      <c r="G647" s="22">
        <v>59</v>
      </c>
      <c r="H647" s="22">
        <v>3</v>
      </c>
      <c r="I647" s="22" t="s">
        <v>11</v>
      </c>
      <c r="J647" s="23"/>
    </row>
    <row r="648" spans="1:10" hidden="1" outlineLevel="2">
      <c r="A648" s="23">
        <v>3</v>
      </c>
      <c r="B648" s="49" t="s">
        <v>2088</v>
      </c>
      <c r="C648" s="39" t="s">
        <v>1083</v>
      </c>
      <c r="D648" s="41" t="str">
        <f t="shared" si="27"/>
        <v>國語文4-資訊二甲</v>
      </c>
      <c r="E648" s="22" t="s">
        <v>1090</v>
      </c>
      <c r="F648" s="22" t="s">
        <v>1091</v>
      </c>
      <c r="G648" s="22">
        <v>56</v>
      </c>
      <c r="H648" s="22">
        <v>3</v>
      </c>
      <c r="I648" s="22" t="s">
        <v>11</v>
      </c>
      <c r="J648" s="23"/>
    </row>
    <row r="649" spans="1:10" hidden="1" outlineLevel="2">
      <c r="A649" s="23">
        <v>3</v>
      </c>
      <c r="B649" s="49" t="s">
        <v>2088</v>
      </c>
      <c r="C649" s="39" t="s">
        <v>1083</v>
      </c>
      <c r="D649" s="41" t="str">
        <f t="shared" si="27"/>
        <v>國語文4-資訊二甲</v>
      </c>
      <c r="E649" s="22" t="s">
        <v>1092</v>
      </c>
      <c r="F649" s="22" t="s">
        <v>1093</v>
      </c>
      <c r="G649" s="22">
        <v>53</v>
      </c>
      <c r="H649" s="22">
        <v>3</v>
      </c>
      <c r="I649" s="22" t="s">
        <v>11</v>
      </c>
      <c r="J649" s="23"/>
    </row>
    <row r="650" spans="1:10" hidden="1" outlineLevel="2">
      <c r="A650" s="23">
        <v>3</v>
      </c>
      <c r="B650" s="49" t="s">
        <v>2088</v>
      </c>
      <c r="C650" s="39" t="s">
        <v>1083</v>
      </c>
      <c r="D650" s="41" t="str">
        <f t="shared" si="27"/>
        <v>國語文4-資訊二甲</v>
      </c>
      <c r="E650" s="22" t="s">
        <v>1094</v>
      </c>
      <c r="F650" s="22" t="s">
        <v>1095</v>
      </c>
      <c r="G650" s="22">
        <v>57</v>
      </c>
      <c r="H650" s="22">
        <v>3</v>
      </c>
      <c r="I650" s="22" t="s">
        <v>11</v>
      </c>
      <c r="J650" s="23"/>
    </row>
    <row r="651" spans="1:10" hidden="1" outlineLevel="2">
      <c r="A651" s="23">
        <v>3</v>
      </c>
      <c r="B651" s="49" t="s">
        <v>2088</v>
      </c>
      <c r="C651" s="39" t="s">
        <v>1083</v>
      </c>
      <c r="D651" s="41" t="str">
        <f t="shared" si="27"/>
        <v>國語文4-資訊二甲</v>
      </c>
      <c r="E651" s="22" t="s">
        <v>1096</v>
      </c>
      <c r="F651" s="22" t="s">
        <v>1097</v>
      </c>
      <c r="G651" s="22">
        <v>51</v>
      </c>
      <c r="H651" s="22">
        <v>3</v>
      </c>
      <c r="I651" s="22" t="s">
        <v>11</v>
      </c>
      <c r="J651" s="23"/>
    </row>
    <row r="652" spans="1:10" hidden="1" outlineLevel="2">
      <c r="A652" s="23">
        <v>3</v>
      </c>
      <c r="B652" s="49" t="s">
        <v>2088</v>
      </c>
      <c r="C652" s="39" t="s">
        <v>1083</v>
      </c>
      <c r="D652" s="41" t="str">
        <f t="shared" si="27"/>
        <v>國語文4-資訊二甲</v>
      </c>
      <c r="E652" s="22" t="s">
        <v>1098</v>
      </c>
      <c r="F652" s="22" t="s">
        <v>1099</v>
      </c>
      <c r="G652" s="22">
        <v>45</v>
      </c>
      <c r="H652" s="22">
        <v>3</v>
      </c>
      <c r="I652" s="22" t="s">
        <v>11</v>
      </c>
      <c r="J652" s="23"/>
    </row>
    <row r="653" spans="1:10" hidden="1" outlineLevel="2">
      <c r="A653" s="23">
        <v>3</v>
      </c>
      <c r="B653" s="49" t="s">
        <v>2088</v>
      </c>
      <c r="C653" s="39" t="s">
        <v>1083</v>
      </c>
      <c r="D653" s="41" t="str">
        <f t="shared" si="27"/>
        <v>國語文4-資訊二甲</v>
      </c>
      <c r="E653" s="22" t="s">
        <v>1100</v>
      </c>
      <c r="F653" s="22" t="s">
        <v>1101</v>
      </c>
      <c r="G653" s="22">
        <v>45</v>
      </c>
      <c r="H653" s="22">
        <v>3</v>
      </c>
      <c r="I653" s="22" t="s">
        <v>11</v>
      </c>
      <c r="J653" s="23"/>
    </row>
    <row r="654" spans="1:10" outlineLevel="1" collapsed="1">
      <c r="A654" s="23"/>
      <c r="B654" s="49"/>
      <c r="C654" s="39"/>
      <c r="D654" s="51" t="s">
        <v>2173</v>
      </c>
      <c r="E654" s="22">
        <f>SUBTOTAL(3,E645:E653)</f>
        <v>9</v>
      </c>
      <c r="F654" s="22"/>
      <c r="G654" s="22"/>
      <c r="H654" s="22"/>
      <c r="I654" s="22">
        <f>SUBTOTAL(3,I645:I653)</f>
        <v>9</v>
      </c>
      <c r="J654" s="23"/>
    </row>
    <row r="655" spans="1:10" hidden="1" outlineLevel="2">
      <c r="A655" s="23">
        <v>3</v>
      </c>
      <c r="B655" s="53" t="s">
        <v>2089</v>
      </c>
      <c r="C655" s="39" t="s">
        <v>1135</v>
      </c>
      <c r="D655" s="41" t="str">
        <f>B655&amp;"-"&amp;C655</f>
        <v>國語文4-資處二甲</v>
      </c>
      <c r="E655" s="22" t="s">
        <v>1136</v>
      </c>
      <c r="F655" s="22" t="s">
        <v>1137</v>
      </c>
      <c r="G655" s="22">
        <v>52</v>
      </c>
      <c r="H655" s="22">
        <v>3</v>
      </c>
      <c r="I655" s="22" t="s">
        <v>11</v>
      </c>
      <c r="J655" s="23"/>
    </row>
    <row r="656" spans="1:10" hidden="1" outlineLevel="2">
      <c r="A656" s="23">
        <v>3</v>
      </c>
      <c r="B656" s="53" t="s">
        <v>2089</v>
      </c>
      <c r="C656" s="39" t="s">
        <v>1135</v>
      </c>
      <c r="D656" s="41" t="str">
        <f>B656&amp;"-"&amp;C656</f>
        <v>國語文4-資處二甲</v>
      </c>
      <c r="E656" s="22" t="s">
        <v>1138</v>
      </c>
      <c r="F656" s="22" t="s">
        <v>1139</v>
      </c>
      <c r="G656" s="22">
        <v>52</v>
      </c>
      <c r="H656" s="22">
        <v>3</v>
      </c>
      <c r="I656" s="22" t="s">
        <v>11</v>
      </c>
      <c r="J656" s="23"/>
    </row>
    <row r="657" spans="1:10" hidden="1" outlineLevel="2">
      <c r="A657" s="23">
        <v>3</v>
      </c>
      <c r="B657" s="53" t="s">
        <v>2089</v>
      </c>
      <c r="C657" s="39" t="s">
        <v>1135</v>
      </c>
      <c r="D657" s="41" t="str">
        <f>B657&amp;"-"&amp;C657</f>
        <v>國語文4-資處二甲</v>
      </c>
      <c r="E657" s="22" t="s">
        <v>1140</v>
      </c>
      <c r="F657" s="22" t="s">
        <v>1141</v>
      </c>
      <c r="G657" s="22">
        <v>58</v>
      </c>
      <c r="H657" s="22">
        <v>3</v>
      </c>
      <c r="I657" s="22" t="s">
        <v>11</v>
      </c>
      <c r="J657" s="23"/>
    </row>
    <row r="658" spans="1:10" hidden="1" outlineLevel="2">
      <c r="A658" s="23">
        <v>3</v>
      </c>
      <c r="B658" s="53" t="s">
        <v>2089</v>
      </c>
      <c r="C658" s="39" t="s">
        <v>1135</v>
      </c>
      <c r="D658" s="41" t="str">
        <f>B658&amp;"-"&amp;C658</f>
        <v>國語文4-資處二甲</v>
      </c>
      <c r="E658" s="22" t="s">
        <v>1142</v>
      </c>
      <c r="F658" s="22" t="s">
        <v>1143</v>
      </c>
      <c r="G658" s="22">
        <v>54</v>
      </c>
      <c r="H658" s="22">
        <v>3</v>
      </c>
      <c r="I658" s="22" t="s">
        <v>11</v>
      </c>
      <c r="J658" s="23"/>
    </row>
    <row r="659" spans="1:10" outlineLevel="1" collapsed="1">
      <c r="A659" s="23"/>
      <c r="B659" s="53"/>
      <c r="C659" s="39"/>
      <c r="D659" s="51" t="s">
        <v>2176</v>
      </c>
      <c r="E659" s="22">
        <f>SUBTOTAL(3,E655:E658)</f>
        <v>4</v>
      </c>
      <c r="F659" s="22"/>
      <c r="G659" s="22"/>
      <c r="H659" s="22"/>
      <c r="I659" s="22">
        <f>SUBTOTAL(3,I655:I658)</f>
        <v>4</v>
      </c>
      <c r="J659" s="23"/>
    </row>
    <row r="660" spans="1:10" hidden="1" outlineLevel="2">
      <c r="A660" s="23">
        <v>3</v>
      </c>
      <c r="B660" s="49" t="s">
        <v>2088</v>
      </c>
      <c r="C660" s="39" t="s">
        <v>1200</v>
      </c>
      <c r="D660" s="41" t="str">
        <f t="shared" ref="D660:D667" si="28">B660&amp;"-"&amp;C660</f>
        <v>國語文4-電機二乙</v>
      </c>
      <c r="E660" s="22" t="s">
        <v>1201</v>
      </c>
      <c r="F660" s="22" t="s">
        <v>1202</v>
      </c>
      <c r="G660" s="22">
        <v>57</v>
      </c>
      <c r="H660" s="22">
        <v>3</v>
      </c>
      <c r="I660" s="22" t="s">
        <v>11</v>
      </c>
      <c r="J660" s="23"/>
    </row>
    <row r="661" spans="1:10" hidden="1" outlineLevel="2">
      <c r="A661" s="23">
        <v>3</v>
      </c>
      <c r="B661" s="49" t="s">
        <v>2088</v>
      </c>
      <c r="C661" s="39" t="s">
        <v>1200</v>
      </c>
      <c r="D661" s="41" t="str">
        <f t="shared" si="28"/>
        <v>國語文4-電機二乙</v>
      </c>
      <c r="E661" s="22" t="s">
        <v>1203</v>
      </c>
      <c r="F661" s="22" t="s">
        <v>1204</v>
      </c>
      <c r="G661" s="22">
        <v>40</v>
      </c>
      <c r="H661" s="22">
        <v>3</v>
      </c>
      <c r="I661" s="22" t="s">
        <v>11</v>
      </c>
      <c r="J661" s="23"/>
    </row>
    <row r="662" spans="1:10" hidden="1" outlineLevel="2">
      <c r="A662" s="23">
        <v>3</v>
      </c>
      <c r="B662" s="49" t="s">
        <v>2088</v>
      </c>
      <c r="C662" s="39" t="s">
        <v>1200</v>
      </c>
      <c r="D662" s="41" t="str">
        <f t="shared" si="28"/>
        <v>國語文4-電機二乙</v>
      </c>
      <c r="E662" s="22" t="s">
        <v>1205</v>
      </c>
      <c r="F662" s="22" t="s">
        <v>1206</v>
      </c>
      <c r="G662" s="22">
        <v>55</v>
      </c>
      <c r="H662" s="22">
        <v>3</v>
      </c>
      <c r="I662" s="22" t="s">
        <v>11</v>
      </c>
      <c r="J662" s="23"/>
    </row>
    <row r="663" spans="1:10" hidden="1" outlineLevel="2">
      <c r="A663" s="23">
        <v>3</v>
      </c>
      <c r="B663" s="49" t="s">
        <v>2088</v>
      </c>
      <c r="C663" s="39" t="s">
        <v>1200</v>
      </c>
      <c r="D663" s="41" t="str">
        <f t="shared" si="28"/>
        <v>國語文4-電機二乙</v>
      </c>
      <c r="E663" s="22" t="s">
        <v>1207</v>
      </c>
      <c r="F663" s="22" t="s">
        <v>1208</v>
      </c>
      <c r="G663" s="22">
        <v>53</v>
      </c>
      <c r="H663" s="22">
        <v>3</v>
      </c>
      <c r="I663" s="22" t="s">
        <v>11</v>
      </c>
      <c r="J663" s="23"/>
    </row>
    <row r="664" spans="1:10" hidden="1" outlineLevel="2">
      <c r="A664" s="23">
        <v>3</v>
      </c>
      <c r="B664" s="49" t="s">
        <v>2088</v>
      </c>
      <c r="C664" s="39" t="s">
        <v>1200</v>
      </c>
      <c r="D664" s="41" t="str">
        <f t="shared" si="28"/>
        <v>國語文4-電機二乙</v>
      </c>
      <c r="E664" s="22" t="s">
        <v>1209</v>
      </c>
      <c r="F664" s="22" t="s">
        <v>1210</v>
      </c>
      <c r="G664" s="22">
        <v>56</v>
      </c>
      <c r="H664" s="22">
        <v>3</v>
      </c>
      <c r="I664" s="22" t="s">
        <v>11</v>
      </c>
      <c r="J664" s="23"/>
    </row>
    <row r="665" spans="1:10" hidden="1" outlineLevel="2">
      <c r="A665" s="23">
        <v>3</v>
      </c>
      <c r="B665" s="49" t="s">
        <v>2088</v>
      </c>
      <c r="C665" s="39" t="s">
        <v>1200</v>
      </c>
      <c r="D665" s="41" t="str">
        <f t="shared" si="28"/>
        <v>國語文4-電機二乙</v>
      </c>
      <c r="E665" s="22" t="s">
        <v>1211</v>
      </c>
      <c r="F665" s="22" t="s">
        <v>1212</v>
      </c>
      <c r="G665" s="22">
        <v>51</v>
      </c>
      <c r="H665" s="22">
        <v>3</v>
      </c>
      <c r="I665" s="22" t="s">
        <v>11</v>
      </c>
      <c r="J665" s="23"/>
    </row>
    <row r="666" spans="1:10" hidden="1" outlineLevel="2">
      <c r="A666" s="23">
        <v>3</v>
      </c>
      <c r="B666" s="49" t="s">
        <v>2088</v>
      </c>
      <c r="C666" s="39" t="s">
        <v>1200</v>
      </c>
      <c r="D666" s="41" t="str">
        <f t="shared" si="28"/>
        <v>國語文4-電機二乙</v>
      </c>
      <c r="E666" s="22" t="s">
        <v>1213</v>
      </c>
      <c r="F666" s="22" t="s">
        <v>1214</v>
      </c>
      <c r="G666" s="22">
        <v>45</v>
      </c>
      <c r="H666" s="22">
        <v>3</v>
      </c>
      <c r="I666" s="22" t="s">
        <v>11</v>
      </c>
      <c r="J666" s="23"/>
    </row>
    <row r="667" spans="1:10" hidden="1" outlineLevel="2">
      <c r="A667" s="23">
        <v>3</v>
      </c>
      <c r="B667" s="49" t="s">
        <v>2088</v>
      </c>
      <c r="C667" s="39" t="s">
        <v>1200</v>
      </c>
      <c r="D667" s="41" t="str">
        <f t="shared" si="28"/>
        <v>國語文4-電機二乙</v>
      </c>
      <c r="E667" s="22" t="s">
        <v>1215</v>
      </c>
      <c r="F667" s="22" t="s">
        <v>1216</v>
      </c>
      <c r="G667" s="22">
        <v>57</v>
      </c>
      <c r="H667" s="22">
        <v>3</v>
      </c>
      <c r="I667" s="22" t="s">
        <v>11</v>
      </c>
      <c r="J667" s="23"/>
    </row>
    <row r="668" spans="1:10" outlineLevel="1" collapsed="1">
      <c r="A668" s="23"/>
      <c r="B668" s="49"/>
      <c r="C668" s="39"/>
      <c r="D668" s="51" t="s">
        <v>2180</v>
      </c>
      <c r="E668" s="22">
        <f>SUBTOTAL(3,E660:E667)</f>
        <v>8</v>
      </c>
      <c r="F668" s="22"/>
      <c r="G668" s="22"/>
      <c r="H668" s="22"/>
      <c r="I668" s="22">
        <f>SUBTOTAL(3,I660:I667)</f>
        <v>8</v>
      </c>
      <c r="J668" s="23">
        <f>E668+E659+E654+E644+E634</f>
        <v>43</v>
      </c>
    </row>
    <row r="669" spans="1:10" hidden="1" outlineLevel="2">
      <c r="A669" s="23">
        <v>3</v>
      </c>
      <c r="B669" s="49" t="s">
        <v>2088</v>
      </c>
      <c r="C669" s="39" t="s">
        <v>1184</v>
      </c>
      <c r="D669" s="41" t="str">
        <f>B669&amp;"-"&amp;C669</f>
        <v>國語文4-電機二丙</v>
      </c>
      <c r="E669" s="22" t="s">
        <v>1185</v>
      </c>
      <c r="F669" s="22" t="s">
        <v>1186</v>
      </c>
      <c r="G669" s="22">
        <v>51</v>
      </c>
      <c r="H669" s="22">
        <v>3</v>
      </c>
      <c r="I669" s="22" t="s">
        <v>11</v>
      </c>
      <c r="J669" s="23"/>
    </row>
    <row r="670" spans="1:10" hidden="1" outlineLevel="2">
      <c r="A670" s="23">
        <v>3</v>
      </c>
      <c r="B670" s="49" t="s">
        <v>2088</v>
      </c>
      <c r="C670" s="39" t="s">
        <v>1184</v>
      </c>
      <c r="D670" s="41" t="str">
        <f>B670&amp;"-"&amp;C670</f>
        <v>國語文4-電機二丙</v>
      </c>
      <c r="E670" s="22" t="s">
        <v>1187</v>
      </c>
      <c r="F670" s="22" t="s">
        <v>1188</v>
      </c>
      <c r="G670" s="22">
        <v>53</v>
      </c>
      <c r="H670" s="22">
        <v>3</v>
      </c>
      <c r="I670" s="22" t="s">
        <v>11</v>
      </c>
      <c r="J670" s="23"/>
    </row>
    <row r="671" spans="1:10" hidden="1" outlineLevel="2">
      <c r="A671" s="23">
        <v>3</v>
      </c>
      <c r="B671" s="49" t="s">
        <v>2088</v>
      </c>
      <c r="C671" s="39" t="s">
        <v>1184</v>
      </c>
      <c r="D671" s="41" t="str">
        <f>B671&amp;"-"&amp;C671</f>
        <v>國語文4-電機二丙</v>
      </c>
      <c r="E671" s="22" t="s">
        <v>1189</v>
      </c>
      <c r="F671" s="22" t="s">
        <v>1190</v>
      </c>
      <c r="G671" s="22">
        <v>54</v>
      </c>
      <c r="H671" s="22">
        <v>3</v>
      </c>
      <c r="I671" s="22" t="s">
        <v>11</v>
      </c>
      <c r="J671" s="23"/>
    </row>
    <row r="672" spans="1:10" outlineLevel="1" collapsed="1">
      <c r="A672" s="23"/>
      <c r="B672" s="49"/>
      <c r="C672" s="39"/>
      <c r="D672" s="51" t="s">
        <v>2181</v>
      </c>
      <c r="E672" s="22">
        <f>SUBTOTAL(3,E669:E671)</f>
        <v>3</v>
      </c>
      <c r="F672" s="22"/>
      <c r="G672" s="22"/>
      <c r="H672" s="22"/>
      <c r="I672" s="22">
        <f>SUBTOTAL(3,I669:I671)</f>
        <v>3</v>
      </c>
      <c r="J672" s="23"/>
    </row>
    <row r="673" spans="1:10" hidden="1" outlineLevel="2">
      <c r="A673" s="23">
        <v>3</v>
      </c>
      <c r="B673" s="49" t="s">
        <v>2088</v>
      </c>
      <c r="C673" s="39" t="s">
        <v>1054</v>
      </c>
      <c r="D673" s="41" t="str">
        <f>B673&amp;"-"&amp;C673</f>
        <v>國語文4-電機二甲</v>
      </c>
      <c r="E673" s="22" t="s">
        <v>1055</v>
      </c>
      <c r="F673" s="22" t="s">
        <v>1056</v>
      </c>
      <c r="G673" s="22">
        <v>50</v>
      </c>
      <c r="H673" s="22">
        <v>3</v>
      </c>
      <c r="I673" s="22" t="s">
        <v>11</v>
      </c>
      <c r="J673" s="23"/>
    </row>
    <row r="674" spans="1:10" hidden="1" outlineLevel="2">
      <c r="A674" s="23">
        <v>3</v>
      </c>
      <c r="B674" s="49" t="s">
        <v>2088</v>
      </c>
      <c r="C674" s="39" t="s">
        <v>1054</v>
      </c>
      <c r="D674" s="41" t="str">
        <f>B674&amp;"-"&amp;C674</f>
        <v>國語文4-電機二甲</v>
      </c>
      <c r="E674" s="22" t="s">
        <v>1057</v>
      </c>
      <c r="F674" s="22" t="s">
        <v>1058</v>
      </c>
      <c r="G674" s="22">
        <v>48</v>
      </c>
      <c r="H674" s="22">
        <v>3</v>
      </c>
      <c r="I674" s="22" t="s">
        <v>11</v>
      </c>
      <c r="J674" s="23"/>
    </row>
    <row r="675" spans="1:10" outlineLevel="1" collapsed="1">
      <c r="A675" s="23"/>
      <c r="B675" s="49"/>
      <c r="C675" s="39"/>
      <c r="D675" s="51" t="s">
        <v>2182</v>
      </c>
      <c r="E675" s="22">
        <f>SUBTOTAL(3,E673:E674)</f>
        <v>2</v>
      </c>
      <c r="F675" s="22"/>
      <c r="G675" s="22"/>
      <c r="H675" s="22"/>
      <c r="I675" s="22">
        <f>SUBTOTAL(3,I673:I674)</f>
        <v>2</v>
      </c>
      <c r="J675" s="23"/>
    </row>
    <row r="676" spans="1:10" hidden="1" outlineLevel="2">
      <c r="A676" s="23">
        <v>3</v>
      </c>
      <c r="B676" s="49" t="s">
        <v>2088</v>
      </c>
      <c r="C676" s="39" t="s">
        <v>1231</v>
      </c>
      <c r="D676" s="41" t="str">
        <f t="shared" ref="D676:D681" si="29">B676&amp;"-"&amp;C676</f>
        <v>國語文4-製圖二乙</v>
      </c>
      <c r="E676" s="22" t="s">
        <v>1232</v>
      </c>
      <c r="F676" s="22" t="s">
        <v>1233</v>
      </c>
      <c r="G676" s="22">
        <v>55</v>
      </c>
      <c r="H676" s="22">
        <v>3</v>
      </c>
      <c r="I676" s="22" t="s">
        <v>11</v>
      </c>
      <c r="J676" s="23"/>
    </row>
    <row r="677" spans="1:10" hidden="1" outlineLevel="2">
      <c r="A677" s="23">
        <v>3</v>
      </c>
      <c r="B677" s="49" t="s">
        <v>2088</v>
      </c>
      <c r="C677" s="39" t="s">
        <v>1231</v>
      </c>
      <c r="D677" s="41" t="str">
        <f t="shared" si="29"/>
        <v>國語文4-製圖二乙</v>
      </c>
      <c r="E677" s="22" t="s">
        <v>1234</v>
      </c>
      <c r="F677" s="22" t="s">
        <v>1235</v>
      </c>
      <c r="G677" s="22">
        <v>55</v>
      </c>
      <c r="H677" s="22">
        <v>3</v>
      </c>
      <c r="I677" s="22" t="s">
        <v>11</v>
      </c>
      <c r="J677" s="23"/>
    </row>
    <row r="678" spans="1:10" hidden="1" outlineLevel="2">
      <c r="A678" s="23">
        <v>3</v>
      </c>
      <c r="B678" s="49" t="s">
        <v>2088</v>
      </c>
      <c r="C678" s="39" t="s">
        <v>1231</v>
      </c>
      <c r="D678" s="41" t="str">
        <f t="shared" si="29"/>
        <v>國語文4-製圖二乙</v>
      </c>
      <c r="E678" s="22" t="s">
        <v>1236</v>
      </c>
      <c r="F678" s="22" t="s">
        <v>1237</v>
      </c>
      <c r="G678" s="22">
        <v>54</v>
      </c>
      <c r="H678" s="22">
        <v>3</v>
      </c>
      <c r="I678" s="22" t="s">
        <v>11</v>
      </c>
      <c r="J678" s="23"/>
    </row>
    <row r="679" spans="1:10" hidden="1" outlineLevel="2">
      <c r="A679" s="23">
        <v>3</v>
      </c>
      <c r="B679" s="49" t="s">
        <v>2088</v>
      </c>
      <c r="C679" s="39" t="s">
        <v>1231</v>
      </c>
      <c r="D679" s="41" t="str">
        <f t="shared" si="29"/>
        <v>國語文4-製圖二乙</v>
      </c>
      <c r="E679" s="22" t="s">
        <v>1238</v>
      </c>
      <c r="F679" s="22" t="s">
        <v>1239</v>
      </c>
      <c r="G679" s="22">
        <v>44</v>
      </c>
      <c r="H679" s="22">
        <v>3</v>
      </c>
      <c r="I679" s="22" t="s">
        <v>11</v>
      </c>
      <c r="J679" s="23"/>
    </row>
    <row r="680" spans="1:10" hidden="1" outlineLevel="2">
      <c r="A680" s="23">
        <v>3</v>
      </c>
      <c r="B680" s="49" t="s">
        <v>2088</v>
      </c>
      <c r="C680" s="39" t="s">
        <v>1231</v>
      </c>
      <c r="D680" s="41" t="str">
        <f t="shared" si="29"/>
        <v>國語文4-製圖二乙</v>
      </c>
      <c r="E680" s="22" t="s">
        <v>1240</v>
      </c>
      <c r="F680" s="22" t="s">
        <v>157</v>
      </c>
      <c r="G680" s="22">
        <v>55</v>
      </c>
      <c r="H680" s="22">
        <v>3</v>
      </c>
      <c r="I680" s="22" t="s">
        <v>11</v>
      </c>
      <c r="J680" s="23"/>
    </row>
    <row r="681" spans="1:10" hidden="1" outlineLevel="2">
      <c r="A681" s="23">
        <v>3</v>
      </c>
      <c r="B681" s="49" t="s">
        <v>2088</v>
      </c>
      <c r="C681" s="39" t="s">
        <v>1231</v>
      </c>
      <c r="D681" s="41" t="str">
        <f t="shared" si="29"/>
        <v>國語文4-製圖二乙</v>
      </c>
      <c r="E681" s="22" t="s">
        <v>1241</v>
      </c>
      <c r="F681" s="22" t="s">
        <v>1242</v>
      </c>
      <c r="G681" s="22">
        <v>44</v>
      </c>
      <c r="H681" s="22">
        <v>3</v>
      </c>
      <c r="I681" s="22" t="s">
        <v>11</v>
      </c>
      <c r="J681" s="23"/>
    </row>
    <row r="682" spans="1:10" outlineLevel="1" collapsed="1">
      <c r="A682" s="23"/>
      <c r="B682" s="49"/>
      <c r="C682" s="39"/>
      <c r="D682" s="51" t="s">
        <v>2186</v>
      </c>
      <c r="E682" s="22">
        <f>SUBTOTAL(3,E676:E681)</f>
        <v>6</v>
      </c>
      <c r="F682" s="22"/>
      <c r="G682" s="22"/>
      <c r="H682" s="22"/>
      <c r="I682" s="22">
        <f>SUBTOTAL(3,I676:I681)</f>
        <v>6</v>
      </c>
      <c r="J682" s="23"/>
    </row>
    <row r="683" spans="1:10" hidden="1" outlineLevel="2">
      <c r="A683" s="23">
        <v>3</v>
      </c>
      <c r="B683" s="49" t="s">
        <v>2088</v>
      </c>
      <c r="C683" s="39" t="s">
        <v>1102</v>
      </c>
      <c r="D683" s="41" t="str">
        <f t="shared" ref="D683:D698" si="30">B683&amp;"-"&amp;C683</f>
        <v>國語文4-製圖二丙</v>
      </c>
      <c r="E683" s="22" t="s">
        <v>1103</v>
      </c>
      <c r="F683" s="22" t="s">
        <v>1104</v>
      </c>
      <c r="G683" s="22">
        <v>58</v>
      </c>
      <c r="H683" s="22">
        <v>3</v>
      </c>
      <c r="I683" s="22" t="s">
        <v>11</v>
      </c>
      <c r="J683" s="23"/>
    </row>
    <row r="684" spans="1:10" hidden="1" outlineLevel="2">
      <c r="A684" s="23">
        <v>3</v>
      </c>
      <c r="B684" s="49" t="s">
        <v>2088</v>
      </c>
      <c r="C684" s="39" t="s">
        <v>1102</v>
      </c>
      <c r="D684" s="41" t="str">
        <f t="shared" si="30"/>
        <v>國語文4-製圖二丙</v>
      </c>
      <c r="E684" s="22" t="s">
        <v>1105</v>
      </c>
      <c r="F684" s="22" t="s">
        <v>1106</v>
      </c>
      <c r="G684" s="22">
        <v>45</v>
      </c>
      <c r="H684" s="22">
        <v>3</v>
      </c>
      <c r="I684" s="22" t="s">
        <v>11</v>
      </c>
      <c r="J684" s="23"/>
    </row>
    <row r="685" spans="1:10" hidden="1" outlineLevel="2">
      <c r="A685" s="23">
        <v>3</v>
      </c>
      <c r="B685" s="49" t="s">
        <v>2088</v>
      </c>
      <c r="C685" s="39" t="s">
        <v>1102</v>
      </c>
      <c r="D685" s="41" t="str">
        <f t="shared" si="30"/>
        <v>國語文4-製圖二丙</v>
      </c>
      <c r="E685" s="22" t="s">
        <v>1107</v>
      </c>
      <c r="F685" s="22" t="s">
        <v>1108</v>
      </c>
      <c r="G685" s="22">
        <v>49</v>
      </c>
      <c r="H685" s="22">
        <v>3</v>
      </c>
      <c r="I685" s="22" t="s">
        <v>11</v>
      </c>
      <c r="J685" s="23"/>
    </row>
    <row r="686" spans="1:10" hidden="1" outlineLevel="2">
      <c r="A686" s="23">
        <v>3</v>
      </c>
      <c r="B686" s="49" t="s">
        <v>2088</v>
      </c>
      <c r="C686" s="39" t="s">
        <v>1102</v>
      </c>
      <c r="D686" s="41" t="str">
        <f t="shared" si="30"/>
        <v>國語文4-製圖二丙</v>
      </c>
      <c r="E686" s="22" t="s">
        <v>1109</v>
      </c>
      <c r="F686" s="22" t="s">
        <v>1110</v>
      </c>
      <c r="G686" s="22">
        <v>52</v>
      </c>
      <c r="H686" s="22">
        <v>3</v>
      </c>
      <c r="I686" s="22" t="s">
        <v>11</v>
      </c>
      <c r="J686" s="23"/>
    </row>
    <row r="687" spans="1:10" hidden="1" outlineLevel="2">
      <c r="A687" s="23">
        <v>3</v>
      </c>
      <c r="B687" s="49" t="s">
        <v>2088</v>
      </c>
      <c r="C687" s="39" t="s">
        <v>1102</v>
      </c>
      <c r="D687" s="41" t="str">
        <f t="shared" si="30"/>
        <v>國語文4-製圖二丙</v>
      </c>
      <c r="E687" s="22" t="s">
        <v>1111</v>
      </c>
      <c r="F687" s="22" t="s">
        <v>1112</v>
      </c>
      <c r="G687" s="22">
        <v>58</v>
      </c>
      <c r="H687" s="22">
        <v>3</v>
      </c>
      <c r="I687" s="22" t="s">
        <v>11</v>
      </c>
      <c r="J687" s="23"/>
    </row>
    <row r="688" spans="1:10" hidden="1" outlineLevel="2">
      <c r="A688" s="23">
        <v>3</v>
      </c>
      <c r="B688" s="49" t="s">
        <v>2088</v>
      </c>
      <c r="C688" s="39" t="s">
        <v>1102</v>
      </c>
      <c r="D688" s="41" t="str">
        <f t="shared" si="30"/>
        <v>國語文4-製圖二丙</v>
      </c>
      <c r="E688" s="22" t="s">
        <v>1113</v>
      </c>
      <c r="F688" s="22" t="s">
        <v>1114</v>
      </c>
      <c r="G688" s="22">
        <v>53</v>
      </c>
      <c r="H688" s="22">
        <v>3</v>
      </c>
      <c r="I688" s="22" t="s">
        <v>11</v>
      </c>
      <c r="J688" s="23"/>
    </row>
    <row r="689" spans="1:10" hidden="1" outlineLevel="2">
      <c r="A689" s="23">
        <v>3</v>
      </c>
      <c r="B689" s="49" t="s">
        <v>2088</v>
      </c>
      <c r="C689" s="39" t="s">
        <v>1102</v>
      </c>
      <c r="D689" s="41" t="str">
        <f t="shared" si="30"/>
        <v>國語文4-製圖二丙</v>
      </c>
      <c r="E689" s="22" t="s">
        <v>1115</v>
      </c>
      <c r="F689" s="22" t="s">
        <v>1116</v>
      </c>
      <c r="G689" s="22">
        <v>43</v>
      </c>
      <c r="H689" s="22">
        <v>3</v>
      </c>
      <c r="I689" s="22" t="s">
        <v>11</v>
      </c>
      <c r="J689" s="23"/>
    </row>
    <row r="690" spans="1:10" hidden="1" outlineLevel="2">
      <c r="A690" s="23">
        <v>3</v>
      </c>
      <c r="B690" s="49" t="s">
        <v>2088</v>
      </c>
      <c r="C690" s="39" t="s">
        <v>1102</v>
      </c>
      <c r="D690" s="41" t="str">
        <f t="shared" si="30"/>
        <v>國語文4-製圖二丙</v>
      </c>
      <c r="E690" s="22" t="s">
        <v>1117</v>
      </c>
      <c r="F690" s="22" t="s">
        <v>1118</v>
      </c>
      <c r="G690" s="22">
        <v>40</v>
      </c>
      <c r="H690" s="22">
        <v>3</v>
      </c>
      <c r="I690" s="22" t="s">
        <v>11</v>
      </c>
      <c r="J690" s="23"/>
    </row>
    <row r="691" spans="1:10" hidden="1" outlineLevel="2">
      <c r="A691" s="23">
        <v>3</v>
      </c>
      <c r="B691" s="49" t="s">
        <v>2088</v>
      </c>
      <c r="C691" s="39" t="s">
        <v>1102</v>
      </c>
      <c r="D691" s="41" t="str">
        <f t="shared" si="30"/>
        <v>國語文4-製圖二丙</v>
      </c>
      <c r="E691" s="22" t="s">
        <v>1119</v>
      </c>
      <c r="F691" s="22" t="s">
        <v>1120</v>
      </c>
      <c r="G691" s="22">
        <v>45</v>
      </c>
      <c r="H691" s="22">
        <v>3</v>
      </c>
      <c r="I691" s="22" t="s">
        <v>11</v>
      </c>
      <c r="J691" s="23"/>
    </row>
    <row r="692" spans="1:10" hidden="1" outlineLevel="2">
      <c r="A692" s="23">
        <v>3</v>
      </c>
      <c r="B692" s="49" t="s">
        <v>2088</v>
      </c>
      <c r="C692" s="39" t="s">
        <v>1102</v>
      </c>
      <c r="D692" s="41" t="str">
        <f t="shared" si="30"/>
        <v>國語文4-製圖二丙</v>
      </c>
      <c r="E692" s="22" t="s">
        <v>1121</v>
      </c>
      <c r="F692" s="22" t="s">
        <v>1122</v>
      </c>
      <c r="G692" s="22">
        <v>50</v>
      </c>
      <c r="H692" s="22">
        <v>3</v>
      </c>
      <c r="I692" s="22" t="s">
        <v>11</v>
      </c>
      <c r="J692" s="23"/>
    </row>
    <row r="693" spans="1:10" hidden="1" outlineLevel="2">
      <c r="A693" s="23">
        <v>3</v>
      </c>
      <c r="B693" s="49" t="s">
        <v>2088</v>
      </c>
      <c r="C693" s="39" t="s">
        <v>1102</v>
      </c>
      <c r="D693" s="41" t="str">
        <f t="shared" si="30"/>
        <v>國語文4-製圖二丙</v>
      </c>
      <c r="E693" s="22" t="s">
        <v>1123</v>
      </c>
      <c r="F693" s="22" t="s">
        <v>1124</v>
      </c>
      <c r="G693" s="22">
        <v>43</v>
      </c>
      <c r="H693" s="22">
        <v>3</v>
      </c>
      <c r="I693" s="22" t="s">
        <v>11</v>
      </c>
      <c r="J693" s="23"/>
    </row>
    <row r="694" spans="1:10" hidden="1" outlineLevel="2">
      <c r="A694" s="23">
        <v>3</v>
      </c>
      <c r="B694" s="49" t="s">
        <v>2088</v>
      </c>
      <c r="C694" s="39" t="s">
        <v>1102</v>
      </c>
      <c r="D694" s="41" t="str">
        <f t="shared" si="30"/>
        <v>國語文4-製圖二丙</v>
      </c>
      <c r="E694" s="22" t="s">
        <v>1125</v>
      </c>
      <c r="F694" s="22" t="s">
        <v>1126</v>
      </c>
      <c r="G694" s="22">
        <v>56</v>
      </c>
      <c r="H694" s="22">
        <v>3</v>
      </c>
      <c r="I694" s="22" t="s">
        <v>11</v>
      </c>
      <c r="J694" s="23"/>
    </row>
    <row r="695" spans="1:10" hidden="1" outlineLevel="2">
      <c r="A695" s="23">
        <v>3</v>
      </c>
      <c r="B695" s="49" t="s">
        <v>2088</v>
      </c>
      <c r="C695" s="39" t="s">
        <v>1102</v>
      </c>
      <c r="D695" s="41" t="str">
        <f t="shared" si="30"/>
        <v>國語文4-製圖二丙</v>
      </c>
      <c r="E695" s="22" t="s">
        <v>1127</v>
      </c>
      <c r="F695" s="22" t="s">
        <v>1128</v>
      </c>
      <c r="G695" s="22">
        <v>52</v>
      </c>
      <c r="H695" s="22">
        <v>3</v>
      </c>
      <c r="I695" s="22" t="s">
        <v>11</v>
      </c>
      <c r="J695" s="23"/>
    </row>
    <row r="696" spans="1:10" hidden="1" outlineLevel="2">
      <c r="A696" s="23">
        <v>3</v>
      </c>
      <c r="B696" s="49" t="s">
        <v>2088</v>
      </c>
      <c r="C696" s="39" t="s">
        <v>1102</v>
      </c>
      <c r="D696" s="41" t="str">
        <f t="shared" si="30"/>
        <v>國語文4-製圖二丙</v>
      </c>
      <c r="E696" s="22" t="s">
        <v>1129</v>
      </c>
      <c r="F696" s="22" t="s">
        <v>1130</v>
      </c>
      <c r="G696" s="22">
        <v>43</v>
      </c>
      <c r="H696" s="22">
        <v>3</v>
      </c>
      <c r="I696" s="22" t="s">
        <v>11</v>
      </c>
      <c r="J696" s="23"/>
    </row>
    <row r="697" spans="1:10" hidden="1" outlineLevel="2">
      <c r="A697" s="23">
        <v>3</v>
      </c>
      <c r="B697" s="49" t="s">
        <v>2088</v>
      </c>
      <c r="C697" s="39" t="s">
        <v>1102</v>
      </c>
      <c r="D697" s="41" t="str">
        <f t="shared" si="30"/>
        <v>國語文4-製圖二丙</v>
      </c>
      <c r="E697" s="22" t="s">
        <v>1131</v>
      </c>
      <c r="F697" s="22" t="s">
        <v>1132</v>
      </c>
      <c r="G697" s="22">
        <v>53</v>
      </c>
      <c r="H697" s="22">
        <v>3</v>
      </c>
      <c r="I697" s="22" t="s">
        <v>11</v>
      </c>
      <c r="J697" s="23"/>
    </row>
    <row r="698" spans="1:10" hidden="1" outlineLevel="2">
      <c r="A698" s="23">
        <v>3</v>
      </c>
      <c r="B698" s="49" t="s">
        <v>2088</v>
      </c>
      <c r="C698" s="39" t="s">
        <v>1102</v>
      </c>
      <c r="D698" s="41" t="str">
        <f t="shared" si="30"/>
        <v>國語文4-製圖二丙</v>
      </c>
      <c r="E698" s="22" t="s">
        <v>1133</v>
      </c>
      <c r="F698" s="22" t="s">
        <v>1134</v>
      </c>
      <c r="G698" s="22">
        <v>55</v>
      </c>
      <c r="H698" s="22">
        <v>3</v>
      </c>
      <c r="I698" s="22" t="s">
        <v>11</v>
      </c>
      <c r="J698" s="23"/>
    </row>
    <row r="699" spans="1:10" outlineLevel="1" collapsed="1">
      <c r="A699" s="23"/>
      <c r="B699" s="49"/>
      <c r="C699" s="39"/>
      <c r="D699" s="51" t="s">
        <v>2187</v>
      </c>
      <c r="E699" s="22">
        <f>SUBTOTAL(3,E683:E698)</f>
        <v>16</v>
      </c>
      <c r="F699" s="22"/>
      <c r="G699" s="22"/>
      <c r="H699" s="22"/>
      <c r="I699" s="22">
        <f>SUBTOTAL(3,I683:I698)</f>
        <v>16</v>
      </c>
      <c r="J699" s="23"/>
    </row>
    <row r="700" spans="1:10" hidden="1" outlineLevel="2">
      <c r="A700" s="23">
        <v>3</v>
      </c>
      <c r="B700" s="49" t="s">
        <v>2088</v>
      </c>
      <c r="C700" s="39" t="s">
        <v>1191</v>
      </c>
      <c r="D700" s="41" t="str">
        <f>B700&amp;"-"&amp;C700</f>
        <v>國語文4-製圖二甲</v>
      </c>
      <c r="E700" s="22" t="s">
        <v>1192</v>
      </c>
      <c r="F700" s="22" t="s">
        <v>1193</v>
      </c>
      <c r="G700" s="22">
        <v>55</v>
      </c>
      <c r="H700" s="22">
        <v>3</v>
      </c>
      <c r="I700" s="22" t="s">
        <v>11</v>
      </c>
      <c r="J700" s="23"/>
    </row>
    <row r="701" spans="1:10" hidden="1" outlineLevel="2">
      <c r="A701" s="23">
        <v>3</v>
      </c>
      <c r="B701" s="49" t="s">
        <v>2088</v>
      </c>
      <c r="C701" s="39" t="s">
        <v>1191</v>
      </c>
      <c r="D701" s="41" t="str">
        <f>B701&amp;"-"&amp;C701</f>
        <v>國語文4-製圖二甲</v>
      </c>
      <c r="E701" s="22" t="s">
        <v>1194</v>
      </c>
      <c r="F701" s="22" t="s">
        <v>1195</v>
      </c>
      <c r="G701" s="22">
        <v>41</v>
      </c>
      <c r="H701" s="22">
        <v>3</v>
      </c>
      <c r="I701" s="22" t="s">
        <v>11</v>
      </c>
      <c r="J701" s="23"/>
    </row>
    <row r="702" spans="1:10" hidden="1" outlineLevel="2">
      <c r="A702" s="23">
        <v>3</v>
      </c>
      <c r="B702" s="49" t="s">
        <v>2088</v>
      </c>
      <c r="C702" s="39" t="s">
        <v>1191</v>
      </c>
      <c r="D702" s="41" t="str">
        <f>B702&amp;"-"&amp;C702</f>
        <v>國語文4-製圖二甲</v>
      </c>
      <c r="E702" s="22" t="s">
        <v>1196</v>
      </c>
      <c r="F702" s="22" t="s">
        <v>1197</v>
      </c>
      <c r="G702" s="22">
        <v>49</v>
      </c>
      <c r="H702" s="22">
        <v>3</v>
      </c>
      <c r="I702" s="22" t="s">
        <v>11</v>
      </c>
      <c r="J702" s="23"/>
    </row>
    <row r="703" spans="1:10" hidden="1" outlineLevel="2">
      <c r="A703" s="23">
        <v>3</v>
      </c>
      <c r="B703" s="49" t="s">
        <v>2088</v>
      </c>
      <c r="C703" s="39" t="s">
        <v>1191</v>
      </c>
      <c r="D703" s="41" t="str">
        <f>B703&amp;"-"&amp;C703</f>
        <v>國語文4-製圖二甲</v>
      </c>
      <c r="E703" s="22" t="s">
        <v>1198</v>
      </c>
      <c r="F703" s="22" t="s">
        <v>1199</v>
      </c>
      <c r="G703" s="22">
        <v>42</v>
      </c>
      <c r="H703" s="22">
        <v>3</v>
      </c>
      <c r="I703" s="22" t="s">
        <v>11</v>
      </c>
      <c r="J703" s="23"/>
    </row>
    <row r="704" spans="1:10" outlineLevel="1" collapsed="1">
      <c r="A704" s="23"/>
      <c r="B704" s="49"/>
      <c r="C704" s="39"/>
      <c r="D704" s="51" t="s">
        <v>2188</v>
      </c>
      <c r="E704" s="22">
        <f>SUBTOTAL(3,E700:E703)</f>
        <v>4</v>
      </c>
      <c r="F704" s="22"/>
      <c r="G704" s="22"/>
      <c r="H704" s="22"/>
      <c r="I704" s="22">
        <f>SUBTOTAL(3,I700:I703)</f>
        <v>4</v>
      </c>
      <c r="J704" s="23"/>
    </row>
    <row r="705" spans="1:10" hidden="1" outlineLevel="2">
      <c r="A705" s="23">
        <v>3</v>
      </c>
      <c r="B705" s="49" t="s">
        <v>2088</v>
      </c>
      <c r="C705" s="39" t="s">
        <v>998</v>
      </c>
      <c r="D705" s="41" t="str">
        <f>B705&amp;"-"&amp;C705</f>
        <v>國語文4-模具二乙</v>
      </c>
      <c r="E705" s="22" t="s">
        <v>999</v>
      </c>
      <c r="F705" s="22" t="s">
        <v>1000</v>
      </c>
      <c r="G705" s="22">
        <v>41</v>
      </c>
      <c r="H705" s="22">
        <v>3</v>
      </c>
      <c r="I705" s="22" t="s">
        <v>11</v>
      </c>
      <c r="J705" s="23"/>
    </row>
    <row r="706" spans="1:10" ht="16" hidden="1" outlineLevel="2" thickBot="1">
      <c r="A706" s="23">
        <v>3</v>
      </c>
      <c r="B706" s="49" t="s">
        <v>2088</v>
      </c>
      <c r="C706" s="40" t="s">
        <v>998</v>
      </c>
      <c r="D706" s="41" t="str">
        <f>B706&amp;"-"&amp;C706</f>
        <v>國語文4-模具二乙</v>
      </c>
      <c r="E706" s="22" t="s">
        <v>1001</v>
      </c>
      <c r="F706" s="22" t="s">
        <v>1002</v>
      </c>
      <c r="G706" s="22">
        <v>53</v>
      </c>
      <c r="H706" s="22">
        <v>3</v>
      </c>
      <c r="I706" s="22" t="s">
        <v>11</v>
      </c>
      <c r="J706" s="23"/>
    </row>
    <row r="707" spans="1:10" ht="16" hidden="1" outlineLevel="2" thickTop="1">
      <c r="A707" s="23">
        <v>3</v>
      </c>
      <c r="B707" s="49" t="s">
        <v>2088</v>
      </c>
      <c r="C707" s="19" t="s">
        <v>998</v>
      </c>
      <c r="D707" s="41" t="str">
        <f>B707&amp;"-"&amp;C707</f>
        <v>國語文4-模具二乙</v>
      </c>
      <c r="E707" s="22" t="s">
        <v>1003</v>
      </c>
      <c r="F707" s="22" t="s">
        <v>1004</v>
      </c>
      <c r="G707" s="22">
        <v>48</v>
      </c>
      <c r="H707" s="22">
        <v>3</v>
      </c>
      <c r="I707" s="22" t="s">
        <v>11</v>
      </c>
      <c r="J707" s="23"/>
    </row>
    <row r="708" spans="1:10" hidden="1" outlineLevel="2">
      <c r="A708" s="23">
        <v>3</v>
      </c>
      <c r="B708" s="49" t="s">
        <v>2088</v>
      </c>
      <c r="C708" s="19" t="s">
        <v>998</v>
      </c>
      <c r="D708" s="41" t="str">
        <f>B708&amp;"-"&amp;C708</f>
        <v>國語文4-模具二乙</v>
      </c>
      <c r="E708" s="22" t="s">
        <v>1005</v>
      </c>
      <c r="F708" s="22" t="s">
        <v>1006</v>
      </c>
      <c r="G708" s="22">
        <v>52</v>
      </c>
      <c r="H708" s="22">
        <v>3</v>
      </c>
      <c r="I708" s="22" t="s">
        <v>11</v>
      </c>
      <c r="J708" s="23"/>
    </row>
    <row r="709" spans="1:10" hidden="1" outlineLevel="2">
      <c r="A709" s="23">
        <v>3</v>
      </c>
      <c r="B709" s="49" t="s">
        <v>2088</v>
      </c>
      <c r="C709" s="19" t="s">
        <v>998</v>
      </c>
      <c r="D709" s="41" t="str">
        <f>B709&amp;"-"&amp;C709</f>
        <v>國語文4-模具二乙</v>
      </c>
      <c r="E709" s="22" t="s">
        <v>1007</v>
      </c>
      <c r="F709" s="22" t="s">
        <v>1008</v>
      </c>
      <c r="G709" s="22">
        <v>54</v>
      </c>
      <c r="H709" s="22">
        <v>3</v>
      </c>
      <c r="I709" s="22" t="s">
        <v>11</v>
      </c>
      <c r="J709" s="23"/>
    </row>
    <row r="710" spans="1:10" outlineLevel="1" collapsed="1">
      <c r="A710" s="23"/>
      <c r="B710" s="49"/>
      <c r="D710" s="51" t="s">
        <v>2191</v>
      </c>
      <c r="E710" s="22">
        <f>SUBTOTAL(3,E705:E709)</f>
        <v>5</v>
      </c>
      <c r="F710" s="22"/>
      <c r="G710" s="22"/>
      <c r="H710" s="22"/>
      <c r="I710" s="22">
        <f>SUBTOTAL(3,I705:I709)</f>
        <v>5</v>
      </c>
      <c r="J710" s="23"/>
    </row>
    <row r="711" spans="1:10" hidden="1" outlineLevel="2">
      <c r="A711" s="23">
        <v>3</v>
      </c>
      <c r="B711" s="49" t="s">
        <v>2088</v>
      </c>
      <c r="C711" s="19" t="s">
        <v>1217</v>
      </c>
      <c r="D711" s="41" t="str">
        <f t="shared" ref="D711:D717" si="31">B711&amp;"-"&amp;C711</f>
        <v>國語文4-模具二甲</v>
      </c>
      <c r="E711" s="22" t="s">
        <v>1218</v>
      </c>
      <c r="F711" s="22" t="s">
        <v>1219</v>
      </c>
      <c r="G711" s="22">
        <v>56</v>
      </c>
      <c r="H711" s="22">
        <v>3</v>
      </c>
      <c r="I711" s="22" t="s">
        <v>11</v>
      </c>
      <c r="J711" s="23"/>
    </row>
    <row r="712" spans="1:10" hidden="1" outlineLevel="2">
      <c r="A712" s="23">
        <v>3</v>
      </c>
      <c r="B712" s="49" t="s">
        <v>2088</v>
      </c>
      <c r="C712" s="19" t="s">
        <v>1217</v>
      </c>
      <c r="D712" s="41" t="str">
        <f t="shared" si="31"/>
        <v>國語文4-模具二甲</v>
      </c>
      <c r="E712" s="22" t="s">
        <v>1220</v>
      </c>
      <c r="F712" s="22" t="s">
        <v>1221</v>
      </c>
      <c r="G712" s="22">
        <v>54</v>
      </c>
      <c r="H712" s="22">
        <v>3</v>
      </c>
      <c r="I712" s="22" t="s">
        <v>11</v>
      </c>
      <c r="J712" s="23"/>
    </row>
    <row r="713" spans="1:10" hidden="1" outlineLevel="2">
      <c r="A713" s="23">
        <v>3</v>
      </c>
      <c r="B713" s="49" t="s">
        <v>2088</v>
      </c>
      <c r="C713" s="19" t="s">
        <v>1217</v>
      </c>
      <c r="D713" s="41" t="str">
        <f t="shared" si="31"/>
        <v>國語文4-模具二甲</v>
      </c>
      <c r="E713" s="22" t="s">
        <v>1222</v>
      </c>
      <c r="F713" s="22" t="s">
        <v>1223</v>
      </c>
      <c r="G713" s="22">
        <v>40</v>
      </c>
      <c r="H713" s="22">
        <v>3</v>
      </c>
      <c r="I713" s="22" t="s">
        <v>11</v>
      </c>
      <c r="J713" s="23"/>
    </row>
    <row r="714" spans="1:10" hidden="1" outlineLevel="2">
      <c r="A714" s="23">
        <v>3</v>
      </c>
      <c r="B714" s="49" t="s">
        <v>2088</v>
      </c>
      <c r="C714" s="19" t="s">
        <v>1217</v>
      </c>
      <c r="D714" s="41" t="str">
        <f t="shared" si="31"/>
        <v>國語文4-模具二甲</v>
      </c>
      <c r="E714" s="22" t="s">
        <v>1224</v>
      </c>
      <c r="F714" s="22" t="s">
        <v>1225</v>
      </c>
      <c r="G714" s="22">
        <v>56</v>
      </c>
      <c r="H714" s="22">
        <v>3</v>
      </c>
      <c r="I714" s="22" t="s">
        <v>11</v>
      </c>
      <c r="J714" s="23"/>
    </row>
    <row r="715" spans="1:10" hidden="1" outlineLevel="2">
      <c r="A715" s="23">
        <v>3</v>
      </c>
      <c r="B715" s="49" t="s">
        <v>2088</v>
      </c>
      <c r="C715" s="19" t="s">
        <v>1217</v>
      </c>
      <c r="D715" s="41" t="str">
        <f t="shared" si="31"/>
        <v>國語文4-模具二甲</v>
      </c>
      <c r="E715" s="22" t="s">
        <v>1226</v>
      </c>
      <c r="F715" s="22" t="s">
        <v>1227</v>
      </c>
      <c r="G715" s="22">
        <v>41</v>
      </c>
      <c r="H715" s="22">
        <v>3</v>
      </c>
      <c r="I715" s="22" t="s">
        <v>11</v>
      </c>
      <c r="J715" s="23"/>
    </row>
    <row r="716" spans="1:10" hidden="1" outlineLevel="2">
      <c r="A716" s="23">
        <v>3</v>
      </c>
      <c r="B716" s="49" t="s">
        <v>2088</v>
      </c>
      <c r="C716" s="19" t="s">
        <v>1217</v>
      </c>
      <c r="D716" s="41" t="str">
        <f t="shared" si="31"/>
        <v>國語文4-模具二甲</v>
      </c>
      <c r="E716" s="22" t="s">
        <v>1228</v>
      </c>
      <c r="F716" s="22" t="s">
        <v>954</v>
      </c>
      <c r="G716" s="22">
        <v>40</v>
      </c>
      <c r="H716" s="22">
        <v>3</v>
      </c>
      <c r="I716" s="22" t="s">
        <v>11</v>
      </c>
      <c r="J716" s="23"/>
    </row>
    <row r="717" spans="1:10" hidden="1" outlineLevel="2">
      <c r="A717" s="23">
        <v>3</v>
      </c>
      <c r="B717" s="49" t="s">
        <v>2088</v>
      </c>
      <c r="C717" s="19" t="s">
        <v>1217</v>
      </c>
      <c r="D717" s="41" t="str">
        <f t="shared" si="31"/>
        <v>國語文4-模具二甲</v>
      </c>
      <c r="E717" s="22" t="s">
        <v>1229</v>
      </c>
      <c r="F717" s="22" t="s">
        <v>1230</v>
      </c>
      <c r="G717" s="22">
        <v>50</v>
      </c>
      <c r="H717" s="22">
        <v>3</v>
      </c>
      <c r="I717" s="22" t="s">
        <v>11</v>
      </c>
      <c r="J717" s="23"/>
    </row>
    <row r="718" spans="1:10" outlineLevel="1" collapsed="1">
      <c r="A718" s="23"/>
      <c r="B718" s="49"/>
      <c r="D718" s="51" t="s">
        <v>2192</v>
      </c>
      <c r="E718" s="22">
        <f>SUBTOTAL(3,E711:E717)</f>
        <v>7</v>
      </c>
      <c r="F718" s="22"/>
      <c r="G718" s="22"/>
      <c r="H718" s="22"/>
      <c r="I718" s="22">
        <f>SUBTOTAL(3,I711:I717)</f>
        <v>7</v>
      </c>
      <c r="J718" s="23">
        <f>E718+E710+E704+E699+E682+E675+E672</f>
        <v>43</v>
      </c>
    </row>
    <row r="719" spans="1:10" hidden="1" outlineLevel="2">
      <c r="A719" s="23">
        <v>3</v>
      </c>
      <c r="B719" s="49" t="s">
        <v>2088</v>
      </c>
      <c r="C719" s="19" t="s">
        <v>1171</v>
      </c>
      <c r="D719" s="41" t="str">
        <f t="shared" ref="D719:D724" si="32">B719&amp;"-"&amp;C719</f>
        <v>國語文4-機械二乙</v>
      </c>
      <c r="E719" s="22" t="s">
        <v>1172</v>
      </c>
      <c r="F719" s="22" t="s">
        <v>1173</v>
      </c>
      <c r="G719" s="22">
        <v>54</v>
      </c>
      <c r="H719" s="22">
        <v>3</v>
      </c>
      <c r="I719" s="22" t="s">
        <v>11</v>
      </c>
      <c r="J719" s="23"/>
    </row>
    <row r="720" spans="1:10" hidden="1" outlineLevel="2">
      <c r="A720" s="23">
        <v>3</v>
      </c>
      <c r="B720" s="49" t="s">
        <v>2088</v>
      </c>
      <c r="C720" s="19" t="s">
        <v>1171</v>
      </c>
      <c r="D720" s="41" t="str">
        <f t="shared" si="32"/>
        <v>國語文4-機械二乙</v>
      </c>
      <c r="E720" s="22" t="s">
        <v>1174</v>
      </c>
      <c r="F720" s="22" t="s">
        <v>1175</v>
      </c>
      <c r="G720" s="22">
        <v>56</v>
      </c>
      <c r="H720" s="22">
        <v>3</v>
      </c>
      <c r="I720" s="22" t="s">
        <v>11</v>
      </c>
      <c r="J720" s="23"/>
    </row>
    <row r="721" spans="1:10" hidden="1" outlineLevel="2">
      <c r="A721" s="23">
        <v>3</v>
      </c>
      <c r="B721" s="49" t="s">
        <v>2088</v>
      </c>
      <c r="C721" s="19" t="s">
        <v>1171</v>
      </c>
      <c r="D721" s="41" t="str">
        <f t="shared" si="32"/>
        <v>國語文4-機械二乙</v>
      </c>
      <c r="E721" s="22" t="s">
        <v>1176</v>
      </c>
      <c r="F721" s="22" t="s">
        <v>1177</v>
      </c>
      <c r="G721" s="22">
        <v>53</v>
      </c>
      <c r="H721" s="22">
        <v>3</v>
      </c>
      <c r="I721" s="22" t="s">
        <v>11</v>
      </c>
      <c r="J721" s="23"/>
    </row>
    <row r="722" spans="1:10" hidden="1" outlineLevel="2">
      <c r="A722" s="23">
        <v>3</v>
      </c>
      <c r="B722" s="49" t="s">
        <v>2088</v>
      </c>
      <c r="C722" s="19" t="s">
        <v>1171</v>
      </c>
      <c r="D722" s="41" t="str">
        <f t="shared" si="32"/>
        <v>國語文4-機械二乙</v>
      </c>
      <c r="E722" s="22" t="s">
        <v>1178</v>
      </c>
      <c r="F722" s="22" t="s">
        <v>1179</v>
      </c>
      <c r="G722" s="22">
        <v>40</v>
      </c>
      <c r="H722" s="22">
        <v>3</v>
      </c>
      <c r="I722" s="22" t="s">
        <v>11</v>
      </c>
      <c r="J722" s="23"/>
    </row>
    <row r="723" spans="1:10" hidden="1" outlineLevel="2">
      <c r="A723" s="23">
        <v>3</v>
      </c>
      <c r="B723" s="49" t="s">
        <v>2088</v>
      </c>
      <c r="C723" s="19" t="s">
        <v>1171</v>
      </c>
      <c r="D723" s="41" t="str">
        <f t="shared" si="32"/>
        <v>國語文4-機械二乙</v>
      </c>
      <c r="E723" s="22" t="s">
        <v>1180</v>
      </c>
      <c r="F723" s="22" t="s">
        <v>1181</v>
      </c>
      <c r="G723" s="22">
        <v>40</v>
      </c>
      <c r="H723" s="22">
        <v>3</v>
      </c>
      <c r="I723" s="22" t="s">
        <v>11</v>
      </c>
      <c r="J723" s="23"/>
    </row>
    <row r="724" spans="1:10" hidden="1" outlineLevel="2">
      <c r="A724" s="23">
        <v>3</v>
      </c>
      <c r="B724" s="49" t="s">
        <v>2088</v>
      </c>
      <c r="C724" s="19" t="s">
        <v>1171</v>
      </c>
      <c r="D724" s="41" t="str">
        <f t="shared" si="32"/>
        <v>國語文4-機械二乙</v>
      </c>
      <c r="E724" s="22" t="s">
        <v>1182</v>
      </c>
      <c r="F724" s="22" t="s">
        <v>1183</v>
      </c>
      <c r="G724" s="22">
        <v>52</v>
      </c>
      <c r="H724" s="22">
        <v>3</v>
      </c>
      <c r="I724" s="22" t="s">
        <v>11</v>
      </c>
      <c r="J724" s="23"/>
    </row>
    <row r="725" spans="1:10" outlineLevel="1" collapsed="1">
      <c r="A725" s="23"/>
      <c r="B725" s="49"/>
      <c r="D725" s="51" t="s">
        <v>2195</v>
      </c>
      <c r="E725" s="22">
        <f>SUBTOTAL(3,E719:E724)</f>
        <v>6</v>
      </c>
      <c r="F725" s="22"/>
      <c r="G725" s="22"/>
      <c r="H725" s="22"/>
      <c r="I725" s="22">
        <f>SUBTOTAL(3,I719:I724)</f>
        <v>6</v>
      </c>
      <c r="J725" s="23"/>
    </row>
    <row r="726" spans="1:10" hidden="1" outlineLevel="2">
      <c r="A726" s="23">
        <v>3</v>
      </c>
      <c r="B726" s="49" t="s">
        <v>2088</v>
      </c>
      <c r="C726" s="19" t="s">
        <v>971</v>
      </c>
      <c r="D726" s="41" t="str">
        <f t="shared" ref="D726:D738" si="33">B726&amp;"-"&amp;C726</f>
        <v>國語文4-機械二甲</v>
      </c>
      <c r="E726" s="22" t="s">
        <v>972</v>
      </c>
      <c r="F726" s="22" t="s">
        <v>973</v>
      </c>
      <c r="G726" s="22">
        <v>56</v>
      </c>
      <c r="H726" s="22">
        <v>3</v>
      </c>
      <c r="I726" s="22" t="s">
        <v>11</v>
      </c>
      <c r="J726" s="23"/>
    </row>
    <row r="727" spans="1:10" hidden="1" outlineLevel="2">
      <c r="A727" s="23">
        <v>3</v>
      </c>
      <c r="B727" s="49" t="s">
        <v>2088</v>
      </c>
      <c r="C727" s="19" t="s">
        <v>971</v>
      </c>
      <c r="D727" s="41" t="str">
        <f t="shared" si="33"/>
        <v>國語文4-機械二甲</v>
      </c>
      <c r="E727" s="22" t="s">
        <v>974</v>
      </c>
      <c r="F727" s="22" t="s">
        <v>975</v>
      </c>
      <c r="G727" s="22">
        <v>53</v>
      </c>
      <c r="H727" s="22">
        <v>3</v>
      </c>
      <c r="I727" s="22" t="s">
        <v>11</v>
      </c>
      <c r="J727" s="23"/>
    </row>
    <row r="728" spans="1:10" hidden="1" outlineLevel="2">
      <c r="A728" s="23">
        <v>3</v>
      </c>
      <c r="B728" s="49" t="s">
        <v>2088</v>
      </c>
      <c r="C728" s="19" t="s">
        <v>971</v>
      </c>
      <c r="D728" s="41" t="str">
        <f t="shared" si="33"/>
        <v>國語文4-機械二甲</v>
      </c>
      <c r="E728" s="22" t="s">
        <v>976</v>
      </c>
      <c r="F728" s="22" t="s">
        <v>977</v>
      </c>
      <c r="G728" s="22">
        <v>54</v>
      </c>
      <c r="H728" s="22">
        <v>3</v>
      </c>
      <c r="I728" s="22" t="s">
        <v>11</v>
      </c>
      <c r="J728" s="23"/>
    </row>
    <row r="729" spans="1:10" hidden="1" outlineLevel="2">
      <c r="A729" s="23">
        <v>3</v>
      </c>
      <c r="B729" s="49" t="s">
        <v>2088</v>
      </c>
      <c r="C729" s="19" t="s">
        <v>971</v>
      </c>
      <c r="D729" s="41" t="str">
        <f t="shared" si="33"/>
        <v>國語文4-機械二甲</v>
      </c>
      <c r="E729" s="22" t="s">
        <v>978</v>
      </c>
      <c r="F729" s="22" t="s">
        <v>979</v>
      </c>
      <c r="G729" s="22">
        <v>40</v>
      </c>
      <c r="H729" s="22">
        <v>3</v>
      </c>
      <c r="I729" s="22" t="s">
        <v>11</v>
      </c>
      <c r="J729" s="23"/>
    </row>
    <row r="730" spans="1:10" hidden="1" outlineLevel="2">
      <c r="A730" s="23">
        <v>3</v>
      </c>
      <c r="B730" s="49" t="s">
        <v>2088</v>
      </c>
      <c r="C730" s="19" t="s">
        <v>971</v>
      </c>
      <c r="D730" s="41" t="str">
        <f t="shared" si="33"/>
        <v>國語文4-機械二甲</v>
      </c>
      <c r="E730" s="22" t="s">
        <v>980</v>
      </c>
      <c r="F730" s="22" t="s">
        <v>981</v>
      </c>
      <c r="G730" s="22">
        <v>53</v>
      </c>
      <c r="H730" s="22">
        <v>3</v>
      </c>
      <c r="I730" s="22" t="s">
        <v>11</v>
      </c>
      <c r="J730" s="23"/>
    </row>
    <row r="731" spans="1:10" hidden="1" outlineLevel="2">
      <c r="A731" s="23">
        <v>3</v>
      </c>
      <c r="B731" s="59" t="s">
        <v>2088</v>
      </c>
      <c r="C731" s="19" t="s">
        <v>971</v>
      </c>
      <c r="D731" s="41" t="str">
        <f t="shared" si="33"/>
        <v>國語文4-機械二甲</v>
      </c>
      <c r="E731" s="22" t="s">
        <v>982</v>
      </c>
      <c r="F731" s="22" t="s">
        <v>983</v>
      </c>
      <c r="G731" s="22">
        <v>47</v>
      </c>
      <c r="H731" s="22">
        <v>3</v>
      </c>
      <c r="I731" s="22" t="s">
        <v>11</v>
      </c>
      <c r="J731" s="23"/>
    </row>
    <row r="732" spans="1:10" hidden="1" outlineLevel="2">
      <c r="A732" s="23">
        <v>3</v>
      </c>
      <c r="B732" s="59" t="s">
        <v>2088</v>
      </c>
      <c r="C732" s="19" t="s">
        <v>971</v>
      </c>
      <c r="D732" s="41" t="str">
        <f t="shared" si="33"/>
        <v>國語文4-機械二甲</v>
      </c>
      <c r="E732" s="22" t="s">
        <v>984</v>
      </c>
      <c r="F732" s="22" t="s">
        <v>985</v>
      </c>
      <c r="G732" s="22">
        <v>52</v>
      </c>
      <c r="H732" s="22">
        <v>3</v>
      </c>
      <c r="I732" s="22" t="s">
        <v>11</v>
      </c>
      <c r="J732" s="23"/>
    </row>
    <row r="733" spans="1:10" hidden="1" outlineLevel="2">
      <c r="A733" s="23">
        <v>3</v>
      </c>
      <c r="B733" s="59" t="s">
        <v>2088</v>
      </c>
      <c r="C733" s="19" t="s">
        <v>971</v>
      </c>
      <c r="D733" s="41" t="str">
        <f t="shared" si="33"/>
        <v>國語文4-機械二甲</v>
      </c>
      <c r="E733" s="22" t="s">
        <v>986</v>
      </c>
      <c r="F733" s="22" t="s">
        <v>987</v>
      </c>
      <c r="G733" s="22">
        <v>56</v>
      </c>
      <c r="H733" s="22">
        <v>3</v>
      </c>
      <c r="I733" s="22" t="s">
        <v>11</v>
      </c>
      <c r="J733" s="23"/>
    </row>
    <row r="734" spans="1:10" hidden="1" outlineLevel="2">
      <c r="A734" s="23">
        <v>3</v>
      </c>
      <c r="B734" s="59" t="s">
        <v>2088</v>
      </c>
      <c r="C734" s="19" t="s">
        <v>971</v>
      </c>
      <c r="D734" s="41" t="str">
        <f t="shared" si="33"/>
        <v>國語文4-機械二甲</v>
      </c>
      <c r="E734" s="22" t="s">
        <v>988</v>
      </c>
      <c r="F734" s="22" t="s">
        <v>989</v>
      </c>
      <c r="G734" s="22">
        <v>51</v>
      </c>
      <c r="H734" s="22">
        <v>3</v>
      </c>
      <c r="I734" s="22" t="s">
        <v>11</v>
      </c>
      <c r="J734" s="23"/>
    </row>
    <row r="735" spans="1:10" hidden="1" outlineLevel="2">
      <c r="A735" s="23">
        <v>3</v>
      </c>
      <c r="B735" s="59" t="s">
        <v>2088</v>
      </c>
      <c r="C735" s="19" t="s">
        <v>971</v>
      </c>
      <c r="D735" s="41" t="str">
        <f t="shared" si="33"/>
        <v>國語文4-機械二甲</v>
      </c>
      <c r="E735" s="22" t="s">
        <v>990</v>
      </c>
      <c r="F735" s="22" t="s">
        <v>991</v>
      </c>
      <c r="G735" s="22">
        <v>52</v>
      </c>
      <c r="H735" s="22">
        <v>3</v>
      </c>
      <c r="I735" s="22" t="s">
        <v>11</v>
      </c>
      <c r="J735" s="23"/>
    </row>
    <row r="736" spans="1:10" hidden="1" outlineLevel="2">
      <c r="A736" s="23">
        <v>3</v>
      </c>
      <c r="B736" s="59" t="s">
        <v>2088</v>
      </c>
      <c r="C736" s="19" t="s">
        <v>971</v>
      </c>
      <c r="D736" s="41" t="str">
        <f t="shared" si="33"/>
        <v>國語文4-機械二甲</v>
      </c>
      <c r="E736" s="22" t="s">
        <v>992</v>
      </c>
      <c r="F736" s="22" t="s">
        <v>993</v>
      </c>
      <c r="G736" s="22">
        <v>50</v>
      </c>
      <c r="H736" s="22">
        <v>3</v>
      </c>
      <c r="I736" s="22" t="s">
        <v>11</v>
      </c>
      <c r="J736" s="23"/>
    </row>
    <row r="737" spans="1:10" hidden="1" outlineLevel="2">
      <c r="A737" s="23">
        <v>3</v>
      </c>
      <c r="B737" s="59" t="s">
        <v>2088</v>
      </c>
      <c r="C737" s="19" t="s">
        <v>971</v>
      </c>
      <c r="D737" s="41" t="str">
        <f t="shared" si="33"/>
        <v>國語文4-機械二甲</v>
      </c>
      <c r="E737" s="22" t="s">
        <v>994</v>
      </c>
      <c r="F737" s="22" t="s">
        <v>995</v>
      </c>
      <c r="G737" s="22">
        <v>54</v>
      </c>
      <c r="H737" s="22">
        <v>3</v>
      </c>
      <c r="I737" s="22" t="s">
        <v>11</v>
      </c>
      <c r="J737" s="23"/>
    </row>
    <row r="738" spans="1:10" hidden="1" outlineLevel="2">
      <c r="A738" s="23">
        <v>3</v>
      </c>
      <c r="B738" s="59" t="s">
        <v>2088</v>
      </c>
      <c r="C738" s="19" t="s">
        <v>971</v>
      </c>
      <c r="D738" s="41" t="str">
        <f t="shared" si="33"/>
        <v>國語文4-機械二甲</v>
      </c>
      <c r="E738" s="22" t="s">
        <v>996</v>
      </c>
      <c r="F738" s="22" t="s">
        <v>997</v>
      </c>
      <c r="G738" s="22">
        <v>47</v>
      </c>
      <c r="H738" s="22">
        <v>3</v>
      </c>
      <c r="I738" s="22" t="s">
        <v>11</v>
      </c>
      <c r="J738" s="23"/>
    </row>
    <row r="739" spans="1:10" outlineLevel="1" collapsed="1">
      <c r="A739" s="23"/>
      <c r="B739" s="59"/>
      <c r="D739" s="51" t="s">
        <v>2196</v>
      </c>
      <c r="E739" s="22">
        <f>SUBTOTAL(3,E726:E738)</f>
        <v>13</v>
      </c>
      <c r="F739" s="22"/>
      <c r="G739" s="22"/>
      <c r="H739" s="22"/>
      <c r="I739" s="22">
        <f>SUBTOTAL(3,I726:I738)</f>
        <v>13</v>
      </c>
      <c r="J739" s="23"/>
    </row>
    <row r="740" spans="1:10" hidden="1" outlineLevel="2">
      <c r="A740" s="23">
        <v>3</v>
      </c>
      <c r="B740" s="59" t="s">
        <v>2088</v>
      </c>
      <c r="C740" s="19" t="s">
        <v>1059</v>
      </c>
      <c r="D740" s="41" t="str">
        <f>B740&amp;"-"&amp;C740</f>
        <v>國語文4-應英二乙</v>
      </c>
      <c r="E740" s="22" t="s">
        <v>1060</v>
      </c>
      <c r="F740" s="22" t="s">
        <v>1061</v>
      </c>
      <c r="G740" s="22">
        <v>49</v>
      </c>
      <c r="H740" s="22">
        <v>3</v>
      </c>
      <c r="I740" s="22" t="s">
        <v>11</v>
      </c>
      <c r="J740" s="23"/>
    </row>
    <row r="741" spans="1:10" hidden="1" outlineLevel="2">
      <c r="A741" s="23">
        <v>3</v>
      </c>
      <c r="B741" s="59" t="s">
        <v>2088</v>
      </c>
      <c r="C741" s="19" t="s">
        <v>1059</v>
      </c>
      <c r="D741" s="41" t="str">
        <f>B741&amp;"-"&amp;C741</f>
        <v>國語文4-應英二乙</v>
      </c>
      <c r="E741" s="22" t="s">
        <v>1062</v>
      </c>
      <c r="F741" s="22" t="s">
        <v>1063</v>
      </c>
      <c r="G741" s="22">
        <v>53</v>
      </c>
      <c r="H741" s="22">
        <v>3</v>
      </c>
      <c r="I741" s="22" t="s">
        <v>11</v>
      </c>
      <c r="J741" s="23"/>
    </row>
    <row r="742" spans="1:10" outlineLevel="1" collapsed="1">
      <c r="A742" s="23"/>
      <c r="B742" s="59"/>
      <c r="D742" s="51" t="s">
        <v>2199</v>
      </c>
      <c r="E742" s="22">
        <f>SUBTOTAL(3,E740:E741)</f>
        <v>2</v>
      </c>
      <c r="F742" s="22"/>
      <c r="G742" s="22"/>
      <c r="H742" s="22"/>
      <c r="I742" s="22">
        <f>SUBTOTAL(3,I740:I741)</f>
        <v>2</v>
      </c>
      <c r="J742" s="23"/>
    </row>
    <row r="743" spans="1:10" hidden="1" outlineLevel="2">
      <c r="A743" s="23">
        <v>3</v>
      </c>
      <c r="B743" s="59" t="s">
        <v>2088</v>
      </c>
      <c r="C743" s="19" t="s">
        <v>1009</v>
      </c>
      <c r="D743" s="41" t="str">
        <f>B743&amp;"-"&amp;C743</f>
        <v>國語文4-應英二甲</v>
      </c>
      <c r="E743" s="22" t="s">
        <v>1010</v>
      </c>
      <c r="F743" s="22" t="s">
        <v>1011</v>
      </c>
      <c r="G743" s="22">
        <v>53</v>
      </c>
      <c r="H743" s="22">
        <v>3</v>
      </c>
      <c r="I743" s="22" t="s">
        <v>11</v>
      </c>
      <c r="J743" s="23"/>
    </row>
    <row r="744" spans="1:10" hidden="1" outlineLevel="2">
      <c r="A744" s="23">
        <v>3</v>
      </c>
      <c r="B744" s="59" t="s">
        <v>2088</v>
      </c>
      <c r="C744" s="19" t="s">
        <v>1009</v>
      </c>
      <c r="D744" s="41" t="str">
        <f>B744&amp;"-"&amp;C744</f>
        <v>國語文4-應英二甲</v>
      </c>
      <c r="E744" s="22" t="s">
        <v>1012</v>
      </c>
      <c r="F744" s="22" t="s">
        <v>1013</v>
      </c>
      <c r="G744" s="22">
        <v>45</v>
      </c>
      <c r="H744" s="22">
        <v>3</v>
      </c>
      <c r="I744" s="22" t="s">
        <v>11</v>
      </c>
      <c r="J744" s="23"/>
    </row>
    <row r="745" spans="1:10" hidden="1" outlineLevel="2">
      <c r="A745" s="23">
        <v>3</v>
      </c>
      <c r="B745" s="59" t="s">
        <v>2088</v>
      </c>
      <c r="C745" s="19" t="s">
        <v>1009</v>
      </c>
      <c r="D745" s="41" t="str">
        <f>B745&amp;"-"&amp;C745</f>
        <v>國語文4-應英二甲</v>
      </c>
      <c r="E745" s="22" t="s">
        <v>1014</v>
      </c>
      <c r="F745" s="22" t="s">
        <v>1015</v>
      </c>
      <c r="G745" s="22">
        <v>58</v>
      </c>
      <c r="H745" s="22">
        <v>3</v>
      </c>
      <c r="I745" s="22" t="s">
        <v>11</v>
      </c>
      <c r="J745" s="23"/>
    </row>
    <row r="746" spans="1:10" hidden="1" outlineLevel="2">
      <c r="A746" s="23">
        <v>3</v>
      </c>
      <c r="B746" s="59" t="s">
        <v>2088</v>
      </c>
      <c r="C746" s="19" t="s">
        <v>1009</v>
      </c>
      <c r="D746" s="41" t="str">
        <f>B746&amp;"-"&amp;C746</f>
        <v>國語文4-應英二甲</v>
      </c>
      <c r="E746" s="22" t="s">
        <v>1016</v>
      </c>
      <c r="F746" s="22" t="s">
        <v>1017</v>
      </c>
      <c r="G746" s="22">
        <v>59</v>
      </c>
      <c r="H746" s="22">
        <v>3</v>
      </c>
      <c r="I746" s="22" t="s">
        <v>11</v>
      </c>
      <c r="J746" s="23"/>
    </row>
    <row r="747" spans="1:10" hidden="1" outlineLevel="2">
      <c r="A747" s="23">
        <v>3</v>
      </c>
      <c r="B747" s="59" t="s">
        <v>2088</v>
      </c>
      <c r="C747" s="19" t="s">
        <v>1009</v>
      </c>
      <c r="D747" s="41" t="str">
        <f>B747&amp;"-"&amp;C747</f>
        <v>國語文4-應英二甲</v>
      </c>
      <c r="E747" s="22" t="s">
        <v>1018</v>
      </c>
      <c r="F747" s="22" t="s">
        <v>1019</v>
      </c>
      <c r="G747" s="22">
        <v>54</v>
      </c>
      <c r="H747" s="22">
        <v>3</v>
      </c>
      <c r="I747" s="22" t="s">
        <v>11</v>
      </c>
      <c r="J747" s="23"/>
    </row>
    <row r="748" spans="1:10" outlineLevel="1" collapsed="1">
      <c r="A748" s="23"/>
      <c r="B748" s="59"/>
      <c r="D748" s="51" t="s">
        <v>2200</v>
      </c>
      <c r="E748" s="22">
        <f>SUBTOTAL(3,E743:E747)</f>
        <v>5</v>
      </c>
      <c r="F748" s="22"/>
      <c r="G748" s="22"/>
      <c r="H748" s="22"/>
      <c r="I748" s="22">
        <f>SUBTOTAL(3,I743:I747)</f>
        <v>5</v>
      </c>
      <c r="J748" s="23"/>
    </row>
    <row r="749" spans="1:10" hidden="1" outlineLevel="2">
      <c r="A749" s="23">
        <v>3</v>
      </c>
      <c r="B749" s="59" t="s">
        <v>2088</v>
      </c>
      <c r="C749" s="19" t="s">
        <v>1020</v>
      </c>
      <c r="D749" s="41" t="str">
        <f t="shared" ref="D749:D755" si="34">B749&amp;"-"&amp;C749</f>
        <v>國語文4-鑄造二乙</v>
      </c>
      <c r="E749" s="22" t="s">
        <v>1021</v>
      </c>
      <c r="F749" s="22" t="s">
        <v>1022</v>
      </c>
      <c r="G749" s="22">
        <v>49</v>
      </c>
      <c r="H749" s="22">
        <v>3</v>
      </c>
      <c r="I749" s="22" t="s">
        <v>11</v>
      </c>
      <c r="J749" s="23"/>
    </row>
    <row r="750" spans="1:10" hidden="1" outlineLevel="2">
      <c r="A750" s="23">
        <v>3</v>
      </c>
      <c r="B750" s="59" t="s">
        <v>2088</v>
      </c>
      <c r="C750" s="19" t="s">
        <v>1020</v>
      </c>
      <c r="D750" s="41" t="str">
        <f t="shared" si="34"/>
        <v>國語文4-鑄造二乙</v>
      </c>
      <c r="E750" s="22" t="s">
        <v>1023</v>
      </c>
      <c r="F750" s="22" t="s">
        <v>1024</v>
      </c>
      <c r="G750" s="22">
        <v>49</v>
      </c>
      <c r="H750" s="22">
        <v>3</v>
      </c>
      <c r="I750" s="22" t="s">
        <v>11</v>
      </c>
      <c r="J750" s="23"/>
    </row>
    <row r="751" spans="1:10" hidden="1" outlineLevel="2">
      <c r="A751" s="23">
        <v>3</v>
      </c>
      <c r="B751" s="59" t="s">
        <v>2088</v>
      </c>
      <c r="C751" s="19" t="s">
        <v>1020</v>
      </c>
      <c r="D751" s="41" t="str">
        <f t="shared" si="34"/>
        <v>國語文4-鑄造二乙</v>
      </c>
      <c r="E751" s="22" t="s">
        <v>1025</v>
      </c>
      <c r="F751" s="22" t="s">
        <v>1026</v>
      </c>
      <c r="G751" s="22">
        <v>50</v>
      </c>
      <c r="H751" s="22">
        <v>3</v>
      </c>
      <c r="I751" s="22" t="s">
        <v>11</v>
      </c>
      <c r="J751" s="23"/>
    </row>
    <row r="752" spans="1:10" hidden="1" outlineLevel="2">
      <c r="A752" s="23">
        <v>3</v>
      </c>
      <c r="B752" s="59" t="s">
        <v>2088</v>
      </c>
      <c r="C752" s="19" t="s">
        <v>1020</v>
      </c>
      <c r="D752" s="41" t="str">
        <f t="shared" si="34"/>
        <v>國語文4-鑄造二乙</v>
      </c>
      <c r="E752" s="22" t="s">
        <v>1027</v>
      </c>
      <c r="F752" s="22" t="s">
        <v>1028</v>
      </c>
      <c r="G752" s="22">
        <v>54</v>
      </c>
      <c r="H752" s="22">
        <v>3</v>
      </c>
      <c r="I752" s="22" t="s">
        <v>11</v>
      </c>
      <c r="J752" s="23"/>
    </row>
    <row r="753" spans="1:10" hidden="1" outlineLevel="2">
      <c r="A753" s="23">
        <v>3</v>
      </c>
      <c r="B753" s="59" t="s">
        <v>2088</v>
      </c>
      <c r="C753" s="19" t="s">
        <v>1020</v>
      </c>
      <c r="D753" s="41" t="str">
        <f t="shared" si="34"/>
        <v>國語文4-鑄造二乙</v>
      </c>
      <c r="E753" s="22" t="s">
        <v>1029</v>
      </c>
      <c r="F753" s="22" t="s">
        <v>1030</v>
      </c>
      <c r="G753" s="22">
        <v>49</v>
      </c>
      <c r="H753" s="22">
        <v>3</v>
      </c>
      <c r="I753" s="22" t="s">
        <v>11</v>
      </c>
      <c r="J753" s="23"/>
    </row>
    <row r="754" spans="1:10" hidden="1" outlineLevel="2">
      <c r="A754" s="23">
        <v>3</v>
      </c>
      <c r="B754" s="59" t="s">
        <v>2088</v>
      </c>
      <c r="C754" s="19" t="s">
        <v>1020</v>
      </c>
      <c r="D754" s="41" t="str">
        <f t="shared" si="34"/>
        <v>國語文4-鑄造二乙</v>
      </c>
      <c r="E754" s="22" t="s">
        <v>1031</v>
      </c>
      <c r="F754" s="22" t="s">
        <v>1032</v>
      </c>
      <c r="G754" s="22">
        <v>51</v>
      </c>
      <c r="H754" s="22">
        <v>3</v>
      </c>
      <c r="I754" s="22" t="s">
        <v>11</v>
      </c>
      <c r="J754" s="23"/>
    </row>
    <row r="755" spans="1:10" hidden="1" outlineLevel="2">
      <c r="A755" s="23">
        <v>3</v>
      </c>
      <c r="B755" s="59" t="s">
        <v>2088</v>
      </c>
      <c r="C755" s="19" t="s">
        <v>1020</v>
      </c>
      <c r="D755" s="41" t="str">
        <f t="shared" si="34"/>
        <v>國語文4-鑄造二乙</v>
      </c>
      <c r="E755" s="22" t="s">
        <v>1033</v>
      </c>
      <c r="F755" s="22" t="s">
        <v>1034</v>
      </c>
      <c r="G755" s="22">
        <v>40</v>
      </c>
      <c r="H755" s="22">
        <v>3</v>
      </c>
      <c r="I755" s="22" t="s">
        <v>11</v>
      </c>
      <c r="J755" s="23"/>
    </row>
    <row r="756" spans="1:10" outlineLevel="1" collapsed="1">
      <c r="A756" s="23"/>
      <c r="B756" s="59"/>
      <c r="D756" s="51" t="s">
        <v>2203</v>
      </c>
      <c r="E756" s="22">
        <f>SUBTOTAL(3,E749:E755)</f>
        <v>7</v>
      </c>
      <c r="F756" s="22"/>
      <c r="G756" s="22"/>
      <c r="H756" s="22"/>
      <c r="I756" s="22">
        <f>SUBTOTAL(3,I749:I755)</f>
        <v>7</v>
      </c>
      <c r="J756" s="23"/>
    </row>
    <row r="757" spans="1:10" hidden="1" outlineLevel="2">
      <c r="A757" s="23">
        <v>3</v>
      </c>
      <c r="B757" s="59" t="s">
        <v>2088</v>
      </c>
      <c r="C757" s="19" t="s">
        <v>1064</v>
      </c>
      <c r="D757" s="41" t="str">
        <f t="shared" ref="D757:D765" si="35">B757&amp;"-"&amp;C757</f>
        <v>國語文4-鑄造二甲</v>
      </c>
      <c r="E757" s="22" t="s">
        <v>1065</v>
      </c>
      <c r="F757" s="22" t="s">
        <v>1066</v>
      </c>
      <c r="G757" s="22">
        <v>40</v>
      </c>
      <c r="H757" s="22">
        <v>3</v>
      </c>
      <c r="I757" s="22" t="s">
        <v>11</v>
      </c>
      <c r="J757" s="23"/>
    </row>
    <row r="758" spans="1:10" hidden="1" outlineLevel="2">
      <c r="A758" s="23">
        <v>3</v>
      </c>
      <c r="B758" s="59" t="s">
        <v>2088</v>
      </c>
      <c r="C758" s="19" t="s">
        <v>1064</v>
      </c>
      <c r="D758" s="41" t="str">
        <f t="shared" si="35"/>
        <v>國語文4-鑄造二甲</v>
      </c>
      <c r="E758" s="22" t="s">
        <v>1067</v>
      </c>
      <c r="F758" s="22" t="s">
        <v>1068</v>
      </c>
      <c r="G758" s="22">
        <v>57</v>
      </c>
      <c r="H758" s="22">
        <v>3</v>
      </c>
      <c r="I758" s="22" t="s">
        <v>11</v>
      </c>
      <c r="J758" s="23"/>
    </row>
    <row r="759" spans="1:10" hidden="1" outlineLevel="2">
      <c r="A759" s="23">
        <v>3</v>
      </c>
      <c r="B759" s="59" t="s">
        <v>2088</v>
      </c>
      <c r="C759" s="19" t="s">
        <v>1064</v>
      </c>
      <c r="D759" s="41" t="str">
        <f t="shared" si="35"/>
        <v>國語文4-鑄造二甲</v>
      </c>
      <c r="E759" s="22" t="s">
        <v>1069</v>
      </c>
      <c r="F759" s="22" t="s">
        <v>1070</v>
      </c>
      <c r="G759" s="22">
        <v>40</v>
      </c>
      <c r="H759" s="22">
        <v>3</v>
      </c>
      <c r="I759" s="22" t="s">
        <v>11</v>
      </c>
      <c r="J759" s="23"/>
    </row>
    <row r="760" spans="1:10" hidden="1" outlineLevel="2">
      <c r="A760" s="23">
        <v>3</v>
      </c>
      <c r="B760" s="59" t="s">
        <v>2088</v>
      </c>
      <c r="C760" s="19" t="s">
        <v>1064</v>
      </c>
      <c r="D760" s="41" t="str">
        <f t="shared" si="35"/>
        <v>國語文4-鑄造二甲</v>
      </c>
      <c r="E760" s="22" t="s">
        <v>1071</v>
      </c>
      <c r="F760" s="22" t="s">
        <v>1072</v>
      </c>
      <c r="G760" s="22">
        <v>55</v>
      </c>
      <c r="H760" s="22">
        <v>3</v>
      </c>
      <c r="I760" s="22" t="s">
        <v>11</v>
      </c>
      <c r="J760" s="23"/>
    </row>
    <row r="761" spans="1:10" hidden="1" outlineLevel="2">
      <c r="A761" s="23">
        <v>3</v>
      </c>
      <c r="B761" s="59" t="s">
        <v>2088</v>
      </c>
      <c r="C761" s="19" t="s">
        <v>1064</v>
      </c>
      <c r="D761" s="41" t="str">
        <f t="shared" si="35"/>
        <v>國語文4-鑄造二甲</v>
      </c>
      <c r="E761" s="22" t="s">
        <v>1073</v>
      </c>
      <c r="F761" s="22" t="s">
        <v>1074</v>
      </c>
      <c r="G761" s="22">
        <v>40</v>
      </c>
      <c r="H761" s="22">
        <v>3</v>
      </c>
      <c r="I761" s="22" t="s">
        <v>11</v>
      </c>
      <c r="J761" s="23"/>
    </row>
    <row r="762" spans="1:10" hidden="1" outlineLevel="2">
      <c r="A762" s="23">
        <v>3</v>
      </c>
      <c r="B762" s="59" t="s">
        <v>2088</v>
      </c>
      <c r="C762" s="19" t="s">
        <v>1064</v>
      </c>
      <c r="D762" s="41" t="str">
        <f t="shared" si="35"/>
        <v>國語文4-鑄造二甲</v>
      </c>
      <c r="E762" s="22" t="s">
        <v>1075</v>
      </c>
      <c r="F762" s="22" t="s">
        <v>1076</v>
      </c>
      <c r="G762" s="22">
        <v>40</v>
      </c>
      <c r="H762" s="22">
        <v>3</v>
      </c>
      <c r="I762" s="22" t="s">
        <v>11</v>
      </c>
      <c r="J762" s="23"/>
    </row>
    <row r="763" spans="1:10" hidden="1" outlineLevel="2">
      <c r="A763" s="23">
        <v>3</v>
      </c>
      <c r="B763" s="59" t="s">
        <v>2088</v>
      </c>
      <c r="C763" s="19" t="s">
        <v>1064</v>
      </c>
      <c r="D763" s="41" t="str">
        <f t="shared" si="35"/>
        <v>國語文4-鑄造二甲</v>
      </c>
      <c r="E763" s="22" t="s">
        <v>1077</v>
      </c>
      <c r="F763" s="22" t="s">
        <v>1078</v>
      </c>
      <c r="G763" s="22">
        <v>52</v>
      </c>
      <c r="H763" s="22">
        <v>3</v>
      </c>
      <c r="I763" s="22" t="s">
        <v>11</v>
      </c>
      <c r="J763" s="23"/>
    </row>
    <row r="764" spans="1:10" hidden="1" outlineLevel="2">
      <c r="A764" s="23">
        <v>3</v>
      </c>
      <c r="B764" s="59" t="s">
        <v>2088</v>
      </c>
      <c r="C764" s="19" t="s">
        <v>1064</v>
      </c>
      <c r="D764" s="41" t="str">
        <f t="shared" si="35"/>
        <v>國語文4-鑄造二甲</v>
      </c>
      <c r="E764" s="22" t="s">
        <v>1079</v>
      </c>
      <c r="F764" s="22" t="s">
        <v>1080</v>
      </c>
      <c r="G764" s="22">
        <v>40</v>
      </c>
      <c r="H764" s="22">
        <v>3</v>
      </c>
      <c r="I764" s="22" t="s">
        <v>11</v>
      </c>
      <c r="J764" s="23"/>
    </row>
    <row r="765" spans="1:10" hidden="1" outlineLevel="2">
      <c r="A765" s="23">
        <v>3</v>
      </c>
      <c r="B765" s="59" t="s">
        <v>2088</v>
      </c>
      <c r="C765" s="19" t="s">
        <v>1064</v>
      </c>
      <c r="D765" s="41" t="str">
        <f t="shared" si="35"/>
        <v>國語文4-鑄造二甲</v>
      </c>
      <c r="E765" s="22" t="s">
        <v>1081</v>
      </c>
      <c r="F765" s="22" t="s">
        <v>1082</v>
      </c>
      <c r="G765" s="22">
        <v>57</v>
      </c>
      <c r="H765" s="22">
        <v>3</v>
      </c>
      <c r="I765" s="22" t="s">
        <v>11</v>
      </c>
      <c r="J765" s="23"/>
    </row>
    <row r="766" spans="1:10" outlineLevel="1" collapsed="1">
      <c r="A766" s="23"/>
      <c r="B766" s="59"/>
      <c r="D766" s="51" t="s">
        <v>2204</v>
      </c>
      <c r="E766" s="22">
        <f>SUBTOTAL(3,E757:E765)</f>
        <v>9</v>
      </c>
      <c r="F766" s="22"/>
      <c r="G766" s="22"/>
      <c r="H766" s="22"/>
      <c r="I766" s="22">
        <f>SUBTOTAL(3,I757:I765)</f>
        <v>9</v>
      </c>
      <c r="J766" s="23">
        <f>E766+E756+E748+E742+E739+E725</f>
        <v>42</v>
      </c>
    </row>
    <row r="767" spans="1:10" hidden="1" outlineLevel="2">
      <c r="A767" s="23">
        <v>3</v>
      </c>
      <c r="B767" s="20" t="s">
        <v>1959</v>
      </c>
      <c r="C767" s="19" t="s">
        <v>171</v>
      </c>
      <c r="D767" s="41" t="s">
        <v>2048</v>
      </c>
      <c r="E767" s="22" t="s">
        <v>172</v>
      </c>
      <c r="F767" s="22" t="s">
        <v>173</v>
      </c>
      <c r="G767" s="22">
        <v>55</v>
      </c>
      <c r="H767" s="22">
        <v>3</v>
      </c>
      <c r="I767" s="22" t="s">
        <v>11</v>
      </c>
      <c r="J767" s="23"/>
    </row>
    <row r="768" spans="1:10" outlineLevel="1" collapsed="1">
      <c r="A768" s="23"/>
      <c r="D768" s="51" t="s">
        <v>2165</v>
      </c>
      <c r="E768" s="22">
        <f>SUBTOTAL(3,E767:E767)</f>
        <v>1</v>
      </c>
      <c r="F768" s="22"/>
      <c r="G768" s="22"/>
      <c r="H768" s="22"/>
      <c r="I768" s="22">
        <f>SUBTOTAL(3,I767:I767)</f>
        <v>1</v>
      </c>
      <c r="J768" s="23"/>
    </row>
    <row r="769" spans="1:10" hidden="1" outlineLevel="2">
      <c r="A769" s="23">
        <v>3</v>
      </c>
      <c r="B769" s="59" t="s">
        <v>1948</v>
      </c>
      <c r="C769" s="19" t="s">
        <v>968</v>
      </c>
      <c r="D769" s="41" t="str">
        <f>B769&amp;"-"&amp;C769</f>
        <v>國語文6-體育二甲</v>
      </c>
      <c r="E769" s="22" t="s">
        <v>969</v>
      </c>
      <c r="F769" s="22" t="s">
        <v>970</v>
      </c>
      <c r="G769" s="22">
        <v>48</v>
      </c>
      <c r="H769" s="22">
        <v>3</v>
      </c>
      <c r="I769" s="22" t="s">
        <v>11</v>
      </c>
      <c r="J769" s="23"/>
    </row>
    <row r="770" spans="1:10" outlineLevel="1" collapsed="1">
      <c r="A770" s="23"/>
      <c r="B770" s="59"/>
      <c r="D770" s="51" t="s">
        <v>2166</v>
      </c>
      <c r="E770" s="22">
        <f>SUBTOTAL(3,E769:E769)</f>
        <v>1</v>
      </c>
      <c r="F770" s="22"/>
      <c r="G770" s="22"/>
      <c r="H770" s="22"/>
      <c r="I770" s="22">
        <f>SUBTOTAL(3,I769:I769)</f>
        <v>1</v>
      </c>
      <c r="J770" s="23"/>
    </row>
    <row r="771" spans="1:10" hidden="1" outlineLevel="2">
      <c r="A771" s="23">
        <v>3</v>
      </c>
      <c r="B771" s="59" t="s">
        <v>2087</v>
      </c>
      <c r="C771" s="19" t="s">
        <v>174</v>
      </c>
      <c r="D771" s="41" t="s">
        <v>2028</v>
      </c>
      <c r="E771" s="22" t="s">
        <v>175</v>
      </c>
      <c r="F771" s="22" t="s">
        <v>176</v>
      </c>
      <c r="G771" s="22">
        <v>40</v>
      </c>
      <c r="H771" s="22">
        <v>3</v>
      </c>
      <c r="I771" s="22" t="s">
        <v>11</v>
      </c>
      <c r="J771" s="23"/>
    </row>
    <row r="772" spans="1:10" hidden="1" outlineLevel="2">
      <c r="A772" s="23">
        <v>3</v>
      </c>
      <c r="B772" s="59" t="s">
        <v>2087</v>
      </c>
      <c r="C772" s="19" t="s">
        <v>174</v>
      </c>
      <c r="D772" s="41" t="s">
        <v>2028</v>
      </c>
      <c r="E772" s="22" t="s">
        <v>177</v>
      </c>
      <c r="F772" s="22" t="s">
        <v>178</v>
      </c>
      <c r="G772" s="22">
        <v>45</v>
      </c>
      <c r="H772" s="22">
        <v>3</v>
      </c>
      <c r="I772" s="22" t="s">
        <v>11</v>
      </c>
      <c r="J772" s="23"/>
    </row>
    <row r="773" spans="1:10" hidden="1" outlineLevel="2">
      <c r="A773" s="23">
        <v>3</v>
      </c>
      <c r="B773" s="59" t="s">
        <v>2087</v>
      </c>
      <c r="C773" s="19" t="s">
        <v>174</v>
      </c>
      <c r="D773" s="41" t="s">
        <v>2028</v>
      </c>
      <c r="E773" s="22" t="s">
        <v>179</v>
      </c>
      <c r="F773" s="22" t="s">
        <v>180</v>
      </c>
      <c r="G773" s="22">
        <v>54</v>
      </c>
      <c r="H773" s="22">
        <v>3</v>
      </c>
      <c r="I773" s="22" t="s">
        <v>11</v>
      </c>
      <c r="J773" s="23"/>
    </row>
    <row r="774" spans="1:10" hidden="1" outlineLevel="2">
      <c r="A774" s="23">
        <v>3</v>
      </c>
      <c r="B774" s="59" t="s">
        <v>2087</v>
      </c>
      <c r="C774" s="19" t="s">
        <v>174</v>
      </c>
      <c r="D774" s="41" t="s">
        <v>2028</v>
      </c>
      <c r="E774" s="22" t="s">
        <v>181</v>
      </c>
      <c r="F774" s="22" t="s">
        <v>182</v>
      </c>
      <c r="G774" s="22">
        <v>56</v>
      </c>
      <c r="H774" s="22">
        <v>3</v>
      </c>
      <c r="I774" s="22" t="s">
        <v>11</v>
      </c>
      <c r="J774" s="23"/>
    </row>
    <row r="775" spans="1:10" hidden="1" outlineLevel="2">
      <c r="A775" s="23">
        <v>3</v>
      </c>
      <c r="B775" s="59" t="s">
        <v>2087</v>
      </c>
      <c r="C775" s="19" t="s">
        <v>174</v>
      </c>
      <c r="D775" s="41" t="s">
        <v>2028</v>
      </c>
      <c r="E775" s="22" t="s">
        <v>183</v>
      </c>
      <c r="F775" s="22" t="s">
        <v>184</v>
      </c>
      <c r="G775" s="22">
        <v>55</v>
      </c>
      <c r="H775" s="22">
        <v>3</v>
      </c>
      <c r="I775" s="22" t="s">
        <v>11</v>
      </c>
      <c r="J775" s="23"/>
    </row>
    <row r="776" spans="1:10" hidden="1" outlineLevel="2">
      <c r="A776" s="23">
        <v>3</v>
      </c>
      <c r="B776" s="59" t="s">
        <v>2087</v>
      </c>
      <c r="C776" s="19" t="s">
        <v>174</v>
      </c>
      <c r="D776" s="41" t="s">
        <v>2028</v>
      </c>
      <c r="E776" s="22" t="s">
        <v>185</v>
      </c>
      <c r="F776" s="22" t="s">
        <v>186</v>
      </c>
      <c r="G776" s="22">
        <v>50</v>
      </c>
      <c r="H776" s="22">
        <v>3</v>
      </c>
      <c r="I776" s="22" t="s">
        <v>11</v>
      </c>
      <c r="J776" s="23"/>
    </row>
    <row r="777" spans="1:10" hidden="1" outlineLevel="2">
      <c r="A777" s="23">
        <v>3</v>
      </c>
      <c r="B777" s="59" t="s">
        <v>2087</v>
      </c>
      <c r="C777" s="19" t="s">
        <v>174</v>
      </c>
      <c r="D777" s="41" t="s">
        <v>2028</v>
      </c>
      <c r="E777" s="22" t="s">
        <v>187</v>
      </c>
      <c r="F777" s="22" t="s">
        <v>188</v>
      </c>
      <c r="G777" s="22">
        <v>44</v>
      </c>
      <c r="H777" s="22">
        <v>3</v>
      </c>
      <c r="I777" s="22" t="s">
        <v>11</v>
      </c>
      <c r="J777" s="23"/>
    </row>
    <row r="778" spans="1:10" hidden="1" outlineLevel="2">
      <c r="A778" s="23">
        <v>3</v>
      </c>
      <c r="B778" s="59" t="s">
        <v>2087</v>
      </c>
      <c r="C778" s="19" t="s">
        <v>174</v>
      </c>
      <c r="D778" s="41" t="s">
        <v>2028</v>
      </c>
      <c r="E778" s="22" t="s">
        <v>189</v>
      </c>
      <c r="F778" s="22" t="s">
        <v>190</v>
      </c>
      <c r="G778" s="22">
        <v>48</v>
      </c>
      <c r="H778" s="22">
        <v>3</v>
      </c>
      <c r="I778" s="22" t="s">
        <v>11</v>
      </c>
      <c r="J778" s="23"/>
    </row>
    <row r="779" spans="1:10" hidden="1" outlineLevel="2">
      <c r="A779" s="23">
        <v>3</v>
      </c>
      <c r="B779" s="59" t="s">
        <v>2087</v>
      </c>
      <c r="C779" s="19" t="s">
        <v>174</v>
      </c>
      <c r="D779" s="41" t="s">
        <v>2028</v>
      </c>
      <c r="E779" s="22" t="s">
        <v>191</v>
      </c>
      <c r="F779" s="22" t="s">
        <v>151</v>
      </c>
      <c r="G779" s="22">
        <v>53</v>
      </c>
      <c r="H779" s="22">
        <v>3</v>
      </c>
      <c r="I779" s="22" t="s">
        <v>11</v>
      </c>
      <c r="J779" s="23"/>
    </row>
    <row r="780" spans="1:10" hidden="1" outlineLevel="2">
      <c r="A780" s="23">
        <v>3</v>
      </c>
      <c r="B780" s="59" t="s">
        <v>2087</v>
      </c>
      <c r="C780" s="19" t="s">
        <v>174</v>
      </c>
      <c r="D780" s="41" t="s">
        <v>2028</v>
      </c>
      <c r="E780" s="22" t="s">
        <v>192</v>
      </c>
      <c r="F780" s="22" t="s">
        <v>193</v>
      </c>
      <c r="G780" s="22">
        <v>50</v>
      </c>
      <c r="H780" s="22">
        <v>3</v>
      </c>
      <c r="I780" s="22" t="s">
        <v>11</v>
      </c>
      <c r="J780" s="23"/>
    </row>
    <row r="781" spans="1:10" outlineLevel="1" collapsed="1">
      <c r="A781" s="23"/>
      <c r="B781" s="59"/>
      <c r="D781" s="51" t="s">
        <v>2167</v>
      </c>
      <c r="E781" s="22">
        <f>SUBTOTAL(3,E771:E780)</f>
        <v>10</v>
      </c>
      <c r="F781" s="22"/>
      <c r="G781" s="22"/>
      <c r="H781" s="22"/>
      <c r="I781" s="22">
        <f>SUBTOTAL(3,I771:I780)</f>
        <v>10</v>
      </c>
      <c r="J781" s="23"/>
    </row>
    <row r="782" spans="1:10" hidden="1" outlineLevel="2">
      <c r="A782" s="23">
        <v>3</v>
      </c>
      <c r="B782" s="59" t="s">
        <v>2087</v>
      </c>
      <c r="C782" s="19" t="s">
        <v>279</v>
      </c>
      <c r="D782" s="41" t="s">
        <v>2029</v>
      </c>
      <c r="E782" s="22" t="s">
        <v>280</v>
      </c>
      <c r="F782" s="22" t="s">
        <v>281</v>
      </c>
      <c r="G782" s="22">
        <v>45</v>
      </c>
      <c r="H782" s="22">
        <v>3</v>
      </c>
      <c r="I782" s="22" t="s">
        <v>11</v>
      </c>
      <c r="J782" s="23"/>
    </row>
    <row r="783" spans="1:10" hidden="1" outlineLevel="2">
      <c r="A783" s="23">
        <v>3</v>
      </c>
      <c r="B783" s="59" t="s">
        <v>2087</v>
      </c>
      <c r="C783" s="19" t="s">
        <v>279</v>
      </c>
      <c r="D783" s="41" t="s">
        <v>2029</v>
      </c>
      <c r="E783" s="22" t="s">
        <v>282</v>
      </c>
      <c r="F783" s="22" t="s">
        <v>283</v>
      </c>
      <c r="G783" s="22">
        <v>50</v>
      </c>
      <c r="H783" s="22">
        <v>3</v>
      </c>
      <c r="I783" s="22" t="s">
        <v>11</v>
      </c>
      <c r="J783" s="23"/>
    </row>
    <row r="784" spans="1:10" hidden="1" outlineLevel="2">
      <c r="A784" s="23">
        <v>3</v>
      </c>
      <c r="B784" s="59" t="s">
        <v>2087</v>
      </c>
      <c r="C784" s="19" t="s">
        <v>279</v>
      </c>
      <c r="D784" s="41" t="s">
        <v>2029</v>
      </c>
      <c r="E784" s="22" t="s">
        <v>284</v>
      </c>
      <c r="F784" s="22" t="s">
        <v>285</v>
      </c>
      <c r="G784" s="22">
        <v>51</v>
      </c>
      <c r="H784" s="22">
        <v>3</v>
      </c>
      <c r="I784" s="22" t="s">
        <v>11</v>
      </c>
      <c r="J784" s="23"/>
    </row>
    <row r="785" spans="1:10" hidden="1" outlineLevel="2">
      <c r="A785" s="23">
        <v>3</v>
      </c>
      <c r="B785" s="59" t="s">
        <v>2087</v>
      </c>
      <c r="C785" s="19" t="s">
        <v>279</v>
      </c>
      <c r="D785" s="41" t="s">
        <v>2029</v>
      </c>
      <c r="E785" s="22" t="s">
        <v>286</v>
      </c>
      <c r="F785" s="22" t="s">
        <v>287</v>
      </c>
      <c r="G785" s="22">
        <v>54</v>
      </c>
      <c r="H785" s="22">
        <v>3</v>
      </c>
      <c r="I785" s="22" t="s">
        <v>11</v>
      </c>
      <c r="J785" s="23"/>
    </row>
    <row r="786" spans="1:10" hidden="1" outlineLevel="2">
      <c r="A786" s="23">
        <v>3</v>
      </c>
      <c r="B786" s="59" t="s">
        <v>2087</v>
      </c>
      <c r="C786" s="19" t="s">
        <v>279</v>
      </c>
      <c r="D786" s="41" t="s">
        <v>2029</v>
      </c>
      <c r="E786" s="22" t="s">
        <v>288</v>
      </c>
      <c r="F786" s="22" t="s">
        <v>289</v>
      </c>
      <c r="G786" s="22">
        <v>56</v>
      </c>
      <c r="H786" s="22">
        <v>3</v>
      </c>
      <c r="I786" s="22" t="s">
        <v>11</v>
      </c>
      <c r="J786" s="23"/>
    </row>
    <row r="787" spans="1:10" hidden="1" outlineLevel="2">
      <c r="A787" s="23">
        <v>3</v>
      </c>
      <c r="B787" s="59" t="s">
        <v>2087</v>
      </c>
      <c r="C787" s="19" t="s">
        <v>279</v>
      </c>
      <c r="D787" s="41" t="s">
        <v>2029</v>
      </c>
      <c r="E787" s="22" t="s">
        <v>290</v>
      </c>
      <c r="F787" s="22" t="s">
        <v>291</v>
      </c>
      <c r="G787" s="22">
        <v>58</v>
      </c>
      <c r="H787" s="22">
        <v>3</v>
      </c>
      <c r="I787" s="22" t="s">
        <v>11</v>
      </c>
      <c r="J787" s="23"/>
    </row>
    <row r="788" spans="1:10" hidden="1" outlineLevel="2">
      <c r="A788" s="23">
        <v>3</v>
      </c>
      <c r="B788" s="59" t="s">
        <v>2087</v>
      </c>
      <c r="C788" s="19" t="s">
        <v>279</v>
      </c>
      <c r="D788" s="41" t="s">
        <v>2029</v>
      </c>
      <c r="E788" s="22" t="s">
        <v>292</v>
      </c>
      <c r="F788" s="22" t="s">
        <v>293</v>
      </c>
      <c r="G788" s="22">
        <v>51</v>
      </c>
      <c r="H788" s="22">
        <v>3</v>
      </c>
      <c r="I788" s="22" t="s">
        <v>11</v>
      </c>
      <c r="J788" s="23"/>
    </row>
    <row r="789" spans="1:10" outlineLevel="1" collapsed="1">
      <c r="A789" s="23"/>
      <c r="B789" s="59"/>
      <c r="D789" s="51" t="s">
        <v>2168</v>
      </c>
      <c r="E789" s="22">
        <f>SUBTOTAL(3,E782:E788)</f>
        <v>7</v>
      </c>
      <c r="F789" s="22"/>
      <c r="G789" s="22"/>
      <c r="H789" s="22"/>
      <c r="I789" s="22">
        <f>SUBTOTAL(3,I782:I788)</f>
        <v>7</v>
      </c>
      <c r="J789" s="23"/>
    </row>
    <row r="790" spans="1:10" hidden="1" outlineLevel="2">
      <c r="A790" s="23">
        <v>3</v>
      </c>
      <c r="B790" s="59" t="s">
        <v>2087</v>
      </c>
      <c r="C790" s="19" t="s">
        <v>294</v>
      </c>
      <c r="D790" s="41" t="s">
        <v>2030</v>
      </c>
      <c r="E790" s="22" t="s">
        <v>295</v>
      </c>
      <c r="F790" s="22" t="s">
        <v>296</v>
      </c>
      <c r="G790" s="22">
        <v>55</v>
      </c>
      <c r="H790" s="22">
        <v>3</v>
      </c>
      <c r="I790" s="22" t="s">
        <v>11</v>
      </c>
      <c r="J790" s="23"/>
    </row>
    <row r="791" spans="1:10" hidden="1" outlineLevel="2">
      <c r="A791" s="23">
        <v>3</v>
      </c>
      <c r="B791" s="59" t="s">
        <v>2087</v>
      </c>
      <c r="C791" s="19" t="s">
        <v>294</v>
      </c>
      <c r="D791" s="41" t="s">
        <v>2030</v>
      </c>
      <c r="E791" s="22" t="s">
        <v>297</v>
      </c>
      <c r="F791" s="22" t="s">
        <v>298</v>
      </c>
      <c r="G791" s="22">
        <v>57</v>
      </c>
      <c r="H791" s="22">
        <v>3</v>
      </c>
      <c r="I791" s="22" t="s">
        <v>11</v>
      </c>
      <c r="J791" s="23"/>
    </row>
    <row r="792" spans="1:10" hidden="1" outlineLevel="2">
      <c r="A792" s="23">
        <v>3</v>
      </c>
      <c r="B792" s="59" t="s">
        <v>2087</v>
      </c>
      <c r="C792" s="19" t="s">
        <v>294</v>
      </c>
      <c r="D792" s="41" t="s">
        <v>2030</v>
      </c>
      <c r="E792" s="22" t="s">
        <v>299</v>
      </c>
      <c r="F792" s="22" t="s">
        <v>300</v>
      </c>
      <c r="G792" s="22">
        <v>51</v>
      </c>
      <c r="H792" s="22">
        <v>3</v>
      </c>
      <c r="I792" s="22" t="s">
        <v>11</v>
      </c>
      <c r="J792" s="23"/>
    </row>
    <row r="793" spans="1:10" outlineLevel="1" collapsed="1">
      <c r="A793" s="23"/>
      <c r="B793" s="59"/>
      <c r="D793" s="51" t="s">
        <v>2171</v>
      </c>
      <c r="E793" s="22">
        <f>SUBTOTAL(3,E790:E792)</f>
        <v>3</v>
      </c>
      <c r="F793" s="22"/>
      <c r="G793" s="22"/>
      <c r="H793" s="22"/>
      <c r="I793" s="22">
        <f>SUBTOTAL(3,I790:I792)</f>
        <v>3</v>
      </c>
      <c r="J793" s="23"/>
    </row>
    <row r="794" spans="1:10" hidden="1" outlineLevel="2">
      <c r="A794" s="23">
        <v>3</v>
      </c>
      <c r="B794" s="59" t="s">
        <v>2087</v>
      </c>
      <c r="C794" s="19" t="s">
        <v>65</v>
      </c>
      <c r="D794" s="41" t="s">
        <v>2031</v>
      </c>
      <c r="E794" s="22" t="s">
        <v>66</v>
      </c>
      <c r="F794" s="22" t="s">
        <v>67</v>
      </c>
      <c r="G794" s="22">
        <v>47</v>
      </c>
      <c r="H794" s="22">
        <v>3</v>
      </c>
      <c r="I794" s="22" t="s">
        <v>11</v>
      </c>
      <c r="J794" s="23"/>
    </row>
    <row r="795" spans="1:10" hidden="1" outlineLevel="2">
      <c r="A795" s="23">
        <v>3</v>
      </c>
      <c r="B795" s="59" t="s">
        <v>2087</v>
      </c>
      <c r="C795" s="19" t="s">
        <v>65</v>
      </c>
      <c r="D795" s="41" t="s">
        <v>2031</v>
      </c>
      <c r="E795" s="22" t="s">
        <v>68</v>
      </c>
      <c r="F795" s="22" t="s">
        <v>69</v>
      </c>
      <c r="G795" s="22">
        <v>41</v>
      </c>
      <c r="H795" s="22">
        <v>3</v>
      </c>
      <c r="I795" s="22" t="s">
        <v>11</v>
      </c>
      <c r="J795" s="23"/>
    </row>
    <row r="796" spans="1:10" hidden="1" outlineLevel="2">
      <c r="A796" s="23">
        <v>3</v>
      </c>
      <c r="B796" s="59" t="s">
        <v>2087</v>
      </c>
      <c r="C796" s="19" t="s">
        <v>65</v>
      </c>
      <c r="D796" s="41" t="s">
        <v>2031</v>
      </c>
      <c r="E796" s="22" t="s">
        <v>70</v>
      </c>
      <c r="F796" s="22" t="s">
        <v>71</v>
      </c>
      <c r="G796" s="22">
        <v>54</v>
      </c>
      <c r="H796" s="22">
        <v>3</v>
      </c>
      <c r="I796" s="22" t="s">
        <v>11</v>
      </c>
      <c r="J796" s="23"/>
    </row>
    <row r="797" spans="1:10" hidden="1" outlineLevel="2">
      <c r="A797" s="23">
        <v>3</v>
      </c>
      <c r="B797" s="59" t="s">
        <v>2087</v>
      </c>
      <c r="C797" s="19" t="s">
        <v>65</v>
      </c>
      <c r="D797" s="41" t="s">
        <v>2031</v>
      </c>
      <c r="E797" s="22" t="s">
        <v>72</v>
      </c>
      <c r="F797" s="22" t="s">
        <v>73</v>
      </c>
      <c r="G797" s="22">
        <v>50</v>
      </c>
      <c r="H797" s="22">
        <v>3</v>
      </c>
      <c r="I797" s="22" t="s">
        <v>11</v>
      </c>
      <c r="J797" s="23"/>
    </row>
    <row r="798" spans="1:10" hidden="1" outlineLevel="2">
      <c r="A798" s="23">
        <v>3</v>
      </c>
      <c r="B798" s="59" t="s">
        <v>2087</v>
      </c>
      <c r="C798" s="19" t="s">
        <v>65</v>
      </c>
      <c r="D798" s="41" t="s">
        <v>2031</v>
      </c>
      <c r="E798" s="22" t="s">
        <v>74</v>
      </c>
      <c r="F798" s="22" t="s">
        <v>75</v>
      </c>
      <c r="G798" s="22">
        <v>54</v>
      </c>
      <c r="H798" s="22">
        <v>3</v>
      </c>
      <c r="I798" s="22" t="s">
        <v>11</v>
      </c>
      <c r="J798" s="23"/>
    </row>
    <row r="799" spans="1:10" hidden="1" outlineLevel="2">
      <c r="A799" s="23">
        <v>3</v>
      </c>
      <c r="B799" s="59" t="s">
        <v>2087</v>
      </c>
      <c r="C799" s="19" t="s">
        <v>65</v>
      </c>
      <c r="D799" s="41" t="s">
        <v>2031</v>
      </c>
      <c r="E799" s="22" t="s">
        <v>76</v>
      </c>
      <c r="F799" s="22" t="s">
        <v>77</v>
      </c>
      <c r="G799" s="22">
        <v>41</v>
      </c>
      <c r="H799" s="22">
        <v>3</v>
      </c>
      <c r="I799" s="22" t="s">
        <v>11</v>
      </c>
      <c r="J799" s="23"/>
    </row>
    <row r="800" spans="1:10" hidden="1" outlineLevel="2">
      <c r="A800" s="23">
        <v>3</v>
      </c>
      <c r="B800" s="59" t="s">
        <v>2087</v>
      </c>
      <c r="C800" s="19" t="s">
        <v>65</v>
      </c>
      <c r="D800" s="41" t="s">
        <v>2031</v>
      </c>
      <c r="E800" s="22" t="s">
        <v>78</v>
      </c>
      <c r="F800" s="22" t="s">
        <v>79</v>
      </c>
      <c r="G800" s="22">
        <v>43</v>
      </c>
      <c r="H800" s="22">
        <v>3</v>
      </c>
      <c r="I800" s="22" t="s">
        <v>11</v>
      </c>
      <c r="J800" s="23"/>
    </row>
    <row r="801" spans="1:10" hidden="1" outlineLevel="2">
      <c r="A801" s="23">
        <v>3</v>
      </c>
      <c r="B801" s="59" t="s">
        <v>2087</v>
      </c>
      <c r="C801" s="19" t="s">
        <v>65</v>
      </c>
      <c r="D801" s="41" t="s">
        <v>2031</v>
      </c>
      <c r="E801" s="22" t="s">
        <v>80</v>
      </c>
      <c r="F801" s="22" t="s">
        <v>81</v>
      </c>
      <c r="G801" s="22">
        <v>48</v>
      </c>
      <c r="H801" s="22">
        <v>3</v>
      </c>
      <c r="I801" s="22" t="s">
        <v>11</v>
      </c>
      <c r="J801" s="23"/>
    </row>
    <row r="802" spans="1:10" hidden="1" outlineLevel="2">
      <c r="A802" s="23">
        <v>3</v>
      </c>
      <c r="B802" s="59" t="s">
        <v>2087</v>
      </c>
      <c r="C802" s="19" t="s">
        <v>65</v>
      </c>
      <c r="D802" s="41" t="s">
        <v>2031</v>
      </c>
      <c r="E802" s="22" t="s">
        <v>82</v>
      </c>
      <c r="F802" s="22" t="s">
        <v>83</v>
      </c>
      <c r="G802" s="22">
        <v>31</v>
      </c>
      <c r="H802" s="22">
        <v>3</v>
      </c>
      <c r="I802" s="22" t="s">
        <v>11</v>
      </c>
      <c r="J802" s="23"/>
    </row>
    <row r="803" spans="1:10" outlineLevel="1" collapsed="1">
      <c r="A803" s="23"/>
      <c r="B803" s="59"/>
      <c r="D803" s="51" t="s">
        <v>2172</v>
      </c>
      <c r="E803" s="22">
        <f>SUBTOTAL(3,E794:E802)</f>
        <v>9</v>
      </c>
      <c r="F803" s="22"/>
      <c r="G803" s="22"/>
      <c r="H803" s="22"/>
      <c r="I803" s="22">
        <f>SUBTOTAL(3,I794:I802)</f>
        <v>9</v>
      </c>
      <c r="J803" s="23"/>
    </row>
    <row r="804" spans="1:10" hidden="1" outlineLevel="2">
      <c r="A804" s="23">
        <v>3</v>
      </c>
      <c r="B804" s="59" t="s">
        <v>2087</v>
      </c>
      <c r="C804" s="19" t="s">
        <v>335</v>
      </c>
      <c r="D804" s="41" t="s">
        <v>2032</v>
      </c>
      <c r="E804" s="22" t="s">
        <v>336</v>
      </c>
      <c r="F804" s="22" t="s">
        <v>337</v>
      </c>
      <c r="G804" s="22">
        <v>56</v>
      </c>
      <c r="H804" s="22">
        <v>3</v>
      </c>
      <c r="I804" s="22" t="s">
        <v>11</v>
      </c>
      <c r="J804" s="23"/>
    </row>
    <row r="805" spans="1:10" outlineLevel="1" collapsed="1">
      <c r="A805" s="23"/>
      <c r="B805" s="59"/>
      <c r="D805" s="51" t="s">
        <v>2174</v>
      </c>
      <c r="E805" s="22">
        <f>SUBTOTAL(3,E804:E804)</f>
        <v>1</v>
      </c>
      <c r="F805" s="22"/>
      <c r="G805" s="22"/>
      <c r="H805" s="22"/>
      <c r="I805" s="22">
        <f>SUBTOTAL(3,I804:I804)</f>
        <v>1</v>
      </c>
      <c r="J805" s="23"/>
    </row>
    <row r="806" spans="1:10" hidden="1" outlineLevel="2">
      <c r="A806" s="23">
        <v>3</v>
      </c>
      <c r="B806" s="59" t="s">
        <v>2087</v>
      </c>
      <c r="C806" s="19" t="s">
        <v>234</v>
      </c>
      <c r="D806" s="41" t="s">
        <v>2033</v>
      </c>
      <c r="E806" s="22" t="s">
        <v>235</v>
      </c>
      <c r="F806" s="22" t="s">
        <v>236</v>
      </c>
      <c r="G806" s="22">
        <v>55</v>
      </c>
      <c r="H806" s="22">
        <v>3</v>
      </c>
      <c r="I806" s="22" t="s">
        <v>11</v>
      </c>
      <c r="J806" s="23"/>
    </row>
    <row r="807" spans="1:10" hidden="1" outlineLevel="2">
      <c r="A807" s="23">
        <v>3</v>
      </c>
      <c r="B807" s="59" t="s">
        <v>2087</v>
      </c>
      <c r="C807" s="19" t="s">
        <v>234</v>
      </c>
      <c r="D807" s="41" t="s">
        <v>2033</v>
      </c>
      <c r="E807" s="22" t="s">
        <v>237</v>
      </c>
      <c r="F807" s="22" t="s">
        <v>238</v>
      </c>
      <c r="G807" s="22">
        <v>50</v>
      </c>
      <c r="H807" s="22">
        <v>3</v>
      </c>
      <c r="I807" s="22" t="s">
        <v>11</v>
      </c>
      <c r="J807" s="23"/>
    </row>
    <row r="808" spans="1:10" outlineLevel="1" collapsed="1">
      <c r="A808" s="23"/>
      <c r="B808" s="59"/>
      <c r="D808" s="51" t="s">
        <v>2175</v>
      </c>
      <c r="E808" s="22">
        <f>SUBTOTAL(3,E806:E807)</f>
        <v>2</v>
      </c>
      <c r="F808" s="22"/>
      <c r="G808" s="22"/>
      <c r="H808" s="22"/>
      <c r="I808" s="22">
        <f>SUBTOTAL(3,I806:I807)</f>
        <v>2</v>
      </c>
      <c r="J808" s="23"/>
    </row>
    <row r="809" spans="1:10" hidden="1" outlineLevel="2">
      <c r="A809" s="23">
        <v>3</v>
      </c>
      <c r="B809" s="59" t="s">
        <v>2087</v>
      </c>
      <c r="C809" s="19" t="s">
        <v>158</v>
      </c>
      <c r="D809" s="41" t="s">
        <v>2034</v>
      </c>
      <c r="E809" s="22" t="s">
        <v>159</v>
      </c>
      <c r="F809" s="22" t="s">
        <v>160</v>
      </c>
      <c r="G809" s="22">
        <v>55</v>
      </c>
      <c r="H809" s="22">
        <v>3</v>
      </c>
      <c r="I809" s="22" t="s">
        <v>11</v>
      </c>
      <c r="J809" s="23"/>
    </row>
    <row r="810" spans="1:10" hidden="1" outlineLevel="2">
      <c r="A810" s="23">
        <v>3</v>
      </c>
      <c r="B810" s="59" t="s">
        <v>2087</v>
      </c>
      <c r="C810" s="19" t="s">
        <v>158</v>
      </c>
      <c r="D810" s="41" t="s">
        <v>2034</v>
      </c>
      <c r="E810" s="22" t="s">
        <v>161</v>
      </c>
      <c r="F810" s="22" t="s">
        <v>162</v>
      </c>
      <c r="G810" s="22">
        <v>40</v>
      </c>
      <c r="H810" s="22">
        <v>3</v>
      </c>
      <c r="I810" s="22" t="s">
        <v>11</v>
      </c>
      <c r="J810" s="23"/>
    </row>
    <row r="811" spans="1:10" hidden="1" outlineLevel="2">
      <c r="A811" s="23">
        <v>3</v>
      </c>
      <c r="B811" s="59" t="s">
        <v>2087</v>
      </c>
      <c r="C811" s="19" t="s">
        <v>158</v>
      </c>
      <c r="D811" s="41" t="s">
        <v>2034</v>
      </c>
      <c r="E811" s="22" t="s">
        <v>163</v>
      </c>
      <c r="F811" s="22" t="s">
        <v>164</v>
      </c>
      <c r="G811" s="22">
        <v>50</v>
      </c>
      <c r="H811" s="22">
        <v>3</v>
      </c>
      <c r="I811" s="22" t="s">
        <v>11</v>
      </c>
      <c r="J811" s="23"/>
    </row>
    <row r="812" spans="1:10" hidden="1" outlineLevel="2">
      <c r="A812" s="23">
        <v>3</v>
      </c>
      <c r="B812" s="59" t="s">
        <v>2087</v>
      </c>
      <c r="C812" s="19" t="s">
        <v>158</v>
      </c>
      <c r="D812" s="41" t="s">
        <v>2034</v>
      </c>
      <c r="E812" s="22" t="s">
        <v>165</v>
      </c>
      <c r="F812" s="22" t="s">
        <v>166</v>
      </c>
      <c r="G812" s="22">
        <v>57</v>
      </c>
      <c r="H812" s="22">
        <v>3</v>
      </c>
      <c r="I812" s="22" t="s">
        <v>11</v>
      </c>
      <c r="J812" s="23"/>
    </row>
    <row r="813" spans="1:10" hidden="1" outlineLevel="2">
      <c r="A813" s="23">
        <v>3</v>
      </c>
      <c r="B813" s="59" t="s">
        <v>2087</v>
      </c>
      <c r="C813" s="19" t="s">
        <v>158</v>
      </c>
      <c r="D813" s="41" t="s">
        <v>2034</v>
      </c>
      <c r="E813" s="22" t="s">
        <v>167</v>
      </c>
      <c r="F813" s="22" t="s">
        <v>168</v>
      </c>
      <c r="G813" s="22">
        <v>50</v>
      </c>
      <c r="H813" s="22">
        <v>3</v>
      </c>
      <c r="I813" s="22" t="s">
        <v>11</v>
      </c>
      <c r="J813" s="23"/>
    </row>
    <row r="814" spans="1:10" hidden="1" outlineLevel="2">
      <c r="A814" s="23">
        <v>3</v>
      </c>
      <c r="B814" s="59" t="s">
        <v>2087</v>
      </c>
      <c r="C814" s="19" t="s">
        <v>158</v>
      </c>
      <c r="D814" s="41" t="s">
        <v>2034</v>
      </c>
      <c r="E814" s="22" t="s">
        <v>169</v>
      </c>
      <c r="F814" s="22" t="s">
        <v>170</v>
      </c>
      <c r="G814" s="22">
        <v>43</v>
      </c>
      <c r="H814" s="22">
        <v>3</v>
      </c>
      <c r="I814" s="22" t="s">
        <v>11</v>
      </c>
      <c r="J814" s="23"/>
    </row>
    <row r="815" spans="1:10" outlineLevel="1" collapsed="1">
      <c r="A815" s="23"/>
      <c r="B815" s="59"/>
      <c r="D815" s="51" t="s">
        <v>2177</v>
      </c>
      <c r="E815" s="22">
        <f>SUBTOTAL(3,E809:E814)</f>
        <v>6</v>
      </c>
      <c r="F815" s="22"/>
      <c r="G815" s="22"/>
      <c r="H815" s="22"/>
      <c r="I815" s="22">
        <f>SUBTOTAL(3,I809:I814)</f>
        <v>6</v>
      </c>
      <c r="J815" s="23">
        <f>E815+E808+E805+E803+E793+E789+E781+E770+E768</f>
        <v>40</v>
      </c>
    </row>
    <row r="816" spans="1:10" hidden="1" outlineLevel="2">
      <c r="A816" s="23">
        <v>3</v>
      </c>
      <c r="B816" s="59" t="s">
        <v>2087</v>
      </c>
      <c r="C816" s="19" t="s">
        <v>97</v>
      </c>
      <c r="D816" s="41" t="s">
        <v>2035</v>
      </c>
      <c r="E816" s="22" t="s">
        <v>98</v>
      </c>
      <c r="F816" s="22" t="s">
        <v>99</v>
      </c>
      <c r="G816" s="22">
        <v>40</v>
      </c>
      <c r="H816" s="22">
        <v>3</v>
      </c>
      <c r="I816" s="22" t="s">
        <v>11</v>
      </c>
      <c r="J816" s="23"/>
    </row>
    <row r="817" spans="1:10" hidden="1" outlineLevel="2">
      <c r="A817" s="23">
        <v>3</v>
      </c>
      <c r="B817" s="59" t="s">
        <v>2087</v>
      </c>
      <c r="C817" s="19" t="s">
        <v>97</v>
      </c>
      <c r="D817" s="41" t="s">
        <v>2035</v>
      </c>
      <c r="E817" s="22" t="s">
        <v>100</v>
      </c>
      <c r="F817" s="22" t="s">
        <v>101</v>
      </c>
      <c r="G817" s="22">
        <v>51</v>
      </c>
      <c r="H817" s="22">
        <v>3</v>
      </c>
      <c r="I817" s="22" t="s">
        <v>11</v>
      </c>
      <c r="J817" s="23"/>
    </row>
    <row r="818" spans="1:10" hidden="1" outlineLevel="2">
      <c r="A818" s="23">
        <v>3</v>
      </c>
      <c r="B818" s="59" t="s">
        <v>2087</v>
      </c>
      <c r="C818" s="19" t="s">
        <v>97</v>
      </c>
      <c r="D818" s="41" t="s">
        <v>2035</v>
      </c>
      <c r="E818" s="22" t="s">
        <v>102</v>
      </c>
      <c r="F818" s="22" t="s">
        <v>103</v>
      </c>
      <c r="G818" s="22">
        <v>53</v>
      </c>
      <c r="H818" s="22">
        <v>3</v>
      </c>
      <c r="I818" s="22" t="s">
        <v>11</v>
      </c>
      <c r="J818" s="23"/>
    </row>
    <row r="819" spans="1:10" hidden="1" outlineLevel="2">
      <c r="A819" s="23">
        <v>3</v>
      </c>
      <c r="B819" s="59" t="s">
        <v>2087</v>
      </c>
      <c r="C819" s="19" t="s">
        <v>97</v>
      </c>
      <c r="D819" s="41" t="s">
        <v>2035</v>
      </c>
      <c r="E819" s="22" t="s">
        <v>104</v>
      </c>
      <c r="F819" s="22" t="s">
        <v>105</v>
      </c>
      <c r="G819" s="22">
        <v>45</v>
      </c>
      <c r="H819" s="22">
        <v>3</v>
      </c>
      <c r="I819" s="22" t="s">
        <v>11</v>
      </c>
      <c r="J819" s="23"/>
    </row>
    <row r="820" spans="1:10" hidden="1" outlineLevel="2">
      <c r="A820" s="23">
        <v>3</v>
      </c>
      <c r="B820" s="59" t="s">
        <v>2087</v>
      </c>
      <c r="C820" s="19" t="s">
        <v>97</v>
      </c>
      <c r="D820" s="41" t="s">
        <v>2035</v>
      </c>
      <c r="E820" s="22" t="s">
        <v>106</v>
      </c>
      <c r="F820" s="22" t="s">
        <v>107</v>
      </c>
      <c r="G820" s="22">
        <v>51</v>
      </c>
      <c r="H820" s="22">
        <v>3</v>
      </c>
      <c r="I820" s="22" t="s">
        <v>11</v>
      </c>
      <c r="J820" s="23"/>
    </row>
    <row r="821" spans="1:10" hidden="1" outlineLevel="2">
      <c r="A821" s="23">
        <v>3</v>
      </c>
      <c r="B821" s="59" t="s">
        <v>2087</v>
      </c>
      <c r="C821" s="19" t="s">
        <v>97</v>
      </c>
      <c r="D821" s="41" t="s">
        <v>2035</v>
      </c>
      <c r="E821" s="22" t="s">
        <v>108</v>
      </c>
      <c r="F821" s="22" t="s">
        <v>109</v>
      </c>
      <c r="G821" s="22">
        <v>40</v>
      </c>
      <c r="H821" s="22">
        <v>3</v>
      </c>
      <c r="I821" s="22" t="s">
        <v>11</v>
      </c>
      <c r="J821" s="23"/>
    </row>
    <row r="822" spans="1:10" hidden="1" outlineLevel="2">
      <c r="A822" s="23">
        <v>3</v>
      </c>
      <c r="B822" s="59" t="s">
        <v>2087</v>
      </c>
      <c r="C822" s="19" t="s">
        <v>97</v>
      </c>
      <c r="D822" s="41" t="s">
        <v>2035</v>
      </c>
      <c r="E822" s="22" t="s">
        <v>110</v>
      </c>
      <c r="F822" s="22" t="s">
        <v>111</v>
      </c>
      <c r="G822" s="22">
        <v>30</v>
      </c>
      <c r="H822" s="22">
        <v>3</v>
      </c>
      <c r="I822" s="22" t="s">
        <v>11</v>
      </c>
      <c r="J822" s="23"/>
    </row>
    <row r="823" spans="1:10" hidden="1" outlineLevel="2">
      <c r="A823" s="23">
        <v>3</v>
      </c>
      <c r="B823" s="59" t="s">
        <v>2087</v>
      </c>
      <c r="C823" s="19" t="s">
        <v>97</v>
      </c>
      <c r="D823" s="41" t="s">
        <v>2035</v>
      </c>
      <c r="E823" s="22" t="s">
        <v>112</v>
      </c>
      <c r="F823" s="22" t="s">
        <v>113</v>
      </c>
      <c r="G823" s="22">
        <v>40</v>
      </c>
      <c r="H823" s="22">
        <v>3</v>
      </c>
      <c r="I823" s="22" t="s">
        <v>11</v>
      </c>
      <c r="J823" s="23"/>
    </row>
    <row r="824" spans="1:10" hidden="1" outlineLevel="2">
      <c r="A824" s="23">
        <v>3</v>
      </c>
      <c r="B824" s="59" t="s">
        <v>2087</v>
      </c>
      <c r="C824" s="19" t="s">
        <v>97</v>
      </c>
      <c r="D824" s="41" t="s">
        <v>2035</v>
      </c>
      <c r="E824" s="22" t="s">
        <v>114</v>
      </c>
      <c r="F824" s="22" t="s">
        <v>115</v>
      </c>
      <c r="G824" s="22">
        <v>50</v>
      </c>
      <c r="H824" s="22">
        <v>3</v>
      </c>
      <c r="I824" s="22" t="s">
        <v>11</v>
      </c>
      <c r="J824" s="23"/>
    </row>
    <row r="825" spans="1:10" hidden="1" outlineLevel="2">
      <c r="A825" s="23">
        <v>3</v>
      </c>
      <c r="B825" s="59" t="s">
        <v>2087</v>
      </c>
      <c r="C825" s="19" t="s">
        <v>97</v>
      </c>
      <c r="D825" s="41" t="s">
        <v>2035</v>
      </c>
      <c r="E825" s="22" t="s">
        <v>116</v>
      </c>
      <c r="F825" s="22" t="s">
        <v>117</v>
      </c>
      <c r="G825" s="22">
        <v>52</v>
      </c>
      <c r="H825" s="22">
        <v>3</v>
      </c>
      <c r="I825" s="22" t="s">
        <v>11</v>
      </c>
      <c r="J825" s="23"/>
    </row>
    <row r="826" spans="1:10" hidden="1" outlineLevel="2">
      <c r="A826" s="23">
        <v>3</v>
      </c>
      <c r="B826" s="59" t="s">
        <v>2087</v>
      </c>
      <c r="C826" s="19" t="s">
        <v>97</v>
      </c>
      <c r="D826" s="41" t="s">
        <v>2035</v>
      </c>
      <c r="E826" s="22" t="s">
        <v>118</v>
      </c>
      <c r="F826" s="22" t="s">
        <v>119</v>
      </c>
      <c r="G826" s="22">
        <v>41</v>
      </c>
      <c r="H826" s="22">
        <v>3</v>
      </c>
      <c r="I826" s="22" t="s">
        <v>11</v>
      </c>
      <c r="J826" s="23"/>
    </row>
    <row r="827" spans="1:10" hidden="1" outlineLevel="2">
      <c r="A827" s="23">
        <v>3</v>
      </c>
      <c r="B827" s="59" t="s">
        <v>2087</v>
      </c>
      <c r="C827" s="19" t="s">
        <v>97</v>
      </c>
      <c r="D827" s="41" t="s">
        <v>2035</v>
      </c>
      <c r="E827" s="22" t="s">
        <v>120</v>
      </c>
      <c r="F827" s="22" t="s">
        <v>121</v>
      </c>
      <c r="G827" s="22">
        <v>56</v>
      </c>
      <c r="H827" s="22">
        <v>3</v>
      </c>
      <c r="I827" s="22" t="s">
        <v>11</v>
      </c>
      <c r="J827" s="23"/>
    </row>
    <row r="828" spans="1:10" outlineLevel="1" collapsed="1">
      <c r="A828" s="23"/>
      <c r="B828" s="59"/>
      <c r="D828" s="51" t="s">
        <v>2178</v>
      </c>
      <c r="E828" s="22">
        <f>SUBTOTAL(3,E816:E827)</f>
        <v>12</v>
      </c>
      <c r="F828" s="22"/>
      <c r="G828" s="22"/>
      <c r="H828" s="22"/>
      <c r="I828" s="22">
        <f>SUBTOTAL(3,I816:I827)</f>
        <v>12</v>
      </c>
      <c r="J828" s="23"/>
    </row>
    <row r="829" spans="1:10" hidden="1" outlineLevel="2">
      <c r="A829" s="23">
        <v>3</v>
      </c>
      <c r="B829" s="59" t="s">
        <v>2087</v>
      </c>
      <c r="C829" s="19" t="s">
        <v>44</v>
      </c>
      <c r="D829" s="41" t="s">
        <v>2036</v>
      </c>
      <c r="E829" s="22" t="s">
        <v>45</v>
      </c>
      <c r="F829" s="22" t="s">
        <v>46</v>
      </c>
      <c r="G829" s="22">
        <v>49</v>
      </c>
      <c r="H829" s="22">
        <v>3</v>
      </c>
      <c r="I829" s="22" t="s">
        <v>11</v>
      </c>
      <c r="J829" s="23"/>
    </row>
    <row r="830" spans="1:10" hidden="1" outlineLevel="2">
      <c r="A830" s="23">
        <v>3</v>
      </c>
      <c r="B830" s="59" t="s">
        <v>2087</v>
      </c>
      <c r="C830" s="19" t="s">
        <v>44</v>
      </c>
      <c r="D830" s="41" t="s">
        <v>2036</v>
      </c>
      <c r="E830" s="22" t="s">
        <v>47</v>
      </c>
      <c r="F830" s="22" t="s">
        <v>48</v>
      </c>
      <c r="G830" s="22">
        <v>54</v>
      </c>
      <c r="H830" s="22">
        <v>3</v>
      </c>
      <c r="I830" s="22" t="s">
        <v>11</v>
      </c>
      <c r="J830" s="23"/>
    </row>
    <row r="831" spans="1:10" hidden="1" outlineLevel="2">
      <c r="A831" s="23">
        <v>3</v>
      </c>
      <c r="B831" s="59" t="s">
        <v>2087</v>
      </c>
      <c r="C831" s="19" t="s">
        <v>44</v>
      </c>
      <c r="D831" s="41" t="s">
        <v>2036</v>
      </c>
      <c r="E831" s="22" t="s">
        <v>49</v>
      </c>
      <c r="F831" s="22" t="s">
        <v>50</v>
      </c>
      <c r="G831" s="22">
        <v>52</v>
      </c>
      <c r="H831" s="22">
        <v>3</v>
      </c>
      <c r="I831" s="22" t="s">
        <v>11</v>
      </c>
      <c r="J831" s="23"/>
    </row>
    <row r="832" spans="1:10" hidden="1" outlineLevel="2">
      <c r="A832" s="23">
        <v>3</v>
      </c>
      <c r="B832" s="59" t="s">
        <v>2087</v>
      </c>
      <c r="C832" s="19" t="s">
        <v>44</v>
      </c>
      <c r="D832" s="41" t="s">
        <v>2036</v>
      </c>
      <c r="E832" s="22" t="s">
        <v>51</v>
      </c>
      <c r="F832" s="22" t="s">
        <v>52</v>
      </c>
      <c r="G832" s="22">
        <v>46</v>
      </c>
      <c r="H832" s="22">
        <v>3</v>
      </c>
      <c r="I832" s="22" t="s">
        <v>11</v>
      </c>
      <c r="J832" s="23"/>
    </row>
    <row r="833" spans="1:10" hidden="1" outlineLevel="2">
      <c r="A833" s="23">
        <v>3</v>
      </c>
      <c r="B833" s="59" t="s">
        <v>2087</v>
      </c>
      <c r="C833" s="19" t="s">
        <v>44</v>
      </c>
      <c r="D833" s="41" t="s">
        <v>2036</v>
      </c>
      <c r="E833" s="22" t="s">
        <v>53</v>
      </c>
      <c r="F833" s="22" t="s">
        <v>54</v>
      </c>
      <c r="G833" s="22">
        <v>51</v>
      </c>
      <c r="H833" s="22">
        <v>3</v>
      </c>
      <c r="I833" s="22" t="s">
        <v>11</v>
      </c>
      <c r="J833" s="23"/>
    </row>
    <row r="834" spans="1:10" hidden="1" outlineLevel="2">
      <c r="A834" s="23">
        <v>3</v>
      </c>
      <c r="B834" s="59" t="s">
        <v>2087</v>
      </c>
      <c r="C834" s="19" t="s">
        <v>44</v>
      </c>
      <c r="D834" s="41" t="s">
        <v>2036</v>
      </c>
      <c r="E834" s="22" t="s">
        <v>55</v>
      </c>
      <c r="F834" s="22" t="s">
        <v>56</v>
      </c>
      <c r="G834" s="22">
        <v>47</v>
      </c>
      <c r="H834" s="22">
        <v>3</v>
      </c>
      <c r="I834" s="22" t="s">
        <v>11</v>
      </c>
      <c r="J834" s="23"/>
    </row>
    <row r="835" spans="1:10" hidden="1" outlineLevel="2">
      <c r="A835" s="23">
        <v>3</v>
      </c>
      <c r="B835" s="59" t="s">
        <v>2087</v>
      </c>
      <c r="C835" s="19" t="s">
        <v>44</v>
      </c>
      <c r="D835" s="41" t="s">
        <v>2036</v>
      </c>
      <c r="E835" s="22" t="s">
        <v>57</v>
      </c>
      <c r="F835" s="22" t="s">
        <v>58</v>
      </c>
      <c r="G835" s="22">
        <v>56</v>
      </c>
      <c r="H835" s="22">
        <v>3</v>
      </c>
      <c r="I835" s="22" t="s">
        <v>11</v>
      </c>
      <c r="J835" s="23"/>
    </row>
    <row r="836" spans="1:10" hidden="1" outlineLevel="2">
      <c r="A836" s="23">
        <v>3</v>
      </c>
      <c r="B836" s="59" t="s">
        <v>2087</v>
      </c>
      <c r="C836" s="19" t="s">
        <v>44</v>
      </c>
      <c r="D836" s="41" t="s">
        <v>2036</v>
      </c>
      <c r="E836" s="22" t="s">
        <v>59</v>
      </c>
      <c r="F836" s="22" t="s">
        <v>60</v>
      </c>
      <c r="G836" s="22">
        <v>53</v>
      </c>
      <c r="H836" s="22">
        <v>3</v>
      </c>
      <c r="I836" s="22" t="s">
        <v>11</v>
      </c>
      <c r="J836" s="23"/>
    </row>
    <row r="837" spans="1:10" hidden="1" outlineLevel="2">
      <c r="A837" s="23">
        <v>3</v>
      </c>
      <c r="B837" s="59" t="s">
        <v>2087</v>
      </c>
      <c r="C837" s="19" t="s">
        <v>44</v>
      </c>
      <c r="D837" s="41" t="s">
        <v>2036</v>
      </c>
      <c r="E837" s="22" t="s">
        <v>61</v>
      </c>
      <c r="F837" s="22" t="s">
        <v>62</v>
      </c>
      <c r="G837" s="22">
        <v>53</v>
      </c>
      <c r="H837" s="22">
        <v>3</v>
      </c>
      <c r="I837" s="22" t="s">
        <v>11</v>
      </c>
      <c r="J837" s="23"/>
    </row>
    <row r="838" spans="1:10" hidden="1" outlineLevel="2">
      <c r="A838" s="23">
        <v>3</v>
      </c>
      <c r="B838" s="59" t="s">
        <v>2087</v>
      </c>
      <c r="C838" s="19" t="s">
        <v>44</v>
      </c>
      <c r="D838" s="41" t="s">
        <v>2036</v>
      </c>
      <c r="E838" s="22" t="s">
        <v>63</v>
      </c>
      <c r="F838" s="22" t="s">
        <v>64</v>
      </c>
      <c r="G838" s="22">
        <v>56</v>
      </c>
      <c r="H838" s="22">
        <v>3</v>
      </c>
      <c r="I838" s="22" t="s">
        <v>11</v>
      </c>
      <c r="J838" s="23"/>
    </row>
    <row r="839" spans="1:10" outlineLevel="1" collapsed="1">
      <c r="A839" s="23"/>
      <c r="B839" s="59"/>
      <c r="D839" s="51" t="s">
        <v>2179</v>
      </c>
      <c r="E839" s="22">
        <f>SUBTOTAL(3,E829:E838)</f>
        <v>10</v>
      </c>
      <c r="F839" s="22"/>
      <c r="G839" s="22"/>
      <c r="H839" s="22"/>
      <c r="I839" s="22">
        <f>SUBTOTAL(3,I829:I838)</f>
        <v>10</v>
      </c>
      <c r="J839" s="23"/>
    </row>
    <row r="840" spans="1:10" hidden="1" outlineLevel="2">
      <c r="A840" s="23">
        <v>3</v>
      </c>
      <c r="B840" s="59" t="s">
        <v>2087</v>
      </c>
      <c r="C840" s="19" t="s">
        <v>217</v>
      </c>
      <c r="D840" s="41" t="s">
        <v>2037</v>
      </c>
      <c r="E840" s="22" t="s">
        <v>218</v>
      </c>
      <c r="F840" s="22" t="s">
        <v>219</v>
      </c>
      <c r="G840" s="22">
        <v>55</v>
      </c>
      <c r="H840" s="22">
        <v>3</v>
      </c>
      <c r="I840" s="22" t="s">
        <v>11</v>
      </c>
      <c r="J840" s="23"/>
    </row>
    <row r="841" spans="1:10" hidden="1" outlineLevel="2">
      <c r="A841" s="23">
        <v>3</v>
      </c>
      <c r="B841" s="59" t="s">
        <v>2087</v>
      </c>
      <c r="C841" s="19" t="s">
        <v>217</v>
      </c>
      <c r="D841" s="41" t="s">
        <v>2037</v>
      </c>
      <c r="E841" s="22" t="s">
        <v>220</v>
      </c>
      <c r="F841" s="22" t="s">
        <v>221</v>
      </c>
      <c r="G841" s="22">
        <v>54</v>
      </c>
      <c r="H841" s="22">
        <v>3</v>
      </c>
      <c r="I841" s="22" t="s">
        <v>11</v>
      </c>
      <c r="J841" s="23"/>
    </row>
    <row r="842" spans="1:10" hidden="1" outlineLevel="2">
      <c r="A842" s="23">
        <v>3</v>
      </c>
      <c r="B842" s="59" t="s">
        <v>2087</v>
      </c>
      <c r="C842" s="19" t="s">
        <v>217</v>
      </c>
      <c r="D842" s="41" t="s">
        <v>2037</v>
      </c>
      <c r="E842" s="22" t="s">
        <v>222</v>
      </c>
      <c r="F842" s="22" t="s">
        <v>223</v>
      </c>
      <c r="G842" s="22">
        <v>55</v>
      </c>
      <c r="H842" s="22">
        <v>3</v>
      </c>
      <c r="I842" s="22" t="s">
        <v>11</v>
      </c>
      <c r="J842" s="23"/>
    </row>
    <row r="843" spans="1:10" hidden="1" outlineLevel="2">
      <c r="A843" s="23">
        <v>3</v>
      </c>
      <c r="B843" s="59" t="s">
        <v>2087</v>
      </c>
      <c r="C843" s="19" t="s">
        <v>217</v>
      </c>
      <c r="D843" s="41" t="s">
        <v>2037</v>
      </c>
      <c r="E843" s="22" t="s">
        <v>224</v>
      </c>
      <c r="F843" s="22" t="s">
        <v>225</v>
      </c>
      <c r="G843" s="22">
        <v>52</v>
      </c>
      <c r="H843" s="22">
        <v>3</v>
      </c>
      <c r="I843" s="22" t="s">
        <v>11</v>
      </c>
      <c r="J843" s="23"/>
    </row>
    <row r="844" spans="1:10" hidden="1" outlineLevel="2">
      <c r="A844" s="23">
        <v>3</v>
      </c>
      <c r="B844" s="59" t="s">
        <v>2087</v>
      </c>
      <c r="C844" s="19" t="s">
        <v>217</v>
      </c>
      <c r="D844" s="41" t="s">
        <v>2037</v>
      </c>
      <c r="E844" s="22" t="s">
        <v>226</v>
      </c>
      <c r="F844" s="22" t="s">
        <v>227</v>
      </c>
      <c r="G844" s="22">
        <v>40</v>
      </c>
      <c r="H844" s="22">
        <v>3</v>
      </c>
      <c r="I844" s="22" t="s">
        <v>11</v>
      </c>
      <c r="J844" s="23"/>
    </row>
    <row r="845" spans="1:10" hidden="1" outlineLevel="2">
      <c r="A845" s="23">
        <v>3</v>
      </c>
      <c r="B845" s="59" t="s">
        <v>2087</v>
      </c>
      <c r="C845" s="19" t="s">
        <v>217</v>
      </c>
      <c r="D845" s="41" t="s">
        <v>2037</v>
      </c>
      <c r="E845" s="22" t="s">
        <v>228</v>
      </c>
      <c r="F845" s="22" t="s">
        <v>229</v>
      </c>
      <c r="G845" s="22">
        <v>58</v>
      </c>
      <c r="H845" s="22">
        <v>3</v>
      </c>
      <c r="I845" s="22" t="s">
        <v>11</v>
      </c>
      <c r="J845" s="23"/>
    </row>
    <row r="846" spans="1:10" hidden="1" outlineLevel="2">
      <c r="A846" s="23">
        <v>3</v>
      </c>
      <c r="B846" s="59" t="s">
        <v>2087</v>
      </c>
      <c r="C846" s="19" t="s">
        <v>217</v>
      </c>
      <c r="D846" s="41" t="s">
        <v>2037</v>
      </c>
      <c r="E846" s="22" t="s">
        <v>230</v>
      </c>
      <c r="F846" s="22" t="s">
        <v>231</v>
      </c>
      <c r="G846" s="22">
        <v>45</v>
      </c>
      <c r="H846" s="22">
        <v>3</v>
      </c>
      <c r="I846" s="22" t="s">
        <v>11</v>
      </c>
      <c r="J846" s="23"/>
    </row>
    <row r="847" spans="1:10" hidden="1" outlineLevel="2">
      <c r="A847" s="23">
        <v>3</v>
      </c>
      <c r="B847" s="59" t="s">
        <v>2087</v>
      </c>
      <c r="C847" s="19" t="s">
        <v>217</v>
      </c>
      <c r="D847" s="41" t="s">
        <v>2037</v>
      </c>
      <c r="E847" s="22" t="s">
        <v>232</v>
      </c>
      <c r="F847" s="22" t="s">
        <v>233</v>
      </c>
      <c r="G847" s="22">
        <v>41</v>
      </c>
      <c r="H847" s="22">
        <v>3</v>
      </c>
      <c r="I847" s="22" t="s">
        <v>11</v>
      </c>
      <c r="J847" s="23"/>
    </row>
    <row r="848" spans="1:10" outlineLevel="1" collapsed="1">
      <c r="A848" s="23"/>
      <c r="B848" s="59"/>
      <c r="D848" s="51" t="s">
        <v>2183</v>
      </c>
      <c r="E848" s="22">
        <f>SUBTOTAL(3,E840:E847)</f>
        <v>8</v>
      </c>
      <c r="F848" s="22"/>
      <c r="G848" s="22"/>
      <c r="H848" s="22"/>
      <c r="I848" s="22">
        <f>SUBTOTAL(3,I840:I847)</f>
        <v>8</v>
      </c>
      <c r="J848" s="23"/>
    </row>
    <row r="849" spans="1:10" hidden="1" outlineLevel="2">
      <c r="A849" s="23">
        <v>3</v>
      </c>
      <c r="B849" s="59" t="s">
        <v>2087</v>
      </c>
      <c r="C849" s="19" t="s">
        <v>122</v>
      </c>
      <c r="D849" s="41" t="s">
        <v>2038</v>
      </c>
      <c r="E849" s="22" t="s">
        <v>123</v>
      </c>
      <c r="F849" s="22" t="s">
        <v>124</v>
      </c>
      <c r="G849" s="22">
        <v>55</v>
      </c>
      <c r="H849" s="22">
        <v>3</v>
      </c>
      <c r="I849" s="22" t="s">
        <v>11</v>
      </c>
      <c r="J849" s="23"/>
    </row>
    <row r="850" spans="1:10" hidden="1" outlineLevel="2">
      <c r="A850" s="23">
        <v>3</v>
      </c>
      <c r="B850" s="59" t="s">
        <v>2087</v>
      </c>
      <c r="C850" s="19" t="s">
        <v>122</v>
      </c>
      <c r="D850" s="41" t="s">
        <v>2038</v>
      </c>
      <c r="E850" s="22" t="s">
        <v>125</v>
      </c>
      <c r="F850" s="22" t="s">
        <v>126</v>
      </c>
      <c r="G850" s="22">
        <v>55</v>
      </c>
      <c r="H850" s="22">
        <v>3</v>
      </c>
      <c r="I850" s="22" t="s">
        <v>11</v>
      </c>
      <c r="J850" s="23"/>
    </row>
    <row r="851" spans="1:10" hidden="1" outlineLevel="2">
      <c r="A851" s="23">
        <v>3</v>
      </c>
      <c r="B851" s="59" t="s">
        <v>2087</v>
      </c>
      <c r="C851" s="19" t="s">
        <v>122</v>
      </c>
      <c r="D851" s="41" t="s">
        <v>2038</v>
      </c>
      <c r="E851" s="22" t="s">
        <v>127</v>
      </c>
      <c r="F851" s="22" t="s">
        <v>128</v>
      </c>
      <c r="G851" s="22">
        <v>50</v>
      </c>
      <c r="H851" s="22">
        <v>3</v>
      </c>
      <c r="I851" s="22" t="s">
        <v>11</v>
      </c>
      <c r="J851" s="23"/>
    </row>
    <row r="852" spans="1:10" hidden="1" outlineLevel="2">
      <c r="A852" s="23">
        <v>3</v>
      </c>
      <c r="B852" s="59" t="s">
        <v>2087</v>
      </c>
      <c r="C852" s="19" t="s">
        <v>122</v>
      </c>
      <c r="D852" s="41" t="s">
        <v>2038</v>
      </c>
      <c r="E852" s="22" t="s">
        <v>129</v>
      </c>
      <c r="F852" s="22" t="s">
        <v>130</v>
      </c>
      <c r="G852" s="22">
        <v>50</v>
      </c>
      <c r="H852" s="22">
        <v>3</v>
      </c>
      <c r="I852" s="22" t="s">
        <v>11</v>
      </c>
      <c r="J852" s="23"/>
    </row>
    <row r="853" spans="1:10" hidden="1" outlineLevel="2">
      <c r="A853" s="23">
        <v>3</v>
      </c>
      <c r="B853" s="59" t="s">
        <v>2087</v>
      </c>
      <c r="C853" s="19" t="s">
        <v>122</v>
      </c>
      <c r="D853" s="41" t="s">
        <v>2038</v>
      </c>
      <c r="E853" s="22" t="s">
        <v>131</v>
      </c>
      <c r="F853" s="22" t="s">
        <v>132</v>
      </c>
      <c r="G853" s="22">
        <v>45</v>
      </c>
      <c r="H853" s="22">
        <v>3</v>
      </c>
      <c r="I853" s="22" t="s">
        <v>11</v>
      </c>
      <c r="J853" s="23"/>
    </row>
    <row r="854" spans="1:10" hidden="1" outlineLevel="2">
      <c r="A854" s="23">
        <v>3</v>
      </c>
      <c r="B854" s="59" t="s">
        <v>2087</v>
      </c>
      <c r="C854" s="19" t="s">
        <v>122</v>
      </c>
      <c r="D854" s="41" t="s">
        <v>2038</v>
      </c>
      <c r="E854" s="22" t="s">
        <v>133</v>
      </c>
      <c r="F854" s="22" t="s">
        <v>134</v>
      </c>
      <c r="G854" s="22">
        <v>46</v>
      </c>
      <c r="H854" s="22">
        <v>3</v>
      </c>
      <c r="I854" s="22" t="s">
        <v>11</v>
      </c>
      <c r="J854" s="23"/>
    </row>
    <row r="855" spans="1:10" hidden="1" outlineLevel="2">
      <c r="A855" s="23">
        <v>3</v>
      </c>
      <c r="B855" s="59" t="s">
        <v>2087</v>
      </c>
      <c r="C855" s="19" t="s">
        <v>122</v>
      </c>
      <c r="D855" s="41" t="s">
        <v>2038</v>
      </c>
      <c r="E855" s="22" t="s">
        <v>135</v>
      </c>
      <c r="F855" s="22" t="s">
        <v>136</v>
      </c>
      <c r="G855" s="22">
        <v>52</v>
      </c>
      <c r="H855" s="22">
        <v>3</v>
      </c>
      <c r="I855" s="22" t="s">
        <v>11</v>
      </c>
      <c r="J855" s="23"/>
    </row>
    <row r="856" spans="1:10" hidden="1" outlineLevel="2">
      <c r="A856" s="23">
        <v>3</v>
      </c>
      <c r="B856" s="59" t="s">
        <v>2087</v>
      </c>
      <c r="C856" s="19" t="s">
        <v>122</v>
      </c>
      <c r="D856" s="41" t="s">
        <v>2038</v>
      </c>
      <c r="E856" s="22" t="s">
        <v>137</v>
      </c>
      <c r="F856" s="22" t="s">
        <v>138</v>
      </c>
      <c r="G856" s="22">
        <v>40</v>
      </c>
      <c r="H856" s="22">
        <v>3</v>
      </c>
      <c r="I856" s="22" t="s">
        <v>11</v>
      </c>
      <c r="J856" s="23"/>
    </row>
    <row r="857" spans="1:10" hidden="1" outlineLevel="2">
      <c r="A857" s="23">
        <v>3</v>
      </c>
      <c r="B857" s="59" t="s">
        <v>2087</v>
      </c>
      <c r="C857" s="19" t="s">
        <v>122</v>
      </c>
      <c r="D857" s="41" t="s">
        <v>2038</v>
      </c>
      <c r="E857" s="22" t="s">
        <v>139</v>
      </c>
      <c r="F857" s="22" t="s">
        <v>140</v>
      </c>
      <c r="G857" s="22">
        <v>50</v>
      </c>
      <c r="H857" s="22">
        <v>3</v>
      </c>
      <c r="I857" s="22" t="s">
        <v>11</v>
      </c>
      <c r="J857" s="23"/>
    </row>
    <row r="858" spans="1:10" outlineLevel="1" collapsed="1">
      <c r="A858" s="23"/>
      <c r="B858" s="59"/>
      <c r="D858" s="51" t="s">
        <v>2184</v>
      </c>
      <c r="E858" s="22">
        <f>SUBTOTAL(3,E849:E857)</f>
        <v>9</v>
      </c>
      <c r="F858" s="22"/>
      <c r="G858" s="22"/>
      <c r="H858" s="22"/>
      <c r="I858" s="22">
        <f>SUBTOTAL(3,I849:I857)</f>
        <v>9</v>
      </c>
      <c r="J858" s="23">
        <f>E858+E848+E839+E828</f>
        <v>39</v>
      </c>
    </row>
    <row r="859" spans="1:10" hidden="1" outlineLevel="2">
      <c r="A859" s="23">
        <v>3</v>
      </c>
      <c r="B859" s="59" t="s">
        <v>2087</v>
      </c>
      <c r="C859" s="19" t="s">
        <v>322</v>
      </c>
      <c r="D859" s="41" t="s">
        <v>2039</v>
      </c>
      <c r="E859" s="22" t="s">
        <v>323</v>
      </c>
      <c r="F859" s="22" t="s">
        <v>324</v>
      </c>
      <c r="G859" s="22">
        <v>48</v>
      </c>
      <c r="H859" s="22">
        <v>3</v>
      </c>
      <c r="I859" s="22" t="s">
        <v>11</v>
      </c>
      <c r="J859" s="23"/>
    </row>
    <row r="860" spans="1:10" hidden="1" outlineLevel="2">
      <c r="A860" s="23">
        <v>3</v>
      </c>
      <c r="B860" s="59" t="s">
        <v>2087</v>
      </c>
      <c r="C860" s="19" t="s">
        <v>322</v>
      </c>
      <c r="D860" s="41" t="s">
        <v>2039</v>
      </c>
      <c r="E860" s="22" t="s">
        <v>325</v>
      </c>
      <c r="F860" s="22" t="s">
        <v>326</v>
      </c>
      <c r="G860" s="22">
        <v>51</v>
      </c>
      <c r="H860" s="22">
        <v>3</v>
      </c>
      <c r="I860" s="22" t="s">
        <v>11</v>
      </c>
      <c r="J860" s="23"/>
    </row>
    <row r="861" spans="1:10" hidden="1" outlineLevel="2">
      <c r="A861" s="23">
        <v>3</v>
      </c>
      <c r="B861" s="59" t="s">
        <v>2087</v>
      </c>
      <c r="C861" s="19" t="s">
        <v>322</v>
      </c>
      <c r="D861" s="41" t="s">
        <v>2039</v>
      </c>
      <c r="E861" s="22" t="s">
        <v>327</v>
      </c>
      <c r="F861" s="22" t="s">
        <v>328</v>
      </c>
      <c r="G861" s="22">
        <v>52</v>
      </c>
      <c r="H861" s="22">
        <v>3</v>
      </c>
      <c r="I861" s="22" t="s">
        <v>11</v>
      </c>
      <c r="J861" s="23"/>
    </row>
    <row r="862" spans="1:10" hidden="1" outlineLevel="2">
      <c r="A862" s="23">
        <v>3</v>
      </c>
      <c r="B862" s="59" t="s">
        <v>2087</v>
      </c>
      <c r="C862" s="19" t="s">
        <v>322</v>
      </c>
      <c r="D862" s="41" t="s">
        <v>2039</v>
      </c>
      <c r="E862" s="22" t="s">
        <v>329</v>
      </c>
      <c r="F862" s="22" t="s">
        <v>330</v>
      </c>
      <c r="G862" s="22">
        <v>56</v>
      </c>
      <c r="H862" s="22">
        <v>3</v>
      </c>
      <c r="I862" s="22" t="s">
        <v>11</v>
      </c>
      <c r="J862" s="23"/>
    </row>
    <row r="863" spans="1:10" hidden="1" outlineLevel="2">
      <c r="A863" s="23">
        <v>3</v>
      </c>
      <c r="B863" s="59" t="s">
        <v>2087</v>
      </c>
      <c r="C863" s="19" t="s">
        <v>322</v>
      </c>
      <c r="D863" s="41" t="s">
        <v>2039</v>
      </c>
      <c r="E863" s="22" t="s">
        <v>331</v>
      </c>
      <c r="F863" s="22" t="s">
        <v>332</v>
      </c>
      <c r="G863" s="22">
        <v>58</v>
      </c>
      <c r="H863" s="22">
        <v>3</v>
      </c>
      <c r="I863" s="22" t="s">
        <v>11</v>
      </c>
      <c r="J863" s="23"/>
    </row>
    <row r="864" spans="1:10" hidden="1" outlineLevel="2">
      <c r="A864" s="23">
        <v>3</v>
      </c>
      <c r="B864" s="59" t="s">
        <v>2087</v>
      </c>
      <c r="C864" s="19" t="s">
        <v>322</v>
      </c>
      <c r="D864" s="41" t="s">
        <v>2039</v>
      </c>
      <c r="E864" s="22" t="s">
        <v>333</v>
      </c>
      <c r="F864" s="22" t="s">
        <v>334</v>
      </c>
      <c r="G864" s="22">
        <v>53</v>
      </c>
      <c r="H864" s="22">
        <v>3</v>
      </c>
      <c r="I864" s="22" t="s">
        <v>11</v>
      </c>
      <c r="J864" s="23"/>
    </row>
    <row r="865" spans="1:10" outlineLevel="1" collapsed="1">
      <c r="A865" s="23"/>
      <c r="B865" s="59"/>
      <c r="D865" s="51" t="s">
        <v>2185</v>
      </c>
      <c r="E865" s="22">
        <f>SUBTOTAL(3,E859:E864)</f>
        <v>6</v>
      </c>
      <c r="F865" s="22"/>
      <c r="G865" s="22"/>
      <c r="H865" s="22"/>
      <c r="I865" s="22">
        <f>SUBTOTAL(3,I859:I864)</f>
        <v>6</v>
      </c>
      <c r="J865" s="23"/>
    </row>
    <row r="866" spans="1:10" hidden="1" outlineLevel="2">
      <c r="A866" s="23">
        <v>3</v>
      </c>
      <c r="B866" s="59" t="s">
        <v>2087</v>
      </c>
      <c r="C866" s="19" t="s">
        <v>194</v>
      </c>
      <c r="D866" s="41" t="s">
        <v>2040</v>
      </c>
      <c r="E866" s="22" t="s">
        <v>195</v>
      </c>
      <c r="F866" s="22" t="s">
        <v>196</v>
      </c>
      <c r="G866" s="22">
        <v>55</v>
      </c>
      <c r="H866" s="22">
        <v>3</v>
      </c>
      <c r="I866" s="22" t="s">
        <v>11</v>
      </c>
      <c r="J866" s="23"/>
    </row>
    <row r="867" spans="1:10" hidden="1" outlineLevel="2">
      <c r="A867" s="23">
        <v>3</v>
      </c>
      <c r="B867" s="59" t="s">
        <v>2087</v>
      </c>
      <c r="C867" s="19" t="s">
        <v>194</v>
      </c>
      <c r="D867" s="41" t="s">
        <v>2040</v>
      </c>
      <c r="E867" s="22" t="s">
        <v>197</v>
      </c>
      <c r="F867" s="22" t="s">
        <v>198</v>
      </c>
      <c r="G867" s="22">
        <v>46</v>
      </c>
      <c r="H867" s="22">
        <v>3</v>
      </c>
      <c r="I867" s="22" t="s">
        <v>11</v>
      </c>
      <c r="J867" s="23"/>
    </row>
    <row r="868" spans="1:10" hidden="1" outlineLevel="2">
      <c r="A868" s="23">
        <v>3</v>
      </c>
      <c r="B868" s="59" t="s">
        <v>2087</v>
      </c>
      <c r="C868" s="19" t="s">
        <v>194</v>
      </c>
      <c r="D868" s="41" t="s">
        <v>2040</v>
      </c>
      <c r="E868" s="22" t="s">
        <v>199</v>
      </c>
      <c r="F868" s="22" t="s">
        <v>200</v>
      </c>
      <c r="G868" s="22">
        <v>40</v>
      </c>
      <c r="H868" s="22">
        <v>3</v>
      </c>
      <c r="I868" s="22" t="s">
        <v>11</v>
      </c>
      <c r="J868" s="23"/>
    </row>
    <row r="869" spans="1:10" hidden="1" outlineLevel="2">
      <c r="A869" s="23">
        <v>3</v>
      </c>
      <c r="B869" s="59" t="s">
        <v>2087</v>
      </c>
      <c r="C869" s="19" t="s">
        <v>194</v>
      </c>
      <c r="D869" s="41" t="s">
        <v>2040</v>
      </c>
      <c r="E869" s="22" t="s">
        <v>201</v>
      </c>
      <c r="F869" s="22" t="s">
        <v>202</v>
      </c>
      <c r="G869" s="22">
        <v>53</v>
      </c>
      <c r="H869" s="22">
        <v>3</v>
      </c>
      <c r="I869" s="22" t="s">
        <v>11</v>
      </c>
      <c r="J869" s="23"/>
    </row>
    <row r="870" spans="1:10" hidden="1" outlineLevel="2">
      <c r="A870" s="23">
        <v>3</v>
      </c>
      <c r="B870" s="59" t="s">
        <v>2087</v>
      </c>
      <c r="C870" s="19" t="s">
        <v>194</v>
      </c>
      <c r="D870" s="41" t="s">
        <v>2040</v>
      </c>
      <c r="E870" s="22" t="s">
        <v>203</v>
      </c>
      <c r="F870" s="22" t="s">
        <v>204</v>
      </c>
      <c r="G870" s="22">
        <v>50</v>
      </c>
      <c r="H870" s="22">
        <v>3</v>
      </c>
      <c r="I870" s="22" t="s">
        <v>11</v>
      </c>
      <c r="J870" s="23"/>
    </row>
    <row r="871" spans="1:10" hidden="1" outlineLevel="2">
      <c r="A871" s="23">
        <v>3</v>
      </c>
      <c r="B871" s="59" t="s">
        <v>2087</v>
      </c>
      <c r="C871" s="19" t="s">
        <v>194</v>
      </c>
      <c r="D871" s="41" t="s">
        <v>2040</v>
      </c>
      <c r="E871" s="22" t="s">
        <v>205</v>
      </c>
      <c r="F871" s="22" t="s">
        <v>206</v>
      </c>
      <c r="G871" s="22">
        <v>40</v>
      </c>
      <c r="H871" s="22">
        <v>3</v>
      </c>
      <c r="I871" s="22" t="s">
        <v>11</v>
      </c>
      <c r="J871" s="23"/>
    </row>
    <row r="872" spans="1:10" hidden="1" outlineLevel="2">
      <c r="A872" s="23">
        <v>3</v>
      </c>
      <c r="B872" s="59" t="s">
        <v>2087</v>
      </c>
      <c r="C872" s="19" t="s">
        <v>194</v>
      </c>
      <c r="D872" s="41" t="s">
        <v>2040</v>
      </c>
      <c r="E872" s="22" t="s">
        <v>207</v>
      </c>
      <c r="F872" s="22" t="s">
        <v>208</v>
      </c>
      <c r="G872" s="22">
        <v>40</v>
      </c>
      <c r="H872" s="22">
        <v>3</v>
      </c>
      <c r="I872" s="22" t="s">
        <v>11</v>
      </c>
      <c r="J872" s="23"/>
    </row>
    <row r="873" spans="1:10" hidden="1" outlineLevel="2">
      <c r="A873" s="23">
        <v>3</v>
      </c>
      <c r="B873" s="59" t="s">
        <v>2087</v>
      </c>
      <c r="C873" s="19" t="s">
        <v>194</v>
      </c>
      <c r="D873" s="41" t="s">
        <v>2040</v>
      </c>
      <c r="E873" s="22" t="s">
        <v>209</v>
      </c>
      <c r="F873" s="22" t="s">
        <v>210</v>
      </c>
      <c r="G873" s="22">
        <v>50</v>
      </c>
      <c r="H873" s="22">
        <v>3</v>
      </c>
      <c r="I873" s="22" t="s">
        <v>11</v>
      </c>
      <c r="J873" s="23"/>
    </row>
    <row r="874" spans="1:10" hidden="1" outlineLevel="2">
      <c r="A874" s="23">
        <v>3</v>
      </c>
      <c r="B874" s="59" t="s">
        <v>2087</v>
      </c>
      <c r="C874" s="19" t="s">
        <v>194</v>
      </c>
      <c r="D874" s="41" t="s">
        <v>2040</v>
      </c>
      <c r="E874" s="22" t="s">
        <v>211</v>
      </c>
      <c r="F874" s="22" t="s">
        <v>212</v>
      </c>
      <c r="G874" s="22">
        <v>40</v>
      </c>
      <c r="H874" s="22">
        <v>3</v>
      </c>
      <c r="I874" s="22" t="s">
        <v>11</v>
      </c>
      <c r="J874" s="23"/>
    </row>
    <row r="875" spans="1:10" hidden="1" outlineLevel="2">
      <c r="A875" s="23">
        <v>3</v>
      </c>
      <c r="B875" s="59" t="s">
        <v>2087</v>
      </c>
      <c r="C875" s="19" t="s">
        <v>194</v>
      </c>
      <c r="D875" s="41" t="s">
        <v>2040</v>
      </c>
      <c r="E875" s="22" t="s">
        <v>213</v>
      </c>
      <c r="F875" s="22" t="s">
        <v>214</v>
      </c>
      <c r="G875" s="22">
        <v>50</v>
      </c>
      <c r="H875" s="22">
        <v>3</v>
      </c>
      <c r="I875" s="22" t="s">
        <v>11</v>
      </c>
      <c r="J875" s="23"/>
    </row>
    <row r="876" spans="1:10" hidden="1" outlineLevel="2">
      <c r="A876" s="23">
        <v>3</v>
      </c>
      <c r="B876" s="59" t="s">
        <v>2087</v>
      </c>
      <c r="C876" s="19" t="s">
        <v>194</v>
      </c>
      <c r="D876" s="41" t="s">
        <v>2040</v>
      </c>
      <c r="E876" s="22" t="s">
        <v>215</v>
      </c>
      <c r="F876" s="22" t="s">
        <v>216</v>
      </c>
      <c r="G876" s="22">
        <v>40</v>
      </c>
      <c r="H876" s="22">
        <v>3</v>
      </c>
      <c r="I876" s="22" t="s">
        <v>11</v>
      </c>
      <c r="J876" s="23"/>
    </row>
    <row r="877" spans="1:10" outlineLevel="1" collapsed="1">
      <c r="A877" s="23"/>
      <c r="B877" s="59"/>
      <c r="D877" s="51" t="s">
        <v>2189</v>
      </c>
      <c r="E877" s="22">
        <f>SUBTOTAL(3,E866:E876)</f>
        <v>11</v>
      </c>
      <c r="F877" s="22"/>
      <c r="G877" s="22"/>
      <c r="H877" s="22"/>
      <c r="I877" s="22">
        <f>SUBTOTAL(3,I866:I876)</f>
        <v>11</v>
      </c>
      <c r="J877" s="23"/>
    </row>
    <row r="878" spans="1:10" hidden="1" outlineLevel="2">
      <c r="A878" s="23">
        <v>3</v>
      </c>
      <c r="B878" s="59" t="s">
        <v>2087</v>
      </c>
      <c r="C878" s="19" t="s">
        <v>301</v>
      </c>
      <c r="D878" s="41" t="s">
        <v>2041</v>
      </c>
      <c r="E878" s="22" t="s">
        <v>302</v>
      </c>
      <c r="F878" s="22" t="s">
        <v>303</v>
      </c>
      <c r="G878" s="22">
        <v>46</v>
      </c>
      <c r="H878" s="22">
        <v>3</v>
      </c>
      <c r="I878" s="22" t="s">
        <v>11</v>
      </c>
      <c r="J878" s="23"/>
    </row>
    <row r="879" spans="1:10" hidden="1" outlineLevel="2">
      <c r="A879" s="23">
        <v>3</v>
      </c>
      <c r="B879" s="59" t="s">
        <v>2087</v>
      </c>
      <c r="C879" s="19" t="s">
        <v>301</v>
      </c>
      <c r="D879" s="41" t="s">
        <v>2041</v>
      </c>
      <c r="E879" s="22" t="s">
        <v>304</v>
      </c>
      <c r="F879" s="22" t="s">
        <v>305</v>
      </c>
      <c r="G879" s="22">
        <v>42</v>
      </c>
      <c r="H879" s="22">
        <v>3</v>
      </c>
      <c r="I879" s="22" t="s">
        <v>11</v>
      </c>
      <c r="J879" s="23"/>
    </row>
    <row r="880" spans="1:10" hidden="1" outlineLevel="2">
      <c r="A880" s="23">
        <v>3</v>
      </c>
      <c r="B880" s="59" t="s">
        <v>2087</v>
      </c>
      <c r="C880" s="19" t="s">
        <v>301</v>
      </c>
      <c r="D880" s="41" t="s">
        <v>2041</v>
      </c>
      <c r="E880" s="22" t="s">
        <v>306</v>
      </c>
      <c r="F880" s="22" t="s">
        <v>307</v>
      </c>
      <c r="G880" s="22">
        <v>55</v>
      </c>
      <c r="H880" s="22">
        <v>3</v>
      </c>
      <c r="I880" s="22" t="s">
        <v>11</v>
      </c>
      <c r="J880" s="23"/>
    </row>
    <row r="881" spans="1:10" hidden="1" outlineLevel="2">
      <c r="A881" s="23">
        <v>3</v>
      </c>
      <c r="B881" s="59" t="s">
        <v>2087</v>
      </c>
      <c r="C881" s="19" t="s">
        <v>301</v>
      </c>
      <c r="D881" s="41" t="s">
        <v>2041</v>
      </c>
      <c r="E881" s="22" t="s">
        <v>308</v>
      </c>
      <c r="F881" s="22" t="s">
        <v>309</v>
      </c>
      <c r="G881" s="22">
        <v>55</v>
      </c>
      <c r="H881" s="22">
        <v>3</v>
      </c>
      <c r="I881" s="22" t="s">
        <v>11</v>
      </c>
      <c r="J881" s="23"/>
    </row>
    <row r="882" spans="1:10" hidden="1" outlineLevel="2">
      <c r="A882" s="23">
        <v>3</v>
      </c>
      <c r="B882" s="59" t="s">
        <v>2087</v>
      </c>
      <c r="C882" s="19" t="s">
        <v>301</v>
      </c>
      <c r="D882" s="41" t="s">
        <v>2041</v>
      </c>
      <c r="E882" s="22" t="s">
        <v>310</v>
      </c>
      <c r="F882" s="22" t="s">
        <v>311</v>
      </c>
      <c r="G882" s="22">
        <v>42</v>
      </c>
      <c r="H882" s="22">
        <v>3</v>
      </c>
      <c r="I882" s="22" t="s">
        <v>11</v>
      </c>
      <c r="J882" s="23"/>
    </row>
    <row r="883" spans="1:10" hidden="1" outlineLevel="2">
      <c r="A883" s="23">
        <v>3</v>
      </c>
      <c r="B883" s="59" t="s">
        <v>2087</v>
      </c>
      <c r="C883" s="19" t="s">
        <v>301</v>
      </c>
      <c r="D883" s="41" t="s">
        <v>2041</v>
      </c>
      <c r="E883" s="22" t="s">
        <v>312</v>
      </c>
      <c r="F883" s="22" t="s">
        <v>313</v>
      </c>
      <c r="G883" s="22">
        <v>58</v>
      </c>
      <c r="H883" s="22">
        <v>3</v>
      </c>
      <c r="I883" s="22" t="s">
        <v>11</v>
      </c>
      <c r="J883" s="23"/>
    </row>
    <row r="884" spans="1:10" hidden="1" outlineLevel="2">
      <c r="A884" s="23">
        <v>3</v>
      </c>
      <c r="B884" s="59" t="s">
        <v>2087</v>
      </c>
      <c r="C884" s="19" t="s">
        <v>301</v>
      </c>
      <c r="D884" s="41" t="s">
        <v>2041</v>
      </c>
      <c r="E884" s="22" t="s">
        <v>314</v>
      </c>
      <c r="F884" s="22" t="s">
        <v>315</v>
      </c>
      <c r="G884" s="22">
        <v>40</v>
      </c>
      <c r="H884" s="22">
        <v>3</v>
      </c>
      <c r="I884" s="22" t="s">
        <v>11</v>
      </c>
      <c r="J884" s="23"/>
    </row>
    <row r="885" spans="1:10" hidden="1" outlineLevel="2">
      <c r="A885" s="23">
        <v>3</v>
      </c>
      <c r="B885" s="59" t="s">
        <v>2087</v>
      </c>
      <c r="C885" s="19" t="s">
        <v>301</v>
      </c>
      <c r="D885" s="41" t="s">
        <v>2041</v>
      </c>
      <c r="E885" s="22" t="s">
        <v>316</v>
      </c>
      <c r="F885" s="22" t="s">
        <v>317</v>
      </c>
      <c r="G885" s="22">
        <v>57</v>
      </c>
      <c r="H885" s="22">
        <v>3</v>
      </c>
      <c r="I885" s="22" t="s">
        <v>11</v>
      </c>
      <c r="J885" s="23"/>
    </row>
    <row r="886" spans="1:10" hidden="1" outlineLevel="2">
      <c r="A886" s="23">
        <v>3</v>
      </c>
      <c r="B886" s="59" t="s">
        <v>2087</v>
      </c>
      <c r="C886" s="19" t="s">
        <v>301</v>
      </c>
      <c r="D886" s="41" t="s">
        <v>2041</v>
      </c>
      <c r="E886" s="22" t="s">
        <v>318</v>
      </c>
      <c r="F886" s="22" t="s">
        <v>319</v>
      </c>
      <c r="G886" s="22">
        <v>45</v>
      </c>
      <c r="H886" s="22">
        <v>3</v>
      </c>
      <c r="I886" s="22" t="s">
        <v>11</v>
      </c>
      <c r="J886" s="23"/>
    </row>
    <row r="887" spans="1:10" hidden="1" outlineLevel="2">
      <c r="A887" s="23">
        <v>3</v>
      </c>
      <c r="B887" s="59" t="s">
        <v>2087</v>
      </c>
      <c r="C887" s="19" t="s">
        <v>301</v>
      </c>
      <c r="D887" s="41" t="s">
        <v>2041</v>
      </c>
      <c r="E887" s="22" t="s">
        <v>320</v>
      </c>
      <c r="F887" s="22" t="s">
        <v>321</v>
      </c>
      <c r="G887" s="22">
        <v>43</v>
      </c>
      <c r="H887" s="22">
        <v>3</v>
      </c>
      <c r="I887" s="22" t="s">
        <v>11</v>
      </c>
      <c r="J887" s="23"/>
    </row>
    <row r="888" spans="1:10" outlineLevel="1" collapsed="1">
      <c r="A888" s="23"/>
      <c r="B888" s="59"/>
      <c r="D888" s="51" t="s">
        <v>2190</v>
      </c>
      <c r="E888" s="22">
        <f>SUBTOTAL(3,E878:E887)</f>
        <v>10</v>
      </c>
      <c r="F888" s="22"/>
      <c r="G888" s="22"/>
      <c r="H888" s="22"/>
      <c r="I888" s="22">
        <f>SUBTOTAL(3,I878:I887)</f>
        <v>10</v>
      </c>
      <c r="J888" s="23"/>
    </row>
    <row r="889" spans="1:10" hidden="1" outlineLevel="2">
      <c r="A889" s="23">
        <v>3</v>
      </c>
      <c r="B889" s="59" t="s">
        <v>2087</v>
      </c>
      <c r="C889" s="19" t="s">
        <v>84</v>
      </c>
      <c r="D889" s="41" t="s">
        <v>2042</v>
      </c>
      <c r="E889" s="22" t="s">
        <v>85</v>
      </c>
      <c r="F889" s="22" t="s">
        <v>86</v>
      </c>
      <c r="G889" s="22">
        <v>45</v>
      </c>
      <c r="H889" s="22">
        <v>3</v>
      </c>
      <c r="I889" s="22" t="s">
        <v>11</v>
      </c>
      <c r="J889" s="23"/>
    </row>
    <row r="890" spans="1:10" hidden="1" outlineLevel="2">
      <c r="A890" s="23">
        <v>3</v>
      </c>
      <c r="B890" s="59" t="s">
        <v>2087</v>
      </c>
      <c r="C890" s="19" t="s">
        <v>84</v>
      </c>
      <c r="D890" s="41" t="s">
        <v>2042</v>
      </c>
      <c r="E890" s="22" t="s">
        <v>87</v>
      </c>
      <c r="F890" s="22" t="s">
        <v>88</v>
      </c>
      <c r="G890" s="22">
        <v>47</v>
      </c>
      <c r="H890" s="22">
        <v>3</v>
      </c>
      <c r="I890" s="22" t="s">
        <v>11</v>
      </c>
      <c r="J890" s="23"/>
    </row>
    <row r="891" spans="1:10" hidden="1" outlineLevel="2">
      <c r="A891" s="23">
        <v>3</v>
      </c>
      <c r="B891" s="59" t="s">
        <v>2087</v>
      </c>
      <c r="C891" s="19" t="s">
        <v>84</v>
      </c>
      <c r="D891" s="41" t="s">
        <v>2042</v>
      </c>
      <c r="E891" s="22" t="s">
        <v>89</v>
      </c>
      <c r="F891" s="22" t="s">
        <v>90</v>
      </c>
      <c r="G891" s="22">
        <v>50</v>
      </c>
      <c r="H891" s="22">
        <v>3</v>
      </c>
      <c r="I891" s="22" t="s">
        <v>11</v>
      </c>
      <c r="J891" s="23"/>
    </row>
    <row r="892" spans="1:10" hidden="1" outlineLevel="2">
      <c r="A892" s="23">
        <v>3</v>
      </c>
      <c r="B892" s="59" t="s">
        <v>2087</v>
      </c>
      <c r="C892" s="19" t="s">
        <v>84</v>
      </c>
      <c r="D892" s="41" t="s">
        <v>2042</v>
      </c>
      <c r="E892" s="22" t="s">
        <v>91</v>
      </c>
      <c r="F892" s="22" t="s">
        <v>92</v>
      </c>
      <c r="G892" s="22">
        <v>55</v>
      </c>
      <c r="H892" s="22">
        <v>3</v>
      </c>
      <c r="I892" s="22" t="s">
        <v>11</v>
      </c>
      <c r="J892" s="23"/>
    </row>
    <row r="893" spans="1:10" hidden="1" outlineLevel="2">
      <c r="A893" s="23">
        <v>3</v>
      </c>
      <c r="B893" s="59" t="s">
        <v>2087</v>
      </c>
      <c r="C893" s="19" t="s">
        <v>84</v>
      </c>
      <c r="D893" s="41" t="s">
        <v>2042</v>
      </c>
      <c r="E893" s="22" t="s">
        <v>93</v>
      </c>
      <c r="F893" s="22" t="s">
        <v>94</v>
      </c>
      <c r="G893" s="22">
        <v>56</v>
      </c>
      <c r="H893" s="22">
        <v>3</v>
      </c>
      <c r="I893" s="22" t="s">
        <v>11</v>
      </c>
      <c r="J893" s="23"/>
    </row>
    <row r="894" spans="1:10" hidden="1" outlineLevel="2">
      <c r="A894" s="23">
        <v>3</v>
      </c>
      <c r="B894" s="59" t="s">
        <v>2087</v>
      </c>
      <c r="C894" s="19" t="s">
        <v>84</v>
      </c>
      <c r="D894" s="41" t="s">
        <v>2042</v>
      </c>
      <c r="E894" s="22" t="s">
        <v>95</v>
      </c>
      <c r="F894" s="22" t="s">
        <v>96</v>
      </c>
      <c r="G894" s="22">
        <v>55</v>
      </c>
      <c r="H894" s="22">
        <v>3</v>
      </c>
      <c r="I894" s="22" t="s">
        <v>11</v>
      </c>
      <c r="J894" s="23"/>
    </row>
    <row r="895" spans="1:10" outlineLevel="1" collapsed="1">
      <c r="A895" s="23"/>
      <c r="B895" s="59"/>
      <c r="D895" s="51" t="s">
        <v>2193</v>
      </c>
      <c r="E895" s="22">
        <f>SUBTOTAL(3,E889:E894)</f>
        <v>6</v>
      </c>
      <c r="F895" s="22"/>
      <c r="G895" s="22"/>
      <c r="H895" s="22"/>
      <c r="I895" s="22">
        <f>SUBTOTAL(3,I889:I894)</f>
        <v>6</v>
      </c>
      <c r="J895" s="23"/>
    </row>
    <row r="896" spans="1:10" hidden="1" outlineLevel="2">
      <c r="A896" s="23">
        <v>3</v>
      </c>
      <c r="B896" s="59" t="s">
        <v>2087</v>
      </c>
      <c r="C896" s="19" t="s">
        <v>7</v>
      </c>
      <c r="D896" s="41" t="s">
        <v>2043</v>
      </c>
      <c r="E896" s="22" t="s">
        <v>8</v>
      </c>
      <c r="F896" s="22" t="s">
        <v>9</v>
      </c>
      <c r="G896" s="22">
        <v>45</v>
      </c>
      <c r="H896" s="22">
        <v>3</v>
      </c>
      <c r="I896" s="22" t="s">
        <v>11</v>
      </c>
      <c r="J896" s="23"/>
    </row>
    <row r="897" spans="1:10" hidden="1" outlineLevel="2">
      <c r="A897" s="23">
        <v>3</v>
      </c>
      <c r="B897" s="59" t="s">
        <v>2087</v>
      </c>
      <c r="C897" s="19" t="s">
        <v>7</v>
      </c>
      <c r="D897" s="41" t="s">
        <v>2043</v>
      </c>
      <c r="E897" s="22" t="s">
        <v>13</v>
      </c>
      <c r="F897" s="22" t="s">
        <v>14</v>
      </c>
      <c r="G897" s="22">
        <v>56</v>
      </c>
      <c r="H897" s="22">
        <v>3</v>
      </c>
      <c r="I897" s="22" t="s">
        <v>11</v>
      </c>
      <c r="J897" s="23"/>
    </row>
    <row r="898" spans="1:10" hidden="1" outlineLevel="2">
      <c r="A898" s="23">
        <v>3</v>
      </c>
      <c r="B898" s="59" t="s">
        <v>2087</v>
      </c>
      <c r="C898" s="19" t="s">
        <v>7</v>
      </c>
      <c r="D898" s="41" t="s">
        <v>2043</v>
      </c>
      <c r="E898" s="22" t="s">
        <v>15</v>
      </c>
      <c r="F898" s="22" t="s">
        <v>16</v>
      </c>
      <c r="G898" s="22">
        <v>48</v>
      </c>
      <c r="H898" s="22">
        <v>3</v>
      </c>
      <c r="I898" s="22" t="s">
        <v>11</v>
      </c>
      <c r="J898" s="23"/>
    </row>
    <row r="899" spans="1:10" hidden="1" outlineLevel="2">
      <c r="A899" s="23">
        <v>3</v>
      </c>
      <c r="B899" s="59" t="s">
        <v>2087</v>
      </c>
      <c r="C899" s="19" t="s">
        <v>7</v>
      </c>
      <c r="D899" s="41" t="s">
        <v>2043</v>
      </c>
      <c r="E899" s="22" t="s">
        <v>17</v>
      </c>
      <c r="F899" s="22" t="s">
        <v>18</v>
      </c>
      <c r="G899" s="22">
        <v>43</v>
      </c>
      <c r="H899" s="22">
        <v>3</v>
      </c>
      <c r="I899" s="22" t="s">
        <v>11</v>
      </c>
      <c r="J899" s="23"/>
    </row>
    <row r="900" spans="1:10" hidden="1" outlineLevel="2">
      <c r="A900" s="23">
        <v>3</v>
      </c>
      <c r="B900" s="59" t="s">
        <v>2087</v>
      </c>
      <c r="C900" s="19" t="s">
        <v>7</v>
      </c>
      <c r="D900" s="41" t="s">
        <v>2043</v>
      </c>
      <c r="E900" s="22" t="s">
        <v>19</v>
      </c>
      <c r="F900" s="22" t="s">
        <v>20</v>
      </c>
      <c r="G900" s="22">
        <v>55</v>
      </c>
      <c r="H900" s="22">
        <v>3</v>
      </c>
      <c r="I900" s="22" t="s">
        <v>11</v>
      </c>
      <c r="J900" s="23"/>
    </row>
    <row r="901" spans="1:10" hidden="1" outlineLevel="2">
      <c r="A901" s="23">
        <v>3</v>
      </c>
      <c r="B901" s="59" t="s">
        <v>2087</v>
      </c>
      <c r="C901" s="19" t="s">
        <v>7</v>
      </c>
      <c r="D901" s="41" t="s">
        <v>2043</v>
      </c>
      <c r="E901" s="22" t="s">
        <v>21</v>
      </c>
      <c r="F901" s="22" t="s">
        <v>22</v>
      </c>
      <c r="G901" s="22">
        <v>56</v>
      </c>
      <c r="H901" s="22">
        <v>3</v>
      </c>
      <c r="I901" s="22" t="s">
        <v>11</v>
      </c>
      <c r="J901" s="23"/>
    </row>
    <row r="902" spans="1:10" hidden="1" outlineLevel="2">
      <c r="A902" s="23">
        <v>3</v>
      </c>
      <c r="B902" s="59" t="s">
        <v>2087</v>
      </c>
      <c r="C902" s="19" t="s">
        <v>7</v>
      </c>
      <c r="D902" s="41" t="s">
        <v>2043</v>
      </c>
      <c r="E902" s="22" t="s">
        <v>23</v>
      </c>
      <c r="F902" s="22" t="s">
        <v>24</v>
      </c>
      <c r="G902" s="22">
        <v>46</v>
      </c>
      <c r="H902" s="22">
        <v>3</v>
      </c>
      <c r="I902" s="22" t="s">
        <v>11</v>
      </c>
      <c r="J902" s="23"/>
    </row>
    <row r="903" spans="1:10" outlineLevel="1" collapsed="1">
      <c r="A903" s="23"/>
      <c r="B903" s="59"/>
      <c r="D903" s="51" t="s">
        <v>2194</v>
      </c>
      <c r="E903" s="22">
        <f>SUBTOTAL(3,E896:E902)</f>
        <v>7</v>
      </c>
      <c r="F903" s="22"/>
      <c r="G903" s="22"/>
      <c r="H903" s="22"/>
      <c r="I903" s="22">
        <f>SUBTOTAL(3,I896:I902)</f>
        <v>7</v>
      </c>
      <c r="J903" s="23">
        <f>E903+E895+E888+E877+E865</f>
        <v>40</v>
      </c>
    </row>
    <row r="904" spans="1:10" hidden="1" outlineLevel="2">
      <c r="A904" s="23">
        <v>3</v>
      </c>
      <c r="B904" s="59" t="s">
        <v>2087</v>
      </c>
      <c r="C904" s="19" t="s">
        <v>141</v>
      </c>
      <c r="D904" s="41" t="s">
        <v>2044</v>
      </c>
      <c r="E904" s="22" t="s">
        <v>142</v>
      </c>
      <c r="F904" s="22" t="s">
        <v>143</v>
      </c>
      <c r="G904" s="22">
        <v>56</v>
      </c>
      <c r="H904" s="22">
        <v>3</v>
      </c>
      <c r="I904" s="22" t="s">
        <v>11</v>
      </c>
      <c r="J904" s="23"/>
    </row>
    <row r="905" spans="1:10" hidden="1" outlineLevel="2">
      <c r="A905" s="23">
        <v>3</v>
      </c>
      <c r="B905" s="59" t="s">
        <v>2087</v>
      </c>
      <c r="C905" s="19" t="s">
        <v>141</v>
      </c>
      <c r="D905" s="41" t="s">
        <v>2044</v>
      </c>
      <c r="E905" s="22" t="s">
        <v>144</v>
      </c>
      <c r="F905" s="22" t="s">
        <v>145</v>
      </c>
      <c r="G905" s="22">
        <v>40</v>
      </c>
      <c r="H905" s="22">
        <v>3</v>
      </c>
      <c r="I905" s="22" t="s">
        <v>11</v>
      </c>
      <c r="J905" s="23"/>
    </row>
    <row r="906" spans="1:10" hidden="1" outlineLevel="2">
      <c r="A906" s="23">
        <v>3</v>
      </c>
      <c r="B906" s="59" t="s">
        <v>2087</v>
      </c>
      <c r="C906" s="19" t="s">
        <v>141</v>
      </c>
      <c r="D906" s="41" t="s">
        <v>2044</v>
      </c>
      <c r="E906" s="22" t="s">
        <v>146</v>
      </c>
      <c r="F906" s="22" t="s">
        <v>147</v>
      </c>
      <c r="G906" s="22">
        <v>44</v>
      </c>
      <c r="H906" s="22">
        <v>3</v>
      </c>
      <c r="I906" s="22" t="s">
        <v>11</v>
      </c>
      <c r="J906" s="23"/>
    </row>
    <row r="907" spans="1:10" hidden="1" outlineLevel="2">
      <c r="A907" s="23">
        <v>3</v>
      </c>
      <c r="B907" s="59" t="s">
        <v>2087</v>
      </c>
      <c r="C907" s="19" t="s">
        <v>141</v>
      </c>
      <c r="D907" s="41" t="s">
        <v>2044</v>
      </c>
      <c r="E907" s="22" t="s">
        <v>148</v>
      </c>
      <c r="F907" s="22" t="s">
        <v>149</v>
      </c>
      <c r="G907" s="22">
        <v>40</v>
      </c>
      <c r="H907" s="22">
        <v>3</v>
      </c>
      <c r="I907" s="22" t="s">
        <v>11</v>
      </c>
      <c r="J907" s="23"/>
    </row>
    <row r="908" spans="1:10" hidden="1" outlineLevel="2">
      <c r="A908" s="23">
        <v>3</v>
      </c>
      <c r="B908" s="59" t="s">
        <v>2087</v>
      </c>
      <c r="C908" s="19" t="s">
        <v>141</v>
      </c>
      <c r="D908" s="41" t="s">
        <v>2044</v>
      </c>
      <c r="E908" s="22" t="s">
        <v>150</v>
      </c>
      <c r="F908" s="22" t="s">
        <v>151</v>
      </c>
      <c r="G908" s="22">
        <v>49</v>
      </c>
      <c r="H908" s="22">
        <v>3</v>
      </c>
      <c r="I908" s="22" t="s">
        <v>11</v>
      </c>
      <c r="J908" s="23"/>
    </row>
    <row r="909" spans="1:10" hidden="1" outlineLevel="2">
      <c r="A909" s="23">
        <v>3</v>
      </c>
      <c r="B909" s="59" t="s">
        <v>2087</v>
      </c>
      <c r="C909" s="19" t="s">
        <v>141</v>
      </c>
      <c r="D909" s="41" t="s">
        <v>2044</v>
      </c>
      <c r="E909" s="22" t="s">
        <v>152</v>
      </c>
      <c r="F909" s="22" t="s">
        <v>153</v>
      </c>
      <c r="G909" s="22">
        <v>50</v>
      </c>
      <c r="H909" s="22">
        <v>3</v>
      </c>
      <c r="I909" s="22" t="s">
        <v>11</v>
      </c>
      <c r="J909" s="23"/>
    </row>
    <row r="910" spans="1:10" hidden="1" outlineLevel="2">
      <c r="A910" s="23">
        <v>3</v>
      </c>
      <c r="B910" s="59" t="s">
        <v>2087</v>
      </c>
      <c r="C910" s="19" t="s">
        <v>141</v>
      </c>
      <c r="D910" s="41" t="s">
        <v>2044</v>
      </c>
      <c r="E910" s="22" t="s">
        <v>154</v>
      </c>
      <c r="F910" s="22" t="s">
        <v>155</v>
      </c>
      <c r="G910" s="22">
        <v>49</v>
      </c>
      <c r="H910" s="22">
        <v>3</v>
      </c>
      <c r="I910" s="22" t="s">
        <v>11</v>
      </c>
      <c r="J910" s="23"/>
    </row>
    <row r="911" spans="1:10" hidden="1" outlineLevel="2">
      <c r="A911" s="23">
        <v>3</v>
      </c>
      <c r="B911" s="59" t="s">
        <v>2087</v>
      </c>
      <c r="C911" s="19" t="s">
        <v>141</v>
      </c>
      <c r="D911" s="41" t="s">
        <v>2044</v>
      </c>
      <c r="E911" s="22" t="s">
        <v>156</v>
      </c>
      <c r="F911" s="22" t="s">
        <v>157</v>
      </c>
      <c r="G911" s="22">
        <v>50</v>
      </c>
      <c r="H911" s="22">
        <v>3</v>
      </c>
      <c r="I911" s="22" t="s">
        <v>11</v>
      </c>
      <c r="J911" s="23"/>
    </row>
    <row r="912" spans="1:10" outlineLevel="1" collapsed="1">
      <c r="A912" s="23"/>
      <c r="B912" s="59"/>
      <c r="D912" s="51" t="s">
        <v>2197</v>
      </c>
      <c r="E912" s="22">
        <f>SUBTOTAL(3,E904:E911)</f>
        <v>8</v>
      </c>
      <c r="F912" s="22"/>
      <c r="G912" s="22"/>
      <c r="H912" s="22"/>
      <c r="I912" s="22">
        <f>SUBTOTAL(3,I904:I911)</f>
        <v>8</v>
      </c>
      <c r="J912" s="23"/>
    </row>
    <row r="913" spans="1:10" hidden="1" outlineLevel="2">
      <c r="A913" s="23">
        <v>3</v>
      </c>
      <c r="B913" s="59" t="s">
        <v>2087</v>
      </c>
      <c r="C913" s="19" t="s">
        <v>239</v>
      </c>
      <c r="D913" s="41" t="s">
        <v>2045</v>
      </c>
      <c r="E913" s="22" t="s">
        <v>240</v>
      </c>
      <c r="F913" s="22" t="s">
        <v>241</v>
      </c>
      <c r="G913" s="22">
        <v>51</v>
      </c>
      <c r="H913" s="22">
        <v>3</v>
      </c>
      <c r="I913" s="22" t="s">
        <v>11</v>
      </c>
      <c r="J913" s="23"/>
    </row>
    <row r="914" spans="1:10" hidden="1" outlineLevel="2">
      <c r="A914" s="23">
        <v>3</v>
      </c>
      <c r="B914" s="59" t="s">
        <v>2087</v>
      </c>
      <c r="C914" s="19" t="s">
        <v>239</v>
      </c>
      <c r="D914" s="41" t="s">
        <v>2045</v>
      </c>
      <c r="E914" s="22" t="s">
        <v>242</v>
      </c>
      <c r="F914" s="22" t="s">
        <v>243</v>
      </c>
      <c r="G914" s="22">
        <v>51</v>
      </c>
      <c r="H914" s="22">
        <v>3</v>
      </c>
      <c r="I914" s="22" t="s">
        <v>11</v>
      </c>
      <c r="J914" s="23"/>
    </row>
    <row r="915" spans="1:10" hidden="1" outlineLevel="2">
      <c r="A915" s="23">
        <v>3</v>
      </c>
      <c r="B915" s="59" t="s">
        <v>2087</v>
      </c>
      <c r="C915" s="19" t="s">
        <v>239</v>
      </c>
      <c r="D915" s="41" t="s">
        <v>2045</v>
      </c>
      <c r="E915" s="22" t="s">
        <v>244</v>
      </c>
      <c r="F915" s="22" t="s">
        <v>245</v>
      </c>
      <c r="G915" s="22">
        <v>52</v>
      </c>
      <c r="H915" s="22">
        <v>3</v>
      </c>
      <c r="I915" s="22" t="s">
        <v>11</v>
      </c>
      <c r="J915" s="23"/>
    </row>
    <row r="916" spans="1:10" outlineLevel="1" collapsed="1">
      <c r="A916" s="23"/>
      <c r="B916" s="59"/>
      <c r="D916" s="51" t="s">
        <v>2198</v>
      </c>
      <c r="E916" s="22">
        <f>SUBTOTAL(3,E913:E915)</f>
        <v>3</v>
      </c>
      <c r="F916" s="22"/>
      <c r="G916" s="22"/>
      <c r="H916" s="22"/>
      <c r="I916" s="22">
        <f>SUBTOTAL(3,I913:I915)</f>
        <v>3</v>
      </c>
      <c r="J916" s="23"/>
    </row>
    <row r="917" spans="1:10" hidden="1" outlineLevel="2">
      <c r="A917" s="23">
        <v>3</v>
      </c>
      <c r="B917" s="59" t="s">
        <v>2087</v>
      </c>
      <c r="C917" s="19" t="s">
        <v>246</v>
      </c>
      <c r="D917" s="41" t="s">
        <v>2046</v>
      </c>
      <c r="E917" s="22" t="s">
        <v>247</v>
      </c>
      <c r="F917" s="22" t="s">
        <v>248</v>
      </c>
      <c r="G917" s="22">
        <v>41</v>
      </c>
      <c r="H917" s="22">
        <v>3</v>
      </c>
      <c r="I917" s="22" t="s">
        <v>11</v>
      </c>
      <c r="J917" s="23"/>
    </row>
    <row r="918" spans="1:10" hidden="1" outlineLevel="2">
      <c r="A918" s="23">
        <v>3</v>
      </c>
      <c r="B918" s="59" t="s">
        <v>2087</v>
      </c>
      <c r="C918" s="19" t="s">
        <v>246</v>
      </c>
      <c r="D918" s="41" t="s">
        <v>2046</v>
      </c>
      <c r="E918" s="22" t="s">
        <v>249</v>
      </c>
      <c r="F918" s="22" t="s">
        <v>250</v>
      </c>
      <c r="G918" s="22">
        <v>51</v>
      </c>
      <c r="H918" s="22">
        <v>3</v>
      </c>
      <c r="I918" s="22" t="s">
        <v>11</v>
      </c>
      <c r="J918" s="23"/>
    </row>
    <row r="919" spans="1:10" hidden="1" outlineLevel="2">
      <c r="A919" s="23">
        <v>3</v>
      </c>
      <c r="B919" s="59" t="s">
        <v>2087</v>
      </c>
      <c r="C919" s="19" t="s">
        <v>246</v>
      </c>
      <c r="D919" s="41" t="s">
        <v>2046</v>
      </c>
      <c r="E919" s="22" t="s">
        <v>251</v>
      </c>
      <c r="F919" s="22" t="s">
        <v>252</v>
      </c>
      <c r="G919" s="22">
        <v>52</v>
      </c>
      <c r="H919" s="22">
        <v>3</v>
      </c>
      <c r="I919" s="22" t="s">
        <v>11</v>
      </c>
      <c r="J919" s="23"/>
    </row>
    <row r="920" spans="1:10" hidden="1" outlineLevel="2">
      <c r="A920" s="23">
        <v>3</v>
      </c>
      <c r="B920" s="59" t="s">
        <v>2087</v>
      </c>
      <c r="C920" s="19" t="s">
        <v>246</v>
      </c>
      <c r="D920" s="41" t="s">
        <v>2046</v>
      </c>
      <c r="E920" s="22" t="s">
        <v>253</v>
      </c>
      <c r="F920" s="22" t="s">
        <v>254</v>
      </c>
      <c r="G920" s="22">
        <v>53</v>
      </c>
      <c r="H920" s="22">
        <v>3</v>
      </c>
      <c r="I920" s="22" t="s">
        <v>11</v>
      </c>
      <c r="J920" s="23"/>
    </row>
    <row r="921" spans="1:10" hidden="1" outlineLevel="2">
      <c r="A921" s="23">
        <v>3</v>
      </c>
      <c r="B921" s="59" t="s">
        <v>2087</v>
      </c>
      <c r="C921" s="19" t="s">
        <v>246</v>
      </c>
      <c r="D921" s="41" t="s">
        <v>2046</v>
      </c>
      <c r="E921" s="22" t="s">
        <v>255</v>
      </c>
      <c r="F921" s="22" t="s">
        <v>256</v>
      </c>
      <c r="G921" s="22">
        <v>54</v>
      </c>
      <c r="H921" s="22">
        <v>3</v>
      </c>
      <c r="I921" s="22" t="s">
        <v>11</v>
      </c>
      <c r="J921" s="23"/>
    </row>
    <row r="922" spans="1:10" hidden="1" outlineLevel="2">
      <c r="A922" s="23">
        <v>3</v>
      </c>
      <c r="B922" s="59" t="s">
        <v>2087</v>
      </c>
      <c r="C922" s="19" t="s">
        <v>246</v>
      </c>
      <c r="D922" s="41" t="s">
        <v>2046</v>
      </c>
      <c r="E922" s="22" t="s">
        <v>257</v>
      </c>
      <c r="F922" s="22" t="s">
        <v>258</v>
      </c>
      <c r="G922" s="22">
        <v>53</v>
      </c>
      <c r="H922" s="22">
        <v>3</v>
      </c>
      <c r="I922" s="22" t="s">
        <v>11</v>
      </c>
      <c r="J922" s="23"/>
    </row>
    <row r="923" spans="1:10" hidden="1" outlineLevel="2">
      <c r="A923" s="23">
        <v>3</v>
      </c>
      <c r="B923" s="59" t="s">
        <v>2087</v>
      </c>
      <c r="C923" s="19" t="s">
        <v>246</v>
      </c>
      <c r="D923" s="41" t="s">
        <v>2046</v>
      </c>
      <c r="E923" s="22" t="s">
        <v>259</v>
      </c>
      <c r="F923" s="22" t="s">
        <v>260</v>
      </c>
      <c r="G923" s="22">
        <v>49</v>
      </c>
      <c r="H923" s="22">
        <v>3</v>
      </c>
      <c r="I923" s="22" t="s">
        <v>11</v>
      </c>
      <c r="J923" s="23"/>
    </row>
    <row r="924" spans="1:10" hidden="1" outlineLevel="2">
      <c r="A924" s="23">
        <v>3</v>
      </c>
      <c r="B924" s="59" t="s">
        <v>2087</v>
      </c>
      <c r="C924" s="19" t="s">
        <v>246</v>
      </c>
      <c r="D924" s="41" t="s">
        <v>2046</v>
      </c>
      <c r="E924" s="22" t="s">
        <v>261</v>
      </c>
      <c r="F924" s="22" t="s">
        <v>262</v>
      </c>
      <c r="G924" s="22">
        <v>45</v>
      </c>
      <c r="H924" s="22">
        <v>3</v>
      </c>
      <c r="I924" s="22" t="s">
        <v>11</v>
      </c>
      <c r="J924" s="23"/>
    </row>
    <row r="925" spans="1:10" hidden="1" outlineLevel="2">
      <c r="A925" s="23">
        <v>3</v>
      </c>
      <c r="B925" s="59" t="s">
        <v>2087</v>
      </c>
      <c r="C925" s="19" t="s">
        <v>246</v>
      </c>
      <c r="D925" s="41" t="s">
        <v>2046</v>
      </c>
      <c r="E925" s="22" t="s">
        <v>263</v>
      </c>
      <c r="F925" s="22" t="s">
        <v>264</v>
      </c>
      <c r="G925" s="22">
        <v>54</v>
      </c>
      <c r="H925" s="22">
        <v>3</v>
      </c>
      <c r="I925" s="22" t="s">
        <v>11</v>
      </c>
      <c r="J925" s="23"/>
    </row>
    <row r="926" spans="1:10" hidden="1" outlineLevel="2">
      <c r="A926" s="23">
        <v>3</v>
      </c>
      <c r="B926" s="59" t="s">
        <v>2087</v>
      </c>
      <c r="C926" s="19" t="s">
        <v>246</v>
      </c>
      <c r="D926" s="41" t="s">
        <v>2046</v>
      </c>
      <c r="E926" s="22" t="s">
        <v>265</v>
      </c>
      <c r="F926" s="22" t="s">
        <v>266</v>
      </c>
      <c r="G926" s="22">
        <v>50</v>
      </c>
      <c r="H926" s="22">
        <v>3</v>
      </c>
      <c r="I926" s="22" t="s">
        <v>11</v>
      </c>
      <c r="J926" s="23"/>
    </row>
    <row r="927" spans="1:10" hidden="1" outlineLevel="2">
      <c r="A927" s="23">
        <v>3</v>
      </c>
      <c r="B927" s="59" t="s">
        <v>2087</v>
      </c>
      <c r="C927" s="19" t="s">
        <v>246</v>
      </c>
      <c r="D927" s="41" t="s">
        <v>2046</v>
      </c>
      <c r="E927" s="22" t="s">
        <v>267</v>
      </c>
      <c r="F927" s="22" t="s">
        <v>268</v>
      </c>
      <c r="G927" s="22">
        <v>52</v>
      </c>
      <c r="H927" s="22">
        <v>3</v>
      </c>
      <c r="I927" s="22" t="s">
        <v>11</v>
      </c>
      <c r="J927" s="23"/>
    </row>
    <row r="928" spans="1:10" hidden="1" outlineLevel="2">
      <c r="A928" s="23">
        <v>3</v>
      </c>
      <c r="B928" s="59" t="s">
        <v>2087</v>
      </c>
      <c r="C928" s="19" t="s">
        <v>246</v>
      </c>
      <c r="D928" s="41" t="s">
        <v>2046</v>
      </c>
      <c r="E928" s="22" t="s">
        <v>269</v>
      </c>
      <c r="F928" s="22" t="s">
        <v>270</v>
      </c>
      <c r="G928" s="22">
        <v>47</v>
      </c>
      <c r="H928" s="22">
        <v>3</v>
      </c>
      <c r="I928" s="22" t="s">
        <v>11</v>
      </c>
      <c r="J928" s="23"/>
    </row>
    <row r="929" spans="1:10" hidden="1" outlineLevel="2">
      <c r="A929" s="23">
        <v>3</v>
      </c>
      <c r="B929" s="59" t="s">
        <v>2087</v>
      </c>
      <c r="C929" s="19" t="s">
        <v>246</v>
      </c>
      <c r="D929" s="41" t="s">
        <v>2046</v>
      </c>
      <c r="E929" s="22" t="s">
        <v>271</v>
      </c>
      <c r="F929" s="22" t="s">
        <v>272</v>
      </c>
      <c r="G929" s="22">
        <v>53</v>
      </c>
      <c r="H929" s="22">
        <v>3</v>
      </c>
      <c r="I929" s="22" t="s">
        <v>11</v>
      </c>
      <c r="J929" s="23"/>
    </row>
    <row r="930" spans="1:10" hidden="1" outlineLevel="2">
      <c r="A930" s="23">
        <v>3</v>
      </c>
      <c r="B930" s="59" t="s">
        <v>2087</v>
      </c>
      <c r="C930" s="19" t="s">
        <v>246</v>
      </c>
      <c r="D930" s="41" t="s">
        <v>2046</v>
      </c>
      <c r="E930" s="22" t="s">
        <v>273</v>
      </c>
      <c r="F930" s="22" t="s">
        <v>274</v>
      </c>
      <c r="G930" s="22">
        <v>48</v>
      </c>
      <c r="H930" s="22">
        <v>3</v>
      </c>
      <c r="I930" s="22" t="s">
        <v>11</v>
      </c>
      <c r="J930" s="23"/>
    </row>
    <row r="931" spans="1:10" hidden="1" outlineLevel="2">
      <c r="A931" s="23">
        <v>3</v>
      </c>
      <c r="B931" s="59" t="s">
        <v>2087</v>
      </c>
      <c r="C931" s="19" t="s">
        <v>246</v>
      </c>
      <c r="D931" s="41" t="s">
        <v>2046</v>
      </c>
      <c r="E931" s="22" t="s">
        <v>275</v>
      </c>
      <c r="F931" s="22" t="s">
        <v>276</v>
      </c>
      <c r="G931" s="22">
        <v>38</v>
      </c>
      <c r="H931" s="22">
        <v>3</v>
      </c>
      <c r="I931" s="22" t="s">
        <v>11</v>
      </c>
      <c r="J931" s="23"/>
    </row>
    <row r="932" spans="1:10" hidden="1" outlineLevel="2">
      <c r="A932" s="23">
        <v>3</v>
      </c>
      <c r="B932" s="59" t="s">
        <v>2087</v>
      </c>
      <c r="C932" s="19" t="s">
        <v>246</v>
      </c>
      <c r="D932" s="41" t="s">
        <v>2046</v>
      </c>
      <c r="E932" s="22" t="s">
        <v>277</v>
      </c>
      <c r="F932" s="22" t="s">
        <v>278</v>
      </c>
      <c r="G932" s="22">
        <v>46</v>
      </c>
      <c r="H932" s="22">
        <v>3</v>
      </c>
      <c r="I932" s="22" t="s">
        <v>11</v>
      </c>
      <c r="J932" s="23"/>
    </row>
    <row r="933" spans="1:10" outlineLevel="1" collapsed="1">
      <c r="A933" s="23"/>
      <c r="B933" s="59"/>
      <c r="D933" s="51" t="s">
        <v>2201</v>
      </c>
      <c r="E933" s="22">
        <f>SUBTOTAL(3,E917:E932)</f>
        <v>16</v>
      </c>
      <c r="F933" s="22"/>
      <c r="G933" s="22"/>
      <c r="H933" s="22"/>
      <c r="I933" s="22">
        <f>SUBTOTAL(3,I917:I932)</f>
        <v>16</v>
      </c>
      <c r="J933" s="23"/>
    </row>
    <row r="934" spans="1:10" hidden="1" outlineLevel="2">
      <c r="A934" s="23">
        <v>3</v>
      </c>
      <c r="B934" s="59" t="s">
        <v>2087</v>
      </c>
      <c r="C934" s="19" t="s">
        <v>25</v>
      </c>
      <c r="D934" s="41" t="s">
        <v>2047</v>
      </c>
      <c r="E934" s="22" t="s">
        <v>26</v>
      </c>
      <c r="F934" s="22" t="s">
        <v>27</v>
      </c>
      <c r="G934" s="22">
        <v>40</v>
      </c>
      <c r="H934" s="22">
        <v>3</v>
      </c>
      <c r="I934" s="22" t="s">
        <v>11</v>
      </c>
      <c r="J934" s="23"/>
    </row>
    <row r="935" spans="1:10" hidden="1" outlineLevel="2">
      <c r="A935" s="23">
        <v>3</v>
      </c>
      <c r="B935" s="59" t="s">
        <v>2087</v>
      </c>
      <c r="C935" s="19" t="s">
        <v>25</v>
      </c>
      <c r="D935" s="41" t="s">
        <v>2047</v>
      </c>
      <c r="E935" s="22" t="s">
        <v>28</v>
      </c>
      <c r="F935" s="22" t="s">
        <v>29</v>
      </c>
      <c r="G935" s="22">
        <v>41</v>
      </c>
      <c r="H935" s="22">
        <v>3</v>
      </c>
      <c r="I935" s="22" t="s">
        <v>11</v>
      </c>
      <c r="J935" s="23"/>
    </row>
    <row r="936" spans="1:10" hidden="1" outlineLevel="2">
      <c r="A936" s="23">
        <v>3</v>
      </c>
      <c r="B936" s="59" t="s">
        <v>2087</v>
      </c>
      <c r="C936" s="19" t="s">
        <v>25</v>
      </c>
      <c r="D936" s="41" t="s">
        <v>2047</v>
      </c>
      <c r="E936" s="22" t="s">
        <v>30</v>
      </c>
      <c r="F936" s="22" t="s">
        <v>31</v>
      </c>
      <c r="G936" s="22">
        <v>50</v>
      </c>
      <c r="H936" s="22">
        <v>3</v>
      </c>
      <c r="I936" s="22" t="s">
        <v>11</v>
      </c>
      <c r="J936" s="23"/>
    </row>
    <row r="937" spans="1:10" hidden="1" outlineLevel="2">
      <c r="A937" s="23">
        <v>3</v>
      </c>
      <c r="B937" s="59" t="s">
        <v>2087</v>
      </c>
      <c r="C937" s="19" t="s">
        <v>25</v>
      </c>
      <c r="D937" s="41" t="s">
        <v>2047</v>
      </c>
      <c r="E937" s="22" t="s">
        <v>32</v>
      </c>
      <c r="F937" s="22" t="s">
        <v>33</v>
      </c>
      <c r="G937" s="22">
        <v>47</v>
      </c>
      <c r="H937" s="22">
        <v>3</v>
      </c>
      <c r="I937" s="22" t="s">
        <v>11</v>
      </c>
      <c r="J937" s="23"/>
    </row>
    <row r="938" spans="1:10" hidden="1" outlineLevel="2">
      <c r="A938" s="23">
        <v>3</v>
      </c>
      <c r="B938" s="59" t="s">
        <v>2087</v>
      </c>
      <c r="C938" s="19" t="s">
        <v>25</v>
      </c>
      <c r="D938" s="41" t="s">
        <v>2047</v>
      </c>
      <c r="E938" s="22" t="s">
        <v>34</v>
      </c>
      <c r="F938" s="22" t="s">
        <v>35</v>
      </c>
      <c r="G938" s="22">
        <v>43</v>
      </c>
      <c r="H938" s="22">
        <v>3</v>
      </c>
      <c r="I938" s="22" t="s">
        <v>11</v>
      </c>
      <c r="J938" s="23"/>
    </row>
    <row r="939" spans="1:10" hidden="1" outlineLevel="2">
      <c r="A939" s="23">
        <v>3</v>
      </c>
      <c r="B939" s="59" t="s">
        <v>2087</v>
      </c>
      <c r="C939" s="19" t="s">
        <v>25</v>
      </c>
      <c r="D939" s="41" t="s">
        <v>2047</v>
      </c>
      <c r="E939" s="22" t="s">
        <v>36</v>
      </c>
      <c r="F939" s="22" t="s">
        <v>37</v>
      </c>
      <c r="G939" s="22">
        <v>41</v>
      </c>
      <c r="H939" s="22">
        <v>3</v>
      </c>
      <c r="I939" s="22" t="s">
        <v>11</v>
      </c>
      <c r="J939" s="23"/>
    </row>
    <row r="940" spans="1:10" hidden="1" outlineLevel="2">
      <c r="A940" s="23">
        <v>3</v>
      </c>
      <c r="B940" s="59" t="s">
        <v>2087</v>
      </c>
      <c r="C940" s="19" t="s">
        <v>25</v>
      </c>
      <c r="D940" s="41" t="s">
        <v>2047</v>
      </c>
      <c r="E940" s="22" t="s">
        <v>38</v>
      </c>
      <c r="F940" s="22" t="s">
        <v>39</v>
      </c>
      <c r="G940" s="22">
        <v>45</v>
      </c>
      <c r="H940" s="22">
        <v>3</v>
      </c>
      <c r="I940" s="22" t="s">
        <v>11</v>
      </c>
      <c r="J940" s="23"/>
    </row>
    <row r="941" spans="1:10" hidden="1" outlineLevel="2">
      <c r="A941" s="23">
        <v>3</v>
      </c>
      <c r="B941" s="59" t="s">
        <v>2087</v>
      </c>
      <c r="C941" s="19" t="s">
        <v>25</v>
      </c>
      <c r="D941" s="41" t="s">
        <v>2047</v>
      </c>
      <c r="E941" s="22" t="s">
        <v>40</v>
      </c>
      <c r="F941" s="22" t="s">
        <v>41</v>
      </c>
      <c r="G941" s="22">
        <v>50</v>
      </c>
      <c r="H941" s="22">
        <v>3</v>
      </c>
      <c r="I941" s="22" t="s">
        <v>11</v>
      </c>
      <c r="J941" s="23"/>
    </row>
    <row r="942" spans="1:10" hidden="1" outlineLevel="2">
      <c r="A942" s="23">
        <v>3</v>
      </c>
      <c r="B942" s="59" t="s">
        <v>2087</v>
      </c>
      <c r="C942" s="19" t="s">
        <v>25</v>
      </c>
      <c r="D942" s="41" t="s">
        <v>2047</v>
      </c>
      <c r="E942" s="22" t="s">
        <v>42</v>
      </c>
      <c r="F942" s="22" t="s">
        <v>43</v>
      </c>
      <c r="G942" s="22">
        <v>42</v>
      </c>
      <c r="H942" s="22">
        <v>3</v>
      </c>
      <c r="I942" s="22" t="s">
        <v>11</v>
      </c>
      <c r="J942" s="23"/>
    </row>
    <row r="943" spans="1:10" outlineLevel="1" collapsed="1">
      <c r="B943" s="59"/>
      <c r="D943" s="51" t="s">
        <v>2202</v>
      </c>
      <c r="E943" s="22">
        <f>SUBTOTAL(3,E934:E942)</f>
        <v>9</v>
      </c>
      <c r="F943" s="22"/>
      <c r="G943" s="22"/>
      <c r="H943" s="22"/>
      <c r="I943" s="22">
        <f>SUBTOTAL(3,I934:I942)</f>
        <v>9</v>
      </c>
      <c r="J943" s="23">
        <f>E943+E933+E916+E912</f>
        <v>36</v>
      </c>
    </row>
    <row r="944" spans="1:10" hidden="1" outlineLevel="2">
      <c r="A944" s="66">
        <v>4</v>
      </c>
      <c r="B944" s="66" t="s">
        <v>702</v>
      </c>
      <c r="C944" s="67" t="s">
        <v>335</v>
      </c>
      <c r="D944" s="63" t="s">
        <v>1968</v>
      </c>
      <c r="E944" s="61" t="s">
        <v>659</v>
      </c>
      <c r="F944" s="61" t="s">
        <v>660</v>
      </c>
      <c r="G944" s="61">
        <v>58</v>
      </c>
      <c r="H944" s="61">
        <v>2</v>
      </c>
      <c r="I944" s="61" t="s">
        <v>11</v>
      </c>
      <c r="J944" s="60"/>
    </row>
    <row r="945" spans="1:10" hidden="1" outlineLevel="2">
      <c r="A945" s="66">
        <v>4</v>
      </c>
      <c r="B945" s="66" t="s">
        <v>702</v>
      </c>
      <c r="C945" s="67" t="s">
        <v>335</v>
      </c>
      <c r="D945" s="63" t="s">
        <v>1968</v>
      </c>
      <c r="E945" s="61" t="s">
        <v>399</v>
      </c>
      <c r="F945" s="61" t="s">
        <v>400</v>
      </c>
      <c r="G945" s="61">
        <v>57</v>
      </c>
      <c r="H945" s="61">
        <v>2</v>
      </c>
      <c r="I945" s="61" t="s">
        <v>11</v>
      </c>
      <c r="J945" s="60"/>
    </row>
    <row r="946" spans="1:10" outlineLevel="1" collapsed="1">
      <c r="A946" s="66"/>
      <c r="B946" s="66"/>
      <c r="C946" s="67"/>
      <c r="D946" s="64" t="s">
        <v>2091</v>
      </c>
      <c r="E946" s="61">
        <f>SUBTOTAL(3,E944:E945)</f>
        <v>2</v>
      </c>
      <c r="F946" s="61"/>
      <c r="G946" s="61"/>
      <c r="H946" s="61"/>
      <c r="I946" s="61">
        <f>SUBTOTAL(3,I944:I945)</f>
        <v>2</v>
      </c>
      <c r="J946" s="60"/>
    </row>
    <row r="947" spans="1:10" hidden="1" outlineLevel="2">
      <c r="A947" s="66">
        <v>4</v>
      </c>
      <c r="B947" s="66" t="s">
        <v>702</v>
      </c>
      <c r="C947" s="67" t="s">
        <v>322</v>
      </c>
      <c r="D947" s="63" t="s">
        <v>1969</v>
      </c>
      <c r="E947" s="61" t="s">
        <v>323</v>
      </c>
      <c r="F947" s="61" t="s">
        <v>324</v>
      </c>
      <c r="G947" s="61">
        <v>59</v>
      </c>
      <c r="H947" s="61">
        <v>2</v>
      </c>
      <c r="I947" s="61" t="s">
        <v>11</v>
      </c>
      <c r="J947" s="60"/>
    </row>
    <row r="948" spans="1:10" outlineLevel="1" collapsed="1">
      <c r="A948" s="66"/>
      <c r="B948" s="66"/>
      <c r="C948" s="67"/>
      <c r="D948" s="64" t="s">
        <v>2092</v>
      </c>
      <c r="E948" s="61">
        <f>SUBTOTAL(3,E947:E947)</f>
        <v>1</v>
      </c>
      <c r="F948" s="61"/>
      <c r="G948" s="61"/>
      <c r="H948" s="61"/>
      <c r="I948" s="61">
        <f>SUBTOTAL(3,I947:I947)</f>
        <v>1</v>
      </c>
      <c r="J948" s="60"/>
    </row>
    <row r="949" spans="1:10" hidden="1" outlineLevel="2">
      <c r="A949" s="66">
        <v>4</v>
      </c>
      <c r="B949" s="66" t="s">
        <v>702</v>
      </c>
      <c r="C949" s="67" t="s">
        <v>301</v>
      </c>
      <c r="D949" s="63" t="s">
        <v>1970</v>
      </c>
      <c r="E949" s="61" t="s">
        <v>304</v>
      </c>
      <c r="F949" s="61" t="s">
        <v>305</v>
      </c>
      <c r="G949" s="61">
        <v>56</v>
      </c>
      <c r="H949" s="61">
        <v>2</v>
      </c>
      <c r="I949" s="61" t="s">
        <v>11</v>
      </c>
      <c r="J949" s="60"/>
    </row>
    <row r="950" spans="1:10" hidden="1" outlineLevel="2">
      <c r="A950" s="66">
        <v>4</v>
      </c>
      <c r="B950" s="66" t="s">
        <v>702</v>
      </c>
      <c r="C950" s="67" t="s">
        <v>301</v>
      </c>
      <c r="D950" s="63" t="s">
        <v>1970</v>
      </c>
      <c r="E950" s="61" t="s">
        <v>705</v>
      </c>
      <c r="F950" s="61" t="s">
        <v>706</v>
      </c>
      <c r="G950" s="61">
        <v>43</v>
      </c>
      <c r="H950" s="61">
        <v>2</v>
      </c>
      <c r="I950" s="61" t="s">
        <v>11</v>
      </c>
      <c r="J950" s="60"/>
    </row>
    <row r="951" spans="1:10" hidden="1" outlineLevel="2">
      <c r="A951" s="66">
        <v>4</v>
      </c>
      <c r="B951" s="66" t="s">
        <v>702</v>
      </c>
      <c r="C951" s="67" t="s">
        <v>301</v>
      </c>
      <c r="D951" s="63" t="s">
        <v>1970</v>
      </c>
      <c r="E951" s="61" t="s">
        <v>318</v>
      </c>
      <c r="F951" s="61" t="s">
        <v>319</v>
      </c>
      <c r="G951" s="61">
        <v>48</v>
      </c>
      <c r="H951" s="61">
        <v>2</v>
      </c>
      <c r="I951" s="61" t="s">
        <v>11</v>
      </c>
      <c r="J951" s="60"/>
    </row>
    <row r="952" spans="1:10" outlineLevel="1" collapsed="1">
      <c r="A952" s="66"/>
      <c r="B952" s="66"/>
      <c r="C952" s="67"/>
      <c r="D952" s="64" t="s">
        <v>2093</v>
      </c>
      <c r="E952" s="61">
        <f>SUBTOTAL(3,E949:E951)</f>
        <v>3</v>
      </c>
      <c r="F952" s="61"/>
      <c r="G952" s="61"/>
      <c r="H952" s="61"/>
      <c r="I952" s="61">
        <f>SUBTOTAL(3,I949:I951)</f>
        <v>3</v>
      </c>
      <c r="J952" s="60"/>
    </row>
    <row r="953" spans="1:10" hidden="1" outlineLevel="2">
      <c r="A953" s="66">
        <v>4</v>
      </c>
      <c r="B953" s="66" t="s">
        <v>702</v>
      </c>
      <c r="C953" s="67" t="s">
        <v>141</v>
      </c>
      <c r="D953" s="63" t="s">
        <v>1971</v>
      </c>
      <c r="E953" s="61" t="s">
        <v>148</v>
      </c>
      <c r="F953" s="61" t="s">
        <v>149</v>
      </c>
      <c r="G953" s="61">
        <v>52</v>
      </c>
      <c r="H953" s="61">
        <v>2</v>
      </c>
      <c r="I953" s="61" t="s">
        <v>11</v>
      </c>
      <c r="J953" s="60"/>
    </row>
    <row r="954" spans="1:10" outlineLevel="1" collapsed="1">
      <c r="A954" s="66"/>
      <c r="B954" s="66"/>
      <c r="C954" s="67"/>
      <c r="D954" s="64" t="s">
        <v>2094</v>
      </c>
      <c r="E954" s="61">
        <f>SUBTOTAL(3,E953:E953)</f>
        <v>1</v>
      </c>
      <c r="F954" s="61"/>
      <c r="G954" s="61"/>
      <c r="H954" s="61"/>
      <c r="I954" s="61">
        <f>SUBTOTAL(3,I953:I953)</f>
        <v>1</v>
      </c>
      <c r="J954" s="60"/>
    </row>
    <row r="955" spans="1:10" hidden="1" outlineLevel="2">
      <c r="A955" s="66">
        <v>4</v>
      </c>
      <c r="B955" s="66" t="s">
        <v>702</v>
      </c>
      <c r="C955" s="67" t="s">
        <v>25</v>
      </c>
      <c r="D955" s="63" t="s">
        <v>1972</v>
      </c>
      <c r="E955" s="61" t="s">
        <v>38</v>
      </c>
      <c r="F955" s="61" t="s">
        <v>39</v>
      </c>
      <c r="G955" s="61">
        <v>58</v>
      </c>
      <c r="H955" s="61">
        <v>2</v>
      </c>
      <c r="I955" s="61" t="s">
        <v>11</v>
      </c>
      <c r="J955" s="60"/>
    </row>
    <row r="956" spans="1:10" hidden="1" outlineLevel="2">
      <c r="A956" s="66">
        <v>4</v>
      </c>
      <c r="B956" s="66" t="s">
        <v>702</v>
      </c>
      <c r="C956" s="67" t="s">
        <v>25</v>
      </c>
      <c r="D956" s="63" t="s">
        <v>1972</v>
      </c>
      <c r="E956" s="61" t="s">
        <v>703</v>
      </c>
      <c r="F956" s="61" t="s">
        <v>704</v>
      </c>
      <c r="G956" s="61">
        <v>56</v>
      </c>
      <c r="H956" s="61">
        <v>2</v>
      </c>
      <c r="I956" s="61" t="s">
        <v>11</v>
      </c>
      <c r="J956" s="60"/>
    </row>
    <row r="957" spans="1:10" outlineLevel="1" collapsed="1">
      <c r="A957" s="66"/>
      <c r="B957" s="66"/>
      <c r="C957" s="67"/>
      <c r="D957" s="64" t="s">
        <v>2095</v>
      </c>
      <c r="E957" s="61">
        <f>SUBTOTAL(3,E955:E956)</f>
        <v>2</v>
      </c>
      <c r="F957" s="61"/>
      <c r="G957" s="61"/>
      <c r="H957" s="61"/>
      <c r="I957" s="61">
        <f>SUBTOTAL(3,I955:I956)</f>
        <v>2</v>
      </c>
      <c r="J957" s="60"/>
    </row>
    <row r="958" spans="1:10" hidden="1" outlineLevel="2">
      <c r="A958" s="66">
        <v>4</v>
      </c>
      <c r="B958" s="66" t="s">
        <v>702</v>
      </c>
      <c r="C958" s="67" t="s">
        <v>1020</v>
      </c>
      <c r="D958" s="63" t="str">
        <f>B958&amp;"-"&amp;C958</f>
        <v>公民與社會-鑄造二乙</v>
      </c>
      <c r="E958" s="61" t="s">
        <v>1545</v>
      </c>
      <c r="F958" s="61" t="s">
        <v>1546</v>
      </c>
      <c r="G958" s="61">
        <v>51</v>
      </c>
      <c r="H958" s="61">
        <v>2</v>
      </c>
      <c r="I958" s="61" t="s">
        <v>11</v>
      </c>
      <c r="J958" s="60"/>
    </row>
    <row r="959" spans="1:10" hidden="1" outlineLevel="2">
      <c r="A959" s="66">
        <v>4</v>
      </c>
      <c r="B959" s="66" t="s">
        <v>702</v>
      </c>
      <c r="C959" s="67" t="s">
        <v>1020</v>
      </c>
      <c r="D959" s="63" t="str">
        <f>B959&amp;"-"&amp;C959</f>
        <v>公民與社會-鑄造二乙</v>
      </c>
      <c r="E959" s="61" t="s">
        <v>1025</v>
      </c>
      <c r="F959" s="61" t="s">
        <v>1026</v>
      </c>
      <c r="G959" s="61">
        <v>55</v>
      </c>
      <c r="H959" s="61">
        <v>2</v>
      </c>
      <c r="I959" s="61" t="s">
        <v>11</v>
      </c>
      <c r="J959" s="60"/>
    </row>
    <row r="960" spans="1:10" outlineLevel="1" collapsed="1">
      <c r="A960" s="66"/>
      <c r="B960" s="66"/>
      <c r="C960" s="67"/>
      <c r="D960" s="64" t="s">
        <v>1893</v>
      </c>
      <c r="E960" s="61">
        <f>SUBTOTAL(3,E958:E959)</f>
        <v>2</v>
      </c>
      <c r="F960" s="61"/>
      <c r="G960" s="61"/>
      <c r="H960" s="61"/>
      <c r="I960" s="61">
        <f>SUBTOTAL(3,I958:I959)</f>
        <v>2</v>
      </c>
      <c r="J960" s="60"/>
    </row>
    <row r="961" spans="1:10" hidden="1" outlineLevel="2">
      <c r="A961" s="66">
        <v>4</v>
      </c>
      <c r="B961" s="68" t="s">
        <v>1945</v>
      </c>
      <c r="C961" s="67" t="s">
        <v>968</v>
      </c>
      <c r="D961" s="63" t="str">
        <f>B961&amp;"-"&amp;C961</f>
        <v>地理6-體育二甲</v>
      </c>
      <c r="E961" s="61" t="s">
        <v>1279</v>
      </c>
      <c r="F961" s="61" t="s">
        <v>1280</v>
      </c>
      <c r="G961" s="61">
        <v>55</v>
      </c>
      <c r="H961" s="61">
        <v>2</v>
      </c>
      <c r="I961" s="61" t="s">
        <v>11</v>
      </c>
      <c r="J961" s="60"/>
    </row>
    <row r="962" spans="1:10" outlineLevel="1" collapsed="1">
      <c r="A962" s="66"/>
      <c r="B962" s="68"/>
      <c r="C962" s="67"/>
      <c r="D962" s="64" t="s">
        <v>2098</v>
      </c>
      <c r="E962" s="61">
        <f>SUBTOTAL(3,E961:E961)</f>
        <v>1</v>
      </c>
      <c r="F962" s="61"/>
      <c r="G962" s="61"/>
      <c r="H962" s="61"/>
      <c r="I962" s="61">
        <f>SUBTOTAL(3,I961:I961)</f>
        <v>1</v>
      </c>
      <c r="J962" s="60"/>
    </row>
    <row r="963" spans="1:10" hidden="1" outlineLevel="2">
      <c r="A963" s="66">
        <v>4</v>
      </c>
      <c r="B963" s="66" t="s">
        <v>709</v>
      </c>
      <c r="C963" s="67" t="s">
        <v>1083</v>
      </c>
      <c r="D963" s="63" t="str">
        <f>B963&amp;"-"&amp;C963</f>
        <v>地理-資訊二甲</v>
      </c>
      <c r="E963" s="61" t="s">
        <v>1092</v>
      </c>
      <c r="F963" s="61" t="s">
        <v>1093</v>
      </c>
      <c r="G963" s="61">
        <v>54</v>
      </c>
      <c r="H963" s="61">
        <v>2</v>
      </c>
      <c r="I963" s="61" t="s">
        <v>11</v>
      </c>
      <c r="J963" s="60"/>
    </row>
    <row r="964" spans="1:10" outlineLevel="1" collapsed="1">
      <c r="A964" s="66"/>
      <c r="B964" s="66"/>
      <c r="C964" s="67"/>
      <c r="D964" s="64" t="s">
        <v>1903</v>
      </c>
      <c r="E964" s="61">
        <f>SUBTOTAL(3,E963:E963)</f>
        <v>1</v>
      </c>
      <c r="F964" s="61"/>
      <c r="G964" s="61"/>
      <c r="H964" s="61"/>
      <c r="I964" s="61">
        <f>SUBTOTAL(3,I963:I963)</f>
        <v>1</v>
      </c>
      <c r="J964" s="60"/>
    </row>
    <row r="965" spans="1:10" hidden="1" outlineLevel="2">
      <c r="A965" s="66">
        <v>4</v>
      </c>
      <c r="B965" s="66" t="s">
        <v>709</v>
      </c>
      <c r="C965" s="67" t="s">
        <v>1231</v>
      </c>
      <c r="D965" s="63" t="str">
        <f>B965&amp;"-"&amp;C965</f>
        <v>地理-製圖二乙</v>
      </c>
      <c r="E965" s="61" t="s">
        <v>1232</v>
      </c>
      <c r="F965" s="61" t="s">
        <v>1233</v>
      </c>
      <c r="G965" s="61">
        <v>53</v>
      </c>
      <c r="H965" s="61">
        <v>2</v>
      </c>
      <c r="I965" s="61" t="s">
        <v>11</v>
      </c>
      <c r="J965" s="60"/>
    </row>
    <row r="966" spans="1:10" hidden="1" outlineLevel="2">
      <c r="A966" s="66">
        <v>4</v>
      </c>
      <c r="B966" s="66" t="s">
        <v>709</v>
      </c>
      <c r="C966" s="67" t="s">
        <v>1231</v>
      </c>
      <c r="D966" s="63" t="str">
        <f>B966&amp;"-"&amp;C966</f>
        <v>地理-製圖二乙</v>
      </c>
      <c r="E966" s="61" t="s">
        <v>1426</v>
      </c>
      <c r="F966" s="61" t="s">
        <v>1427</v>
      </c>
      <c r="G966" s="61">
        <v>41</v>
      </c>
      <c r="H966" s="61">
        <v>2</v>
      </c>
      <c r="I966" s="61" t="s">
        <v>11</v>
      </c>
      <c r="J966" s="60"/>
    </row>
    <row r="967" spans="1:10" outlineLevel="1" collapsed="1">
      <c r="A967" s="66"/>
      <c r="B967" s="66"/>
      <c r="C967" s="67"/>
      <c r="D967" s="64" t="s">
        <v>1904</v>
      </c>
      <c r="E967" s="61">
        <f>SUBTOTAL(3,E965:E966)</f>
        <v>2</v>
      </c>
      <c r="F967" s="61"/>
      <c r="G967" s="61"/>
      <c r="H967" s="61"/>
      <c r="I967" s="61">
        <f>SUBTOTAL(3,I965:I966)</f>
        <v>2</v>
      </c>
      <c r="J967" s="60"/>
    </row>
    <row r="968" spans="1:10" hidden="1" outlineLevel="2">
      <c r="A968" s="66">
        <v>4</v>
      </c>
      <c r="B968" s="66" t="s">
        <v>709</v>
      </c>
      <c r="C968" s="67" t="s">
        <v>1102</v>
      </c>
      <c r="D968" s="63" t="str">
        <f>B968&amp;"-"&amp;C968</f>
        <v>地理-製圖二丙</v>
      </c>
      <c r="E968" s="61" t="s">
        <v>1445</v>
      </c>
      <c r="F968" s="61" t="s">
        <v>1446</v>
      </c>
      <c r="G968" s="61">
        <v>55</v>
      </c>
      <c r="H968" s="61">
        <v>2</v>
      </c>
      <c r="I968" s="61" t="s">
        <v>11</v>
      </c>
      <c r="J968" s="60"/>
    </row>
    <row r="969" spans="1:10" hidden="1" outlineLevel="2">
      <c r="A969" s="66">
        <v>4</v>
      </c>
      <c r="B969" s="66" t="s">
        <v>709</v>
      </c>
      <c r="C969" s="67" t="s">
        <v>1102</v>
      </c>
      <c r="D969" s="63" t="str">
        <f>B969&amp;"-"&amp;C969</f>
        <v>地理-製圖二丙</v>
      </c>
      <c r="E969" s="61" t="s">
        <v>1123</v>
      </c>
      <c r="F969" s="61" t="s">
        <v>1124</v>
      </c>
      <c r="G969" s="61">
        <v>52</v>
      </c>
      <c r="H969" s="61">
        <v>2</v>
      </c>
      <c r="I969" s="61" t="s">
        <v>11</v>
      </c>
      <c r="J969" s="60"/>
    </row>
    <row r="970" spans="1:10" outlineLevel="1" collapsed="1">
      <c r="A970" s="66"/>
      <c r="B970" s="66"/>
      <c r="C970" s="67"/>
      <c r="D970" s="64" t="s">
        <v>1905</v>
      </c>
      <c r="E970" s="61">
        <f>SUBTOTAL(3,E968:E969)</f>
        <v>2</v>
      </c>
      <c r="F970" s="61"/>
      <c r="G970" s="61"/>
      <c r="H970" s="61"/>
      <c r="I970" s="61">
        <f>SUBTOTAL(3,I968:I969)</f>
        <v>2</v>
      </c>
      <c r="J970" s="60"/>
    </row>
    <row r="971" spans="1:10" hidden="1" outlineLevel="2">
      <c r="A971" s="66">
        <v>4</v>
      </c>
      <c r="B971" s="66" t="s">
        <v>709</v>
      </c>
      <c r="C971" s="67" t="s">
        <v>1191</v>
      </c>
      <c r="D971" s="63" t="str">
        <f>B971&amp;"-"&amp;C971</f>
        <v>地理-製圖二甲</v>
      </c>
      <c r="E971" s="61" t="s">
        <v>1503</v>
      </c>
      <c r="F971" s="61" t="s">
        <v>1504</v>
      </c>
      <c r="G971" s="61">
        <v>50</v>
      </c>
      <c r="H971" s="61">
        <v>2</v>
      </c>
      <c r="I971" s="61" t="s">
        <v>11</v>
      </c>
      <c r="J971" s="60"/>
    </row>
    <row r="972" spans="1:10" hidden="1" outlineLevel="2">
      <c r="A972" s="66">
        <v>4</v>
      </c>
      <c r="B972" s="66" t="s">
        <v>709</v>
      </c>
      <c r="C972" s="67" t="s">
        <v>1191</v>
      </c>
      <c r="D972" s="63" t="str">
        <f>B972&amp;"-"&amp;C972</f>
        <v>地理-製圖二甲</v>
      </c>
      <c r="E972" s="61" t="s">
        <v>1198</v>
      </c>
      <c r="F972" s="61" t="s">
        <v>1199</v>
      </c>
      <c r="G972" s="61">
        <v>42</v>
      </c>
      <c r="H972" s="61">
        <v>2</v>
      </c>
      <c r="I972" s="61" t="s">
        <v>11</v>
      </c>
      <c r="J972" s="60"/>
    </row>
    <row r="973" spans="1:10" outlineLevel="1" collapsed="1">
      <c r="A973" s="66"/>
      <c r="B973" s="66"/>
      <c r="C973" s="67"/>
      <c r="D973" s="64" t="s">
        <v>1906</v>
      </c>
      <c r="E973" s="61">
        <f>SUBTOTAL(3,E971:E972)</f>
        <v>2</v>
      </c>
      <c r="F973" s="61"/>
      <c r="G973" s="61"/>
      <c r="H973" s="61"/>
      <c r="I973" s="61">
        <f>SUBTOTAL(3,I971:I972)</f>
        <v>2</v>
      </c>
      <c r="J973" s="60"/>
    </row>
    <row r="974" spans="1:10" hidden="1" outlineLevel="2">
      <c r="A974" s="66">
        <v>4</v>
      </c>
      <c r="B974" s="66" t="s">
        <v>709</v>
      </c>
      <c r="C974" s="67" t="s">
        <v>1171</v>
      </c>
      <c r="D974" s="63" t="str">
        <f>B974&amp;"-"&amp;C974</f>
        <v>地理-機械二乙</v>
      </c>
      <c r="E974" s="61" t="s">
        <v>1251</v>
      </c>
      <c r="F974" s="61" t="s">
        <v>1252</v>
      </c>
      <c r="G974" s="61">
        <v>55</v>
      </c>
      <c r="H974" s="61">
        <v>2</v>
      </c>
      <c r="I974" s="61" t="s">
        <v>11</v>
      </c>
      <c r="J974" s="60"/>
    </row>
    <row r="975" spans="1:10" hidden="1" outlineLevel="2">
      <c r="A975" s="66">
        <v>4</v>
      </c>
      <c r="B975" s="66" t="s">
        <v>709</v>
      </c>
      <c r="C975" s="67" t="s">
        <v>1171</v>
      </c>
      <c r="D975" s="63" t="str">
        <f>B975&amp;"-"&amp;C975</f>
        <v>地理-機械二乙</v>
      </c>
      <c r="E975" s="61" t="s">
        <v>1178</v>
      </c>
      <c r="F975" s="61" t="s">
        <v>1179</v>
      </c>
      <c r="G975" s="61">
        <v>51</v>
      </c>
      <c r="H975" s="61">
        <v>2</v>
      </c>
      <c r="I975" s="61" t="s">
        <v>11</v>
      </c>
      <c r="J975" s="60"/>
    </row>
    <row r="976" spans="1:10" hidden="1" outlineLevel="2">
      <c r="A976" s="66">
        <v>4</v>
      </c>
      <c r="B976" s="66" t="s">
        <v>709</v>
      </c>
      <c r="C976" s="67" t="s">
        <v>1171</v>
      </c>
      <c r="D976" s="63" t="str">
        <f>B976&amp;"-"&amp;C976</f>
        <v>地理-機械二乙</v>
      </c>
      <c r="E976" s="61" t="s">
        <v>1253</v>
      </c>
      <c r="F976" s="61" t="s">
        <v>1254</v>
      </c>
      <c r="G976" s="61">
        <v>55</v>
      </c>
      <c r="H976" s="61">
        <v>2</v>
      </c>
      <c r="I976" s="61" t="s">
        <v>11</v>
      </c>
      <c r="J976" s="60"/>
    </row>
    <row r="977" spans="1:10" outlineLevel="1" collapsed="1">
      <c r="A977" s="66"/>
      <c r="B977" s="66"/>
      <c r="C977" s="67"/>
      <c r="D977" s="64" t="s">
        <v>1907</v>
      </c>
      <c r="E977" s="61">
        <f>SUBTOTAL(3,E974:E976)</f>
        <v>3</v>
      </c>
      <c r="F977" s="61"/>
      <c r="G977" s="61"/>
      <c r="H977" s="61"/>
      <c r="I977" s="61">
        <f>SUBTOTAL(3,I974:I976)</f>
        <v>3</v>
      </c>
      <c r="J977" s="60">
        <f>E977+E973+E970+E967+E964+E962+E960+E957+E954+E952+E948+E946</f>
        <v>22</v>
      </c>
    </row>
    <row r="978" spans="1:10" hidden="1" outlineLevel="2">
      <c r="A978" s="66">
        <v>4</v>
      </c>
      <c r="B978" s="66" t="s">
        <v>2026</v>
      </c>
      <c r="C978" s="67" t="s">
        <v>171</v>
      </c>
      <c r="D978" s="63" t="s">
        <v>2027</v>
      </c>
      <c r="E978" s="61" t="s">
        <v>797</v>
      </c>
      <c r="F978" s="61" t="s">
        <v>798</v>
      </c>
      <c r="G978" s="61">
        <v>40</v>
      </c>
      <c r="H978" s="61">
        <v>1</v>
      </c>
      <c r="I978" s="61" t="s">
        <v>11</v>
      </c>
      <c r="J978" s="60"/>
    </row>
    <row r="979" spans="1:10" outlineLevel="1" collapsed="1">
      <c r="A979" s="66"/>
      <c r="B979" s="66"/>
      <c r="C979" s="67"/>
      <c r="D979" s="64" t="s">
        <v>2155</v>
      </c>
      <c r="E979" s="61">
        <f>SUBTOTAL(3,E978:E978)</f>
        <v>1</v>
      </c>
      <c r="F979" s="61"/>
      <c r="G979" s="61"/>
      <c r="H979" s="61"/>
      <c r="I979" s="61">
        <f>SUBTOTAL(3,I978:I978)</f>
        <v>1</v>
      </c>
      <c r="J979" s="60"/>
    </row>
    <row r="980" spans="1:10" hidden="1" outlineLevel="2">
      <c r="A980" s="66">
        <v>4</v>
      </c>
      <c r="B980" s="66" t="s">
        <v>828</v>
      </c>
      <c r="C980" s="67" t="s">
        <v>174</v>
      </c>
      <c r="D980" s="63" t="s">
        <v>2017</v>
      </c>
      <c r="E980" s="61" t="s">
        <v>831</v>
      </c>
      <c r="F980" s="61" t="s">
        <v>832</v>
      </c>
      <c r="G980" s="61">
        <v>40</v>
      </c>
      <c r="H980" s="61">
        <v>1</v>
      </c>
      <c r="I980" s="61" t="s">
        <v>11</v>
      </c>
      <c r="J980" s="60"/>
    </row>
    <row r="981" spans="1:10" outlineLevel="1" collapsed="1">
      <c r="A981" s="66"/>
      <c r="B981" s="66"/>
      <c r="C981" s="67"/>
      <c r="D981" s="64" t="s">
        <v>2156</v>
      </c>
      <c r="E981" s="61">
        <f>SUBTOTAL(3,E980:E980)</f>
        <v>1</v>
      </c>
      <c r="F981" s="61"/>
      <c r="G981" s="61"/>
      <c r="H981" s="61"/>
      <c r="I981" s="61">
        <f>SUBTOTAL(3,I980:I980)</f>
        <v>1</v>
      </c>
      <c r="J981" s="60"/>
    </row>
    <row r="982" spans="1:10" hidden="1" outlineLevel="2">
      <c r="A982" s="66">
        <v>4</v>
      </c>
      <c r="B982" s="66" t="s">
        <v>828</v>
      </c>
      <c r="C982" s="67" t="s">
        <v>65</v>
      </c>
      <c r="D982" s="63" t="s">
        <v>2018</v>
      </c>
      <c r="E982" s="61" t="s">
        <v>80</v>
      </c>
      <c r="F982" s="61" t="s">
        <v>81</v>
      </c>
      <c r="G982" s="61">
        <v>52</v>
      </c>
      <c r="H982" s="61">
        <v>1</v>
      </c>
      <c r="I982" s="61" t="s">
        <v>11</v>
      </c>
      <c r="J982" s="60"/>
    </row>
    <row r="983" spans="1:10" outlineLevel="1" collapsed="1">
      <c r="A983" s="66"/>
      <c r="B983" s="66"/>
      <c r="C983" s="67"/>
      <c r="D983" s="64" t="s">
        <v>2157</v>
      </c>
      <c r="E983" s="61">
        <f>SUBTOTAL(3,E982:E982)</f>
        <v>1</v>
      </c>
      <c r="F983" s="61"/>
      <c r="G983" s="61"/>
      <c r="H983" s="61"/>
      <c r="I983" s="61">
        <f>SUBTOTAL(3,I982:I982)</f>
        <v>1</v>
      </c>
      <c r="J983" s="60"/>
    </row>
    <row r="984" spans="1:10" hidden="1" outlineLevel="2">
      <c r="A984" s="66">
        <v>4</v>
      </c>
      <c r="B984" s="66" t="s">
        <v>828</v>
      </c>
      <c r="C984" s="67" t="s">
        <v>44</v>
      </c>
      <c r="D984" s="63" t="s">
        <v>2019</v>
      </c>
      <c r="E984" s="61" t="s">
        <v>51</v>
      </c>
      <c r="F984" s="61" t="s">
        <v>52</v>
      </c>
      <c r="G984" s="61">
        <v>47</v>
      </c>
      <c r="H984" s="61">
        <v>1</v>
      </c>
      <c r="I984" s="61" t="s">
        <v>11</v>
      </c>
      <c r="J984" s="60"/>
    </row>
    <row r="985" spans="1:10" outlineLevel="1" collapsed="1">
      <c r="A985" s="66"/>
      <c r="B985" s="66"/>
      <c r="C985" s="67"/>
      <c r="D985" s="64" t="s">
        <v>2158</v>
      </c>
      <c r="E985" s="61">
        <f>SUBTOTAL(3,E984:E984)</f>
        <v>1</v>
      </c>
      <c r="F985" s="61"/>
      <c r="G985" s="61"/>
      <c r="H985" s="61"/>
      <c r="I985" s="61">
        <f>SUBTOTAL(3,I984:I984)</f>
        <v>1</v>
      </c>
      <c r="J985" s="60"/>
    </row>
    <row r="986" spans="1:10" hidden="1" outlineLevel="2">
      <c r="A986" s="66">
        <v>4</v>
      </c>
      <c r="B986" s="66" t="s">
        <v>828</v>
      </c>
      <c r="C986" s="67" t="s">
        <v>122</v>
      </c>
      <c r="D986" s="63" t="s">
        <v>2020</v>
      </c>
      <c r="E986" s="61" t="s">
        <v>131</v>
      </c>
      <c r="F986" s="61" t="s">
        <v>132</v>
      </c>
      <c r="G986" s="61">
        <v>43</v>
      </c>
      <c r="H986" s="61">
        <v>1</v>
      </c>
      <c r="I986" s="61" t="s">
        <v>11</v>
      </c>
      <c r="J986" s="60"/>
    </row>
    <row r="987" spans="1:10" outlineLevel="1" collapsed="1">
      <c r="A987" s="66"/>
      <c r="B987" s="66"/>
      <c r="C987" s="67"/>
      <c r="D987" s="64" t="s">
        <v>2159</v>
      </c>
      <c r="E987" s="61">
        <f>SUBTOTAL(3,E986:E986)</f>
        <v>1</v>
      </c>
      <c r="F987" s="61"/>
      <c r="G987" s="61"/>
      <c r="H987" s="61"/>
      <c r="I987" s="61">
        <f>SUBTOTAL(3,I986:I986)</f>
        <v>1</v>
      </c>
      <c r="J987" s="60"/>
    </row>
    <row r="988" spans="1:10" hidden="1" outlineLevel="2">
      <c r="A988" s="66">
        <v>4</v>
      </c>
      <c r="B988" s="66" t="s">
        <v>828</v>
      </c>
      <c r="C988" s="67" t="s">
        <v>194</v>
      </c>
      <c r="D988" s="63" t="s">
        <v>2021</v>
      </c>
      <c r="E988" s="61" t="s">
        <v>761</v>
      </c>
      <c r="F988" s="61" t="s">
        <v>762</v>
      </c>
      <c r="G988" s="61">
        <v>40</v>
      </c>
      <c r="H988" s="61">
        <v>1</v>
      </c>
      <c r="I988" s="61" t="s">
        <v>11</v>
      </c>
      <c r="J988" s="60"/>
    </row>
    <row r="989" spans="1:10" outlineLevel="1" collapsed="1">
      <c r="A989" s="66"/>
      <c r="B989" s="66"/>
      <c r="C989" s="67"/>
      <c r="D989" s="64" t="s">
        <v>2160</v>
      </c>
      <c r="E989" s="61">
        <f>SUBTOTAL(3,E988:E988)</f>
        <v>1</v>
      </c>
      <c r="F989" s="61"/>
      <c r="G989" s="61"/>
      <c r="H989" s="61"/>
      <c r="I989" s="61">
        <f>SUBTOTAL(3,I988:I988)</f>
        <v>1</v>
      </c>
      <c r="J989" s="60"/>
    </row>
    <row r="990" spans="1:10" hidden="1" outlineLevel="2">
      <c r="A990" s="66">
        <v>4</v>
      </c>
      <c r="B990" s="66" t="s">
        <v>828</v>
      </c>
      <c r="C990" s="67" t="s">
        <v>301</v>
      </c>
      <c r="D990" s="63" t="s">
        <v>2022</v>
      </c>
      <c r="E990" s="61" t="s">
        <v>304</v>
      </c>
      <c r="F990" s="61" t="s">
        <v>305</v>
      </c>
      <c r="G990" s="61">
        <v>50</v>
      </c>
      <c r="H990" s="61">
        <v>1</v>
      </c>
      <c r="I990" s="61" t="s">
        <v>11</v>
      </c>
      <c r="J990" s="60"/>
    </row>
    <row r="991" spans="1:10" hidden="1" outlineLevel="2">
      <c r="A991" s="66">
        <v>4</v>
      </c>
      <c r="B991" s="66" t="s">
        <v>828</v>
      </c>
      <c r="C991" s="67" t="s">
        <v>301</v>
      </c>
      <c r="D991" s="63" t="s">
        <v>2022</v>
      </c>
      <c r="E991" s="61" t="s">
        <v>314</v>
      </c>
      <c r="F991" s="61" t="s">
        <v>315</v>
      </c>
      <c r="G991" s="61">
        <v>54</v>
      </c>
      <c r="H991" s="61">
        <v>1</v>
      </c>
      <c r="I991" s="61" t="s">
        <v>11</v>
      </c>
      <c r="J991" s="60"/>
    </row>
    <row r="992" spans="1:10" hidden="1" outlineLevel="2">
      <c r="A992" s="66">
        <v>4</v>
      </c>
      <c r="B992" s="66" t="s">
        <v>828</v>
      </c>
      <c r="C992" s="67" t="s">
        <v>301</v>
      </c>
      <c r="D992" s="63" t="s">
        <v>2022</v>
      </c>
      <c r="E992" s="61" t="s">
        <v>705</v>
      </c>
      <c r="F992" s="61" t="s">
        <v>706</v>
      </c>
      <c r="G992" s="61">
        <v>43</v>
      </c>
      <c r="H992" s="61">
        <v>1</v>
      </c>
      <c r="I992" s="61" t="s">
        <v>11</v>
      </c>
      <c r="J992" s="60"/>
    </row>
    <row r="993" spans="1:10" outlineLevel="1" collapsed="1">
      <c r="A993" s="66"/>
      <c r="B993" s="66"/>
      <c r="C993" s="67"/>
      <c r="D993" s="64" t="s">
        <v>2161</v>
      </c>
      <c r="E993" s="61">
        <f>SUBTOTAL(3,E990:E992)</f>
        <v>3</v>
      </c>
      <c r="F993" s="61"/>
      <c r="G993" s="61"/>
      <c r="H993" s="61"/>
      <c r="I993" s="61">
        <f>SUBTOTAL(3,I990:I992)</f>
        <v>3</v>
      </c>
      <c r="J993" s="60"/>
    </row>
    <row r="994" spans="1:10" hidden="1" outlineLevel="2">
      <c r="A994" s="66">
        <v>4</v>
      </c>
      <c r="B994" s="66" t="s">
        <v>828</v>
      </c>
      <c r="C994" s="67" t="s">
        <v>7</v>
      </c>
      <c r="D994" s="63" t="s">
        <v>2023</v>
      </c>
      <c r="E994" s="61" t="s">
        <v>745</v>
      </c>
      <c r="F994" s="61" t="s">
        <v>746</v>
      </c>
      <c r="G994" s="61">
        <v>50</v>
      </c>
      <c r="H994" s="61">
        <v>1</v>
      </c>
      <c r="I994" s="61" t="s">
        <v>11</v>
      </c>
      <c r="J994" s="60"/>
    </row>
    <row r="995" spans="1:10" outlineLevel="1" collapsed="1">
      <c r="A995" s="66"/>
      <c r="B995" s="66"/>
      <c r="C995" s="67"/>
      <c r="D995" s="64" t="s">
        <v>2162</v>
      </c>
      <c r="E995" s="61">
        <f>SUBTOTAL(3,E994:E994)</f>
        <v>1</v>
      </c>
      <c r="F995" s="61"/>
      <c r="G995" s="61"/>
      <c r="H995" s="61"/>
      <c r="I995" s="61">
        <f>SUBTOTAL(3,I994:I994)</f>
        <v>1</v>
      </c>
      <c r="J995" s="60"/>
    </row>
    <row r="996" spans="1:10" hidden="1" outlineLevel="2">
      <c r="A996" s="66">
        <v>4</v>
      </c>
      <c r="B996" s="66" t="s">
        <v>828</v>
      </c>
      <c r="C996" s="67" t="s">
        <v>246</v>
      </c>
      <c r="D996" s="63" t="s">
        <v>2024</v>
      </c>
      <c r="E996" s="61" t="s">
        <v>590</v>
      </c>
      <c r="F996" s="61" t="s">
        <v>591</v>
      </c>
      <c r="G996" s="61">
        <v>40</v>
      </c>
      <c r="H996" s="61">
        <v>1</v>
      </c>
      <c r="I996" s="61" t="s">
        <v>11</v>
      </c>
      <c r="J996" s="60"/>
    </row>
    <row r="997" spans="1:10" hidden="1" outlineLevel="2">
      <c r="A997" s="66">
        <v>4</v>
      </c>
      <c r="B997" s="66" t="s">
        <v>828</v>
      </c>
      <c r="C997" s="67" t="s">
        <v>246</v>
      </c>
      <c r="D997" s="63" t="s">
        <v>2024</v>
      </c>
      <c r="E997" s="61" t="s">
        <v>263</v>
      </c>
      <c r="F997" s="61" t="s">
        <v>264</v>
      </c>
      <c r="G997" s="61">
        <v>56</v>
      </c>
      <c r="H997" s="61">
        <v>1</v>
      </c>
      <c r="I997" s="61" t="s">
        <v>11</v>
      </c>
      <c r="J997" s="60"/>
    </row>
    <row r="998" spans="1:10" hidden="1" outlineLevel="2">
      <c r="A998" s="66">
        <v>4</v>
      </c>
      <c r="B998" s="66" t="s">
        <v>828</v>
      </c>
      <c r="C998" s="67" t="s">
        <v>246</v>
      </c>
      <c r="D998" s="63" t="s">
        <v>2024</v>
      </c>
      <c r="E998" s="61" t="s">
        <v>265</v>
      </c>
      <c r="F998" s="61" t="s">
        <v>266</v>
      </c>
      <c r="G998" s="61">
        <v>40</v>
      </c>
      <c r="H998" s="61">
        <v>1</v>
      </c>
      <c r="I998" s="61" t="s">
        <v>11</v>
      </c>
      <c r="J998" s="60"/>
    </row>
    <row r="999" spans="1:10" hidden="1" outlineLevel="2">
      <c r="A999" s="66">
        <v>4</v>
      </c>
      <c r="B999" s="66" t="s">
        <v>828</v>
      </c>
      <c r="C999" s="67" t="s">
        <v>246</v>
      </c>
      <c r="D999" s="63" t="s">
        <v>2024</v>
      </c>
      <c r="E999" s="61" t="s">
        <v>829</v>
      </c>
      <c r="F999" s="61" t="s">
        <v>830</v>
      </c>
      <c r="G999" s="61">
        <v>40</v>
      </c>
      <c r="H999" s="61">
        <v>1</v>
      </c>
      <c r="I999" s="61" t="s">
        <v>11</v>
      </c>
      <c r="J999" s="60"/>
    </row>
    <row r="1000" spans="1:10" hidden="1" outlineLevel="2">
      <c r="A1000" s="66">
        <v>4</v>
      </c>
      <c r="B1000" s="66" t="s">
        <v>828</v>
      </c>
      <c r="C1000" s="67" t="s">
        <v>246</v>
      </c>
      <c r="D1000" s="63" t="s">
        <v>2024</v>
      </c>
      <c r="E1000" s="61" t="s">
        <v>269</v>
      </c>
      <c r="F1000" s="61" t="s">
        <v>270</v>
      </c>
      <c r="G1000" s="61">
        <v>53</v>
      </c>
      <c r="H1000" s="61">
        <v>1</v>
      </c>
      <c r="I1000" s="61" t="s">
        <v>11</v>
      </c>
      <c r="J1000" s="60"/>
    </row>
    <row r="1001" spans="1:10" hidden="1" outlineLevel="2">
      <c r="A1001" s="66">
        <v>4</v>
      </c>
      <c r="B1001" s="66" t="s">
        <v>828</v>
      </c>
      <c r="C1001" s="67" t="s">
        <v>246</v>
      </c>
      <c r="D1001" s="63" t="s">
        <v>2024</v>
      </c>
      <c r="E1001" s="61" t="s">
        <v>596</v>
      </c>
      <c r="F1001" s="61" t="s">
        <v>597</v>
      </c>
      <c r="G1001" s="61">
        <v>42</v>
      </c>
      <c r="H1001" s="61">
        <v>1</v>
      </c>
      <c r="I1001" s="61" t="s">
        <v>11</v>
      </c>
      <c r="J1001" s="60"/>
    </row>
    <row r="1002" spans="1:10" outlineLevel="1" collapsed="1">
      <c r="A1002" s="66"/>
      <c r="B1002" s="66"/>
      <c r="C1002" s="67"/>
      <c r="D1002" s="64" t="s">
        <v>2163</v>
      </c>
      <c r="E1002" s="61">
        <f>SUBTOTAL(3,E996:E1001)</f>
        <v>6</v>
      </c>
      <c r="F1002" s="61"/>
      <c r="G1002" s="61"/>
      <c r="H1002" s="61"/>
      <c r="I1002" s="61">
        <f>SUBTOTAL(3,I996:I1001)</f>
        <v>6</v>
      </c>
      <c r="J1002" s="60"/>
    </row>
    <row r="1003" spans="1:10" hidden="1" outlineLevel="2">
      <c r="A1003" s="66">
        <v>4</v>
      </c>
      <c r="B1003" s="66" t="s">
        <v>828</v>
      </c>
      <c r="C1003" s="67" t="s">
        <v>25</v>
      </c>
      <c r="D1003" s="63" t="s">
        <v>2025</v>
      </c>
      <c r="E1003" s="61" t="s">
        <v>713</v>
      </c>
      <c r="F1003" s="61" t="s">
        <v>714</v>
      </c>
      <c r="G1003" s="61">
        <v>47</v>
      </c>
      <c r="H1003" s="61">
        <v>1</v>
      </c>
      <c r="I1003" s="61" t="s">
        <v>11</v>
      </c>
      <c r="J1003" s="60"/>
    </row>
    <row r="1004" spans="1:10" outlineLevel="1" collapsed="1">
      <c r="A1004" s="66"/>
      <c r="B1004" s="66"/>
      <c r="C1004" s="67"/>
      <c r="D1004" s="64" t="s">
        <v>2164</v>
      </c>
      <c r="E1004" s="61">
        <f>SUBTOTAL(3,E1003:E1003)</f>
        <v>1</v>
      </c>
      <c r="F1004" s="61"/>
      <c r="G1004" s="61"/>
      <c r="H1004" s="61"/>
      <c r="I1004" s="61">
        <f>SUBTOTAL(3,I1003:I1003)</f>
        <v>1</v>
      </c>
      <c r="J1004" s="60">
        <f>E1004+E1002+E995+E993+E989+E987+E985+E983+E981+E979</f>
        <v>17</v>
      </c>
    </row>
    <row r="1005" spans="1:10" hidden="1" outlineLevel="2">
      <c r="A1005" s="66">
        <v>4</v>
      </c>
      <c r="B1005" s="66" t="s">
        <v>1567</v>
      </c>
      <c r="C1005" s="67" t="s">
        <v>1144</v>
      </c>
      <c r="D1005" s="63" t="str">
        <f>B1005&amp;"-"&amp;C1005</f>
        <v>歷史-汽車二乙</v>
      </c>
      <c r="E1005" s="61" t="s">
        <v>1149</v>
      </c>
      <c r="F1005" s="61" t="s">
        <v>1150</v>
      </c>
      <c r="G1005" s="61">
        <v>55</v>
      </c>
      <c r="H1005" s="61">
        <v>2</v>
      </c>
      <c r="I1005" s="61" t="s">
        <v>11</v>
      </c>
      <c r="J1005" s="60"/>
    </row>
    <row r="1006" spans="1:10" hidden="1" outlineLevel="2">
      <c r="A1006" s="66">
        <v>4</v>
      </c>
      <c r="B1006" s="66" t="s">
        <v>1567</v>
      </c>
      <c r="C1006" s="67" t="s">
        <v>1144</v>
      </c>
      <c r="D1006" s="63" t="str">
        <f>B1006&amp;"-"&amp;C1006</f>
        <v>歷史-汽車二乙</v>
      </c>
      <c r="E1006" s="61" t="s">
        <v>1151</v>
      </c>
      <c r="F1006" s="61" t="s">
        <v>1152</v>
      </c>
      <c r="G1006" s="61">
        <v>40</v>
      </c>
      <c r="H1006" s="61">
        <v>2</v>
      </c>
      <c r="I1006" s="61" t="s">
        <v>11</v>
      </c>
      <c r="J1006" s="60"/>
    </row>
    <row r="1007" spans="1:10" hidden="1" outlineLevel="2">
      <c r="A1007" s="66">
        <v>4</v>
      </c>
      <c r="B1007" s="66" t="s">
        <v>1567</v>
      </c>
      <c r="C1007" s="67" t="s">
        <v>1144</v>
      </c>
      <c r="D1007" s="63" t="str">
        <f>B1007&amp;"-"&amp;C1007</f>
        <v>歷史-汽車二乙</v>
      </c>
      <c r="E1007" s="61" t="s">
        <v>1157</v>
      </c>
      <c r="F1007" s="61" t="s">
        <v>1158</v>
      </c>
      <c r="G1007" s="61">
        <v>50</v>
      </c>
      <c r="H1007" s="61">
        <v>2</v>
      </c>
      <c r="I1007" s="61" t="s">
        <v>11</v>
      </c>
      <c r="J1007" s="60"/>
    </row>
    <row r="1008" spans="1:10" hidden="1" outlineLevel="2">
      <c r="A1008" s="66">
        <v>4</v>
      </c>
      <c r="B1008" s="66" t="s">
        <v>1567</v>
      </c>
      <c r="C1008" s="67" t="s">
        <v>1144</v>
      </c>
      <c r="D1008" s="63" t="str">
        <f>B1008&amp;"-"&amp;C1008</f>
        <v>歷史-汽車二乙</v>
      </c>
      <c r="E1008" s="61" t="s">
        <v>1165</v>
      </c>
      <c r="F1008" s="61" t="s">
        <v>1166</v>
      </c>
      <c r="G1008" s="61">
        <v>48</v>
      </c>
      <c r="H1008" s="61">
        <v>2</v>
      </c>
      <c r="I1008" s="61" t="s">
        <v>11</v>
      </c>
      <c r="J1008" s="60"/>
    </row>
    <row r="1009" spans="1:10" outlineLevel="1" collapsed="1">
      <c r="A1009" s="66"/>
      <c r="B1009" s="66"/>
      <c r="C1009" s="67"/>
      <c r="D1009" s="64" t="s">
        <v>1937</v>
      </c>
      <c r="E1009" s="61">
        <f>SUBTOTAL(3,E1005:E1008)</f>
        <v>4</v>
      </c>
      <c r="F1009" s="61"/>
      <c r="G1009" s="61"/>
      <c r="H1009" s="61"/>
      <c r="I1009" s="61">
        <f>SUBTOTAL(3,I1005:I1008)</f>
        <v>4</v>
      </c>
      <c r="J1009" s="60"/>
    </row>
    <row r="1010" spans="1:10" hidden="1" outlineLevel="2">
      <c r="A1010" s="66">
        <v>4</v>
      </c>
      <c r="B1010" s="66" t="s">
        <v>1567</v>
      </c>
      <c r="C1010" s="67" t="s">
        <v>1035</v>
      </c>
      <c r="D1010" s="63" t="str">
        <f>B1010&amp;"-"&amp;C1010</f>
        <v>歷史-汽車二甲</v>
      </c>
      <c r="E1010" s="61" t="s">
        <v>1291</v>
      </c>
      <c r="F1010" s="61" t="s">
        <v>1292</v>
      </c>
      <c r="G1010" s="61">
        <v>43</v>
      </c>
      <c r="H1010" s="61">
        <v>2</v>
      </c>
      <c r="I1010" s="61" t="s">
        <v>11</v>
      </c>
      <c r="J1010" s="60"/>
    </row>
    <row r="1011" spans="1:10" outlineLevel="1" collapsed="1">
      <c r="A1011" s="66"/>
      <c r="B1011" s="66"/>
      <c r="C1011" s="67"/>
      <c r="D1011" s="64" t="s">
        <v>1938</v>
      </c>
      <c r="E1011" s="61">
        <f>SUBTOTAL(3,E1010:E1010)</f>
        <v>1</v>
      </c>
      <c r="F1011" s="61"/>
      <c r="G1011" s="61"/>
      <c r="H1011" s="61"/>
      <c r="I1011" s="61">
        <f>SUBTOTAL(3,I1010:I1010)</f>
        <v>1</v>
      </c>
      <c r="J1011" s="60"/>
    </row>
    <row r="1012" spans="1:10" hidden="1" outlineLevel="2">
      <c r="A1012" s="66">
        <v>4</v>
      </c>
      <c r="B1012" s="66" t="s">
        <v>1567</v>
      </c>
      <c r="C1012" s="67" t="s">
        <v>1184</v>
      </c>
      <c r="D1012" s="63" t="str">
        <f>B1012&amp;"-"&amp;C1012</f>
        <v>歷史-電機二丙</v>
      </c>
      <c r="E1012" s="61" t="s">
        <v>1570</v>
      </c>
      <c r="F1012" s="61" t="s">
        <v>1571</v>
      </c>
      <c r="G1012" s="61">
        <v>47</v>
      </c>
      <c r="H1012" s="61">
        <v>2</v>
      </c>
      <c r="I1012" s="61" t="s">
        <v>11</v>
      </c>
      <c r="J1012" s="60"/>
    </row>
    <row r="1013" spans="1:10" hidden="1" outlineLevel="2">
      <c r="A1013" s="66">
        <v>4</v>
      </c>
      <c r="B1013" s="66" t="s">
        <v>1567</v>
      </c>
      <c r="C1013" s="67" t="s">
        <v>1184</v>
      </c>
      <c r="D1013" s="63" t="str">
        <f>B1013&amp;"-"&amp;C1013</f>
        <v>歷史-電機二丙</v>
      </c>
      <c r="E1013" s="61" t="s">
        <v>1187</v>
      </c>
      <c r="F1013" s="61" t="s">
        <v>1188</v>
      </c>
      <c r="G1013" s="61">
        <v>49</v>
      </c>
      <c r="H1013" s="61">
        <v>2</v>
      </c>
      <c r="I1013" s="61" t="s">
        <v>11</v>
      </c>
      <c r="J1013" s="60"/>
    </row>
    <row r="1014" spans="1:10" hidden="1" outlineLevel="2">
      <c r="A1014" s="66">
        <v>4</v>
      </c>
      <c r="B1014" s="66" t="s">
        <v>1567</v>
      </c>
      <c r="C1014" s="67" t="s">
        <v>1184</v>
      </c>
      <c r="D1014" s="63" t="str">
        <f>B1014&amp;"-"&amp;C1014</f>
        <v>歷史-電機二丙</v>
      </c>
      <c r="E1014" s="61" t="s">
        <v>1189</v>
      </c>
      <c r="F1014" s="61" t="s">
        <v>1190</v>
      </c>
      <c r="G1014" s="61">
        <v>51</v>
      </c>
      <c r="H1014" s="61">
        <v>2</v>
      </c>
      <c r="I1014" s="61" t="s">
        <v>11</v>
      </c>
      <c r="J1014" s="60"/>
    </row>
    <row r="1015" spans="1:10" outlineLevel="1" collapsed="1">
      <c r="A1015" s="66"/>
      <c r="B1015" s="66"/>
      <c r="C1015" s="67"/>
      <c r="D1015" s="64" t="s">
        <v>1939</v>
      </c>
      <c r="E1015" s="61">
        <f>SUBTOTAL(3,E1012:E1014)</f>
        <v>3</v>
      </c>
      <c r="F1015" s="61"/>
      <c r="G1015" s="61"/>
      <c r="H1015" s="61"/>
      <c r="I1015" s="61">
        <f>SUBTOTAL(3,I1012:I1014)</f>
        <v>3</v>
      </c>
      <c r="J1015" s="60"/>
    </row>
    <row r="1016" spans="1:10" hidden="1" outlineLevel="2">
      <c r="A1016" s="66">
        <v>4</v>
      </c>
      <c r="B1016" s="66" t="s">
        <v>1567</v>
      </c>
      <c r="C1016" s="67" t="s">
        <v>1054</v>
      </c>
      <c r="D1016" s="63" t="str">
        <f>B1016&amp;"-"&amp;C1016</f>
        <v>歷史-電機二甲</v>
      </c>
      <c r="E1016" s="61" t="s">
        <v>1055</v>
      </c>
      <c r="F1016" s="61" t="s">
        <v>1056</v>
      </c>
      <c r="G1016" s="61">
        <v>42</v>
      </c>
      <c r="H1016" s="61">
        <v>2</v>
      </c>
      <c r="I1016" s="61" t="s">
        <v>11</v>
      </c>
      <c r="J1016" s="60"/>
    </row>
    <row r="1017" spans="1:10" hidden="1" outlineLevel="2">
      <c r="A1017" s="66">
        <v>4</v>
      </c>
      <c r="B1017" s="66" t="s">
        <v>1567</v>
      </c>
      <c r="C1017" s="67" t="s">
        <v>1054</v>
      </c>
      <c r="D1017" s="63" t="str">
        <f>B1017&amp;"-"&amp;C1017</f>
        <v>歷史-電機二甲</v>
      </c>
      <c r="E1017" s="61" t="s">
        <v>1385</v>
      </c>
      <c r="F1017" s="61" t="s">
        <v>1386</v>
      </c>
      <c r="G1017" s="61">
        <v>40</v>
      </c>
      <c r="H1017" s="61">
        <v>2</v>
      </c>
      <c r="I1017" s="61" t="s">
        <v>11</v>
      </c>
      <c r="J1017" s="60"/>
    </row>
    <row r="1018" spans="1:10" outlineLevel="1" collapsed="1">
      <c r="A1018" s="66"/>
      <c r="B1018" s="66"/>
      <c r="C1018" s="67"/>
      <c r="D1018" s="64" t="s">
        <v>1940</v>
      </c>
      <c r="E1018" s="61">
        <f>SUBTOTAL(3,E1016:E1017)</f>
        <v>2</v>
      </c>
      <c r="F1018" s="61"/>
      <c r="G1018" s="61"/>
      <c r="H1018" s="61"/>
      <c r="I1018" s="61">
        <f>SUBTOTAL(3,I1016:I1017)</f>
        <v>2</v>
      </c>
      <c r="J1018" s="60"/>
    </row>
    <row r="1019" spans="1:10" hidden="1" outlineLevel="2">
      <c r="A1019" s="66">
        <v>4</v>
      </c>
      <c r="B1019" s="66" t="s">
        <v>1567</v>
      </c>
      <c r="C1019" s="67" t="s">
        <v>998</v>
      </c>
      <c r="D1019" s="63" t="str">
        <f>B1019&amp;"-"&amp;C1019</f>
        <v>歷史-模具二乙</v>
      </c>
      <c r="E1019" s="61" t="s">
        <v>1574</v>
      </c>
      <c r="F1019" s="61" t="s">
        <v>1575</v>
      </c>
      <c r="G1019" s="61">
        <v>44</v>
      </c>
      <c r="H1019" s="61">
        <v>2</v>
      </c>
      <c r="I1019" s="61" t="s">
        <v>11</v>
      </c>
      <c r="J1019" s="60"/>
    </row>
    <row r="1020" spans="1:10" hidden="1" outlineLevel="2">
      <c r="A1020" s="66">
        <v>4</v>
      </c>
      <c r="B1020" s="66" t="s">
        <v>1567</v>
      </c>
      <c r="C1020" s="67" t="s">
        <v>998</v>
      </c>
      <c r="D1020" s="63" t="str">
        <f>B1020&amp;"-"&amp;C1020</f>
        <v>歷史-模具二乙</v>
      </c>
      <c r="E1020" s="61" t="s">
        <v>1576</v>
      </c>
      <c r="F1020" s="61" t="s">
        <v>1577</v>
      </c>
      <c r="G1020" s="61">
        <v>41</v>
      </c>
      <c r="H1020" s="61">
        <v>2</v>
      </c>
      <c r="I1020" s="61" t="s">
        <v>11</v>
      </c>
      <c r="J1020" s="60"/>
    </row>
    <row r="1021" spans="1:10" hidden="1" outlineLevel="2">
      <c r="A1021" s="66">
        <v>4</v>
      </c>
      <c r="B1021" s="66" t="s">
        <v>1567</v>
      </c>
      <c r="C1021" s="67" t="s">
        <v>998</v>
      </c>
      <c r="D1021" s="63" t="str">
        <f>B1021&amp;"-"&amp;C1021</f>
        <v>歷史-模具二乙</v>
      </c>
      <c r="E1021" s="61" t="s">
        <v>1578</v>
      </c>
      <c r="F1021" s="61" t="s">
        <v>1579</v>
      </c>
      <c r="G1021" s="61">
        <v>46</v>
      </c>
      <c r="H1021" s="61">
        <v>2</v>
      </c>
      <c r="I1021" s="61" t="s">
        <v>11</v>
      </c>
      <c r="J1021" s="60"/>
    </row>
    <row r="1022" spans="1:10" outlineLevel="1" collapsed="1">
      <c r="A1022" s="66"/>
      <c r="B1022" s="66"/>
      <c r="C1022" s="67"/>
      <c r="D1022" s="64" t="s">
        <v>1941</v>
      </c>
      <c r="E1022" s="61">
        <f>SUBTOTAL(3,E1019:E1021)</f>
        <v>3</v>
      </c>
      <c r="F1022" s="61"/>
      <c r="G1022" s="61"/>
      <c r="H1022" s="61"/>
      <c r="I1022" s="61">
        <f>SUBTOTAL(3,I1019:I1021)</f>
        <v>3</v>
      </c>
      <c r="J1022" s="60"/>
    </row>
    <row r="1023" spans="1:10" hidden="1" outlineLevel="2">
      <c r="A1023" s="66">
        <v>4</v>
      </c>
      <c r="B1023" s="66" t="s">
        <v>1567</v>
      </c>
      <c r="C1023" s="67" t="s">
        <v>1217</v>
      </c>
      <c r="D1023" s="63" t="str">
        <f>B1023&amp;"-"&amp;C1023</f>
        <v>歷史-模具二甲</v>
      </c>
      <c r="E1023" s="61" t="s">
        <v>1572</v>
      </c>
      <c r="F1023" s="61" t="s">
        <v>1573</v>
      </c>
      <c r="G1023" s="61">
        <v>40</v>
      </c>
      <c r="H1023" s="61">
        <v>2</v>
      </c>
      <c r="I1023" s="61" t="s">
        <v>11</v>
      </c>
      <c r="J1023" s="60"/>
    </row>
    <row r="1024" spans="1:10" hidden="1" outlineLevel="2">
      <c r="A1024" s="66">
        <v>4</v>
      </c>
      <c r="B1024" s="66" t="s">
        <v>1567</v>
      </c>
      <c r="C1024" s="67" t="s">
        <v>1217</v>
      </c>
      <c r="D1024" s="63" t="str">
        <f>B1024&amp;"-"&amp;C1024</f>
        <v>歷史-模具二甲</v>
      </c>
      <c r="E1024" s="61" t="s">
        <v>1228</v>
      </c>
      <c r="F1024" s="61" t="s">
        <v>954</v>
      </c>
      <c r="G1024" s="61">
        <v>52</v>
      </c>
      <c r="H1024" s="61">
        <v>2</v>
      </c>
      <c r="I1024" s="61" t="s">
        <v>11</v>
      </c>
      <c r="J1024" s="60"/>
    </row>
    <row r="1025" spans="1:10" outlineLevel="1" collapsed="1">
      <c r="A1025" s="66"/>
      <c r="B1025" s="66"/>
      <c r="C1025" s="67"/>
      <c r="D1025" s="64" t="s">
        <v>1942</v>
      </c>
      <c r="E1025" s="61">
        <f>SUBTOTAL(3,E1023:E1024)</f>
        <v>2</v>
      </c>
      <c r="F1025" s="61"/>
      <c r="G1025" s="61"/>
      <c r="H1025" s="61"/>
      <c r="I1025" s="61">
        <f>SUBTOTAL(3,I1023:I1024)</f>
        <v>2</v>
      </c>
      <c r="J1025" s="60"/>
    </row>
    <row r="1026" spans="1:10" hidden="1" outlineLevel="2">
      <c r="A1026" s="66">
        <v>4</v>
      </c>
      <c r="B1026" s="66" t="s">
        <v>1567</v>
      </c>
      <c r="C1026" s="67" t="s">
        <v>1020</v>
      </c>
      <c r="D1026" s="63" t="str">
        <f>B1026&amp;"-"&amp;C1026</f>
        <v>歷史-鑄造二乙</v>
      </c>
      <c r="E1026" s="61" t="s">
        <v>1543</v>
      </c>
      <c r="F1026" s="61" t="s">
        <v>1544</v>
      </c>
      <c r="G1026" s="61">
        <v>54</v>
      </c>
      <c r="H1026" s="61">
        <v>2</v>
      </c>
      <c r="I1026" s="61" t="s">
        <v>11</v>
      </c>
      <c r="J1026" s="60"/>
    </row>
    <row r="1027" spans="1:10" hidden="1" outlineLevel="2">
      <c r="A1027" s="66">
        <v>4</v>
      </c>
      <c r="B1027" s="66" t="s">
        <v>1567</v>
      </c>
      <c r="C1027" s="67" t="s">
        <v>1020</v>
      </c>
      <c r="D1027" s="63" t="str">
        <f>B1027&amp;"-"&amp;C1027</f>
        <v>歷史-鑄造二乙</v>
      </c>
      <c r="E1027" s="61" t="s">
        <v>1021</v>
      </c>
      <c r="F1027" s="61" t="s">
        <v>1022</v>
      </c>
      <c r="G1027" s="61">
        <v>53</v>
      </c>
      <c r="H1027" s="61">
        <v>2</v>
      </c>
      <c r="I1027" s="61" t="s">
        <v>11</v>
      </c>
      <c r="J1027" s="60"/>
    </row>
    <row r="1028" spans="1:10" hidden="1" outlineLevel="2">
      <c r="A1028" s="66">
        <v>4</v>
      </c>
      <c r="B1028" s="66" t="s">
        <v>1567</v>
      </c>
      <c r="C1028" s="67" t="s">
        <v>1020</v>
      </c>
      <c r="D1028" s="63" t="str">
        <f>B1028&amp;"-"&amp;C1028</f>
        <v>歷史-鑄造二乙</v>
      </c>
      <c r="E1028" s="61" t="s">
        <v>1023</v>
      </c>
      <c r="F1028" s="61" t="s">
        <v>1024</v>
      </c>
      <c r="G1028" s="61">
        <v>50</v>
      </c>
      <c r="H1028" s="61">
        <v>2</v>
      </c>
      <c r="I1028" s="61" t="s">
        <v>11</v>
      </c>
      <c r="J1028" s="60"/>
    </row>
    <row r="1029" spans="1:10" hidden="1" outlineLevel="2">
      <c r="A1029" s="66">
        <v>4</v>
      </c>
      <c r="B1029" s="66" t="s">
        <v>1567</v>
      </c>
      <c r="C1029" s="67" t="s">
        <v>1020</v>
      </c>
      <c r="D1029" s="63" t="str">
        <f>B1029&amp;"-"&amp;C1029</f>
        <v>歷史-鑄造二乙</v>
      </c>
      <c r="E1029" s="61" t="s">
        <v>1545</v>
      </c>
      <c r="F1029" s="61" t="s">
        <v>1546</v>
      </c>
      <c r="G1029" s="61">
        <v>54</v>
      </c>
      <c r="H1029" s="61">
        <v>2</v>
      </c>
      <c r="I1029" s="61" t="s">
        <v>11</v>
      </c>
      <c r="J1029" s="60"/>
    </row>
    <row r="1030" spans="1:10" hidden="1" outlineLevel="2">
      <c r="A1030" s="66">
        <v>4</v>
      </c>
      <c r="B1030" s="66" t="s">
        <v>1567</v>
      </c>
      <c r="C1030" s="67" t="s">
        <v>1020</v>
      </c>
      <c r="D1030" s="63" t="str">
        <f>B1030&amp;"-"&amp;C1030</f>
        <v>歷史-鑄造二乙</v>
      </c>
      <c r="E1030" s="61" t="s">
        <v>1029</v>
      </c>
      <c r="F1030" s="61" t="s">
        <v>1030</v>
      </c>
      <c r="G1030" s="61">
        <v>53</v>
      </c>
      <c r="H1030" s="61">
        <v>2</v>
      </c>
      <c r="I1030" s="61" t="s">
        <v>11</v>
      </c>
      <c r="J1030" s="60"/>
    </row>
    <row r="1031" spans="1:10" outlineLevel="1" collapsed="1">
      <c r="A1031" s="66"/>
      <c r="B1031" s="66"/>
      <c r="C1031" s="67"/>
      <c r="D1031" s="64" t="s">
        <v>1943</v>
      </c>
      <c r="E1031" s="61">
        <f>SUBTOTAL(3,E1026:E1030)</f>
        <v>5</v>
      </c>
      <c r="F1031" s="61"/>
      <c r="G1031" s="61"/>
      <c r="H1031" s="61"/>
      <c r="I1031" s="61">
        <f>SUBTOTAL(3,I1026:I1030)</f>
        <v>5</v>
      </c>
      <c r="J1031" s="60"/>
    </row>
    <row r="1032" spans="1:10" hidden="1" outlineLevel="2">
      <c r="A1032" s="66">
        <v>4</v>
      </c>
      <c r="B1032" s="66" t="s">
        <v>1567</v>
      </c>
      <c r="C1032" s="67" t="s">
        <v>1064</v>
      </c>
      <c r="D1032" s="63" t="str">
        <f t="shared" ref="D1032:D1038" si="36">B1032&amp;"-"&amp;C1032</f>
        <v>歷史-鑄造二甲</v>
      </c>
      <c r="E1032" s="61" t="s">
        <v>1065</v>
      </c>
      <c r="F1032" s="61" t="s">
        <v>1066</v>
      </c>
      <c r="G1032" s="61">
        <v>45</v>
      </c>
      <c r="H1032" s="61">
        <v>2</v>
      </c>
      <c r="I1032" s="61" t="s">
        <v>11</v>
      </c>
      <c r="J1032" s="60"/>
    </row>
    <row r="1033" spans="1:10" hidden="1" outlineLevel="2">
      <c r="A1033" s="66">
        <v>4</v>
      </c>
      <c r="B1033" s="66" t="s">
        <v>1567</v>
      </c>
      <c r="C1033" s="67" t="s">
        <v>1064</v>
      </c>
      <c r="D1033" s="63" t="str">
        <f t="shared" si="36"/>
        <v>歷史-鑄造二甲</v>
      </c>
      <c r="E1033" s="61" t="s">
        <v>1305</v>
      </c>
      <c r="F1033" s="61" t="s">
        <v>1306</v>
      </c>
      <c r="G1033" s="61">
        <v>40</v>
      </c>
      <c r="H1033" s="61">
        <v>2</v>
      </c>
      <c r="I1033" s="61" t="s">
        <v>11</v>
      </c>
      <c r="J1033" s="60"/>
    </row>
    <row r="1034" spans="1:10" hidden="1" outlineLevel="2">
      <c r="A1034" s="66">
        <v>4</v>
      </c>
      <c r="B1034" s="66" t="s">
        <v>1567</v>
      </c>
      <c r="C1034" s="67" t="s">
        <v>1064</v>
      </c>
      <c r="D1034" s="63" t="str">
        <f t="shared" si="36"/>
        <v>歷史-鑄造二甲</v>
      </c>
      <c r="E1034" s="61" t="s">
        <v>1568</v>
      </c>
      <c r="F1034" s="61" t="s">
        <v>1569</v>
      </c>
      <c r="G1034" s="61">
        <v>42</v>
      </c>
      <c r="H1034" s="61">
        <v>2</v>
      </c>
      <c r="I1034" s="61" t="s">
        <v>11</v>
      </c>
      <c r="J1034" s="60"/>
    </row>
    <row r="1035" spans="1:10" hidden="1" outlineLevel="2">
      <c r="A1035" s="66">
        <v>4</v>
      </c>
      <c r="B1035" s="66" t="s">
        <v>1567</v>
      </c>
      <c r="C1035" s="67" t="s">
        <v>1064</v>
      </c>
      <c r="D1035" s="63" t="str">
        <f t="shared" si="36"/>
        <v>歷史-鑄造二甲</v>
      </c>
      <c r="E1035" s="61" t="s">
        <v>1073</v>
      </c>
      <c r="F1035" s="61" t="s">
        <v>1074</v>
      </c>
      <c r="G1035" s="61">
        <v>40</v>
      </c>
      <c r="H1035" s="61">
        <v>2</v>
      </c>
      <c r="I1035" s="61" t="s">
        <v>11</v>
      </c>
      <c r="J1035" s="60"/>
    </row>
    <row r="1036" spans="1:10" hidden="1" outlineLevel="2">
      <c r="A1036" s="66">
        <v>4</v>
      </c>
      <c r="B1036" s="66" t="s">
        <v>1567</v>
      </c>
      <c r="C1036" s="67" t="s">
        <v>1064</v>
      </c>
      <c r="D1036" s="63" t="str">
        <f t="shared" si="36"/>
        <v>歷史-鑄造二甲</v>
      </c>
      <c r="E1036" s="61" t="s">
        <v>1317</v>
      </c>
      <c r="F1036" s="61" t="s">
        <v>1318</v>
      </c>
      <c r="G1036" s="61">
        <v>50</v>
      </c>
      <c r="H1036" s="61">
        <v>2</v>
      </c>
      <c r="I1036" s="61" t="s">
        <v>11</v>
      </c>
      <c r="J1036" s="60"/>
    </row>
    <row r="1037" spans="1:10" hidden="1" outlineLevel="2">
      <c r="A1037" s="66">
        <v>4</v>
      </c>
      <c r="B1037" s="66" t="s">
        <v>1567</v>
      </c>
      <c r="C1037" s="67" t="s">
        <v>1064</v>
      </c>
      <c r="D1037" s="63" t="str">
        <f t="shared" si="36"/>
        <v>歷史-鑄造二甲</v>
      </c>
      <c r="E1037" s="61" t="s">
        <v>1513</v>
      </c>
      <c r="F1037" s="61" t="s">
        <v>1514</v>
      </c>
      <c r="G1037" s="61">
        <v>49</v>
      </c>
      <c r="H1037" s="61">
        <v>2</v>
      </c>
      <c r="I1037" s="61" t="s">
        <v>11</v>
      </c>
      <c r="J1037" s="60"/>
    </row>
    <row r="1038" spans="1:10" hidden="1" outlineLevel="2">
      <c r="A1038" s="66">
        <v>4</v>
      </c>
      <c r="B1038" s="66" t="s">
        <v>1567</v>
      </c>
      <c r="C1038" s="67" t="s">
        <v>1064</v>
      </c>
      <c r="D1038" s="63" t="str">
        <f t="shared" si="36"/>
        <v>歷史-鑄造二甲</v>
      </c>
      <c r="E1038" s="61" t="s">
        <v>1079</v>
      </c>
      <c r="F1038" s="61" t="s">
        <v>1080</v>
      </c>
      <c r="G1038" s="61">
        <v>41</v>
      </c>
      <c r="H1038" s="61">
        <v>2</v>
      </c>
      <c r="I1038" s="61" t="s">
        <v>11</v>
      </c>
      <c r="J1038" s="60"/>
    </row>
    <row r="1039" spans="1:10" outlineLevel="1" collapsed="1">
      <c r="A1039" s="66"/>
      <c r="B1039" s="66"/>
      <c r="C1039" s="67"/>
      <c r="D1039" s="64" t="s">
        <v>1944</v>
      </c>
      <c r="E1039" s="61">
        <f>SUBTOTAL(3,E1032:E1038)</f>
        <v>7</v>
      </c>
      <c r="F1039" s="61"/>
      <c r="G1039" s="61"/>
      <c r="H1039" s="61"/>
      <c r="I1039" s="61">
        <f>SUBTOTAL(3,I1032:I1038)</f>
        <v>7</v>
      </c>
      <c r="J1039" s="60">
        <f>E1039+E1031+E1025+E1022+E1018+E1015+E1011+E1009</f>
        <v>27</v>
      </c>
    </row>
    <row r="1040" spans="1:10" hidden="1" outlineLevel="2">
      <c r="A1040" s="20">
        <v>5</v>
      </c>
      <c r="B1040" s="20" t="s">
        <v>793</v>
      </c>
      <c r="C1040" s="19" t="s">
        <v>335</v>
      </c>
      <c r="D1040" s="41" t="s">
        <v>1973</v>
      </c>
      <c r="E1040" s="22" t="s">
        <v>663</v>
      </c>
      <c r="F1040" s="22" t="s">
        <v>664</v>
      </c>
      <c r="G1040" s="22">
        <v>52</v>
      </c>
      <c r="H1040" s="22">
        <v>1</v>
      </c>
      <c r="I1040" s="22" t="s">
        <v>11</v>
      </c>
      <c r="J1040" s="23"/>
    </row>
    <row r="1041" spans="1:10" outlineLevel="1" collapsed="1">
      <c r="D1041" s="51" t="s">
        <v>2096</v>
      </c>
      <c r="E1041" s="22">
        <f>SUBTOTAL(3,E1040:E1040)</f>
        <v>1</v>
      </c>
      <c r="F1041" s="22"/>
      <c r="G1041" s="22"/>
      <c r="H1041" s="22"/>
      <c r="I1041" s="22">
        <f>SUBTOTAL(3,I1040:I1040)</f>
        <v>1</v>
      </c>
      <c r="J1041" s="23"/>
    </row>
    <row r="1042" spans="1:10" hidden="1" outlineLevel="2">
      <c r="A1042" s="20">
        <v>5</v>
      </c>
      <c r="B1042" s="20" t="s">
        <v>793</v>
      </c>
      <c r="C1042" s="19" t="s">
        <v>234</v>
      </c>
      <c r="D1042" s="41" t="s">
        <v>1974</v>
      </c>
      <c r="E1042" s="22" t="s">
        <v>616</v>
      </c>
      <c r="F1042" s="22" t="s">
        <v>617</v>
      </c>
      <c r="G1042" s="22">
        <v>50</v>
      </c>
      <c r="H1042" s="22">
        <v>1</v>
      </c>
      <c r="I1042" s="22" t="s">
        <v>11</v>
      </c>
      <c r="J1042" s="23"/>
    </row>
    <row r="1043" spans="1:10" outlineLevel="1" collapsed="1">
      <c r="D1043" s="51" t="s">
        <v>2097</v>
      </c>
      <c r="E1043" s="22">
        <f>SUBTOTAL(3,E1042:E1042)</f>
        <v>1</v>
      </c>
      <c r="F1043" s="22"/>
      <c r="G1043" s="22"/>
      <c r="H1043" s="22"/>
      <c r="I1043" s="22">
        <f>SUBTOTAL(3,I1042:I1042)</f>
        <v>1</v>
      </c>
      <c r="J1043" s="23"/>
    </row>
    <row r="1044" spans="1:10" hidden="1" outlineLevel="2">
      <c r="A1044" s="20">
        <v>5</v>
      </c>
      <c r="B1044" s="20" t="s">
        <v>793</v>
      </c>
      <c r="C1044" s="19" t="s">
        <v>1200</v>
      </c>
      <c r="D1044" s="41" t="str">
        <f>B1044&amp;"-"&amp;C1044</f>
        <v>化學-電機二乙</v>
      </c>
      <c r="E1044" s="22" t="s">
        <v>1443</v>
      </c>
      <c r="F1044" s="22" t="s">
        <v>1444</v>
      </c>
      <c r="G1044" s="22">
        <v>50</v>
      </c>
      <c r="H1044" s="22">
        <v>2</v>
      </c>
      <c r="I1044" s="22" t="s">
        <v>11</v>
      </c>
      <c r="J1044" s="23"/>
    </row>
    <row r="1045" spans="1:10" outlineLevel="1" collapsed="1">
      <c r="D1045" s="51" t="s">
        <v>1894</v>
      </c>
      <c r="E1045" s="22">
        <f>SUBTOTAL(3,E1044:E1044)</f>
        <v>1</v>
      </c>
      <c r="F1045" s="22"/>
      <c r="G1045" s="22"/>
      <c r="H1045" s="22"/>
      <c r="I1045" s="22">
        <f>SUBTOTAL(3,I1044:I1044)</f>
        <v>1</v>
      </c>
      <c r="J1045" s="23"/>
    </row>
    <row r="1046" spans="1:10" hidden="1" outlineLevel="2">
      <c r="A1046" s="20">
        <v>5</v>
      </c>
      <c r="B1046" s="20" t="s">
        <v>793</v>
      </c>
      <c r="C1046" s="19" t="s">
        <v>1054</v>
      </c>
      <c r="D1046" s="41" t="str">
        <f>B1046&amp;"-"&amp;C1046</f>
        <v>化學-電機二甲</v>
      </c>
      <c r="E1046" s="22" t="s">
        <v>1580</v>
      </c>
      <c r="F1046" s="22" t="s">
        <v>1581</v>
      </c>
      <c r="G1046" s="22">
        <v>52</v>
      </c>
      <c r="H1046" s="22">
        <v>2</v>
      </c>
      <c r="I1046" s="22" t="s">
        <v>11</v>
      </c>
      <c r="J1046" s="23"/>
    </row>
    <row r="1047" spans="1:10" outlineLevel="1" collapsed="1">
      <c r="D1047" s="51" t="s">
        <v>1895</v>
      </c>
      <c r="E1047" s="22">
        <f>SUBTOTAL(3,E1046:E1046)</f>
        <v>1</v>
      </c>
      <c r="F1047" s="22"/>
      <c r="G1047" s="22"/>
      <c r="H1047" s="22"/>
      <c r="I1047" s="22">
        <f>SUBTOTAL(3,I1046:I1046)</f>
        <v>1</v>
      </c>
      <c r="J1047" s="23"/>
    </row>
    <row r="1048" spans="1:10" hidden="1" outlineLevel="2">
      <c r="A1048" s="20">
        <v>5</v>
      </c>
      <c r="B1048" s="20" t="s">
        <v>793</v>
      </c>
      <c r="C1048" s="19" t="s">
        <v>998</v>
      </c>
      <c r="D1048" s="41" t="str">
        <f>B1048&amp;"-"&amp;C1048</f>
        <v>化學-模具二乙</v>
      </c>
      <c r="E1048" s="22" t="s">
        <v>1582</v>
      </c>
      <c r="F1048" s="22" t="s">
        <v>1583</v>
      </c>
      <c r="G1048" s="22">
        <v>40</v>
      </c>
      <c r="H1048" s="22">
        <v>2</v>
      </c>
      <c r="I1048" s="22" t="s">
        <v>11</v>
      </c>
      <c r="J1048" s="23"/>
    </row>
    <row r="1049" spans="1:10" hidden="1" outlineLevel="2">
      <c r="A1049" s="20">
        <v>5</v>
      </c>
      <c r="B1049" s="20" t="s">
        <v>793</v>
      </c>
      <c r="C1049" s="19" t="s">
        <v>998</v>
      </c>
      <c r="D1049" s="41" t="str">
        <f>B1049&amp;"-"&amp;C1049</f>
        <v>化學-模具二乙</v>
      </c>
      <c r="E1049" s="22" t="s">
        <v>1584</v>
      </c>
      <c r="F1049" s="22" t="s">
        <v>1585</v>
      </c>
      <c r="G1049" s="22">
        <v>42</v>
      </c>
      <c r="H1049" s="22">
        <v>2</v>
      </c>
      <c r="I1049" s="22" t="s">
        <v>11</v>
      </c>
      <c r="J1049" s="23"/>
    </row>
    <row r="1050" spans="1:10" hidden="1" outlineLevel="2">
      <c r="A1050" s="20">
        <v>5</v>
      </c>
      <c r="B1050" s="20" t="s">
        <v>793</v>
      </c>
      <c r="C1050" s="19" t="s">
        <v>998</v>
      </c>
      <c r="D1050" s="41" t="str">
        <f>B1050&amp;"-"&amp;C1050</f>
        <v>化學-模具二乙</v>
      </c>
      <c r="E1050" s="22" t="s">
        <v>1497</v>
      </c>
      <c r="F1050" s="22" t="s">
        <v>1498</v>
      </c>
      <c r="G1050" s="22">
        <v>50</v>
      </c>
      <c r="H1050" s="22">
        <v>2</v>
      </c>
      <c r="I1050" s="22" t="s">
        <v>11</v>
      </c>
      <c r="J1050" s="23"/>
    </row>
    <row r="1051" spans="1:10" hidden="1" outlineLevel="2">
      <c r="A1051" s="20">
        <v>5</v>
      </c>
      <c r="B1051" s="20" t="s">
        <v>793</v>
      </c>
      <c r="C1051" s="19" t="s">
        <v>998</v>
      </c>
      <c r="D1051" s="41" t="str">
        <f>B1051&amp;"-"&amp;C1051</f>
        <v>化學-模具二乙</v>
      </c>
      <c r="E1051" s="22" t="s">
        <v>1576</v>
      </c>
      <c r="F1051" s="22" t="s">
        <v>1577</v>
      </c>
      <c r="G1051" s="22">
        <v>46</v>
      </c>
      <c r="H1051" s="22">
        <v>2</v>
      </c>
      <c r="I1051" s="22" t="s">
        <v>11</v>
      </c>
      <c r="J1051" s="23"/>
    </row>
    <row r="1052" spans="1:10" outlineLevel="1" collapsed="1">
      <c r="D1052" s="51" t="s">
        <v>1896</v>
      </c>
      <c r="E1052" s="22">
        <f>SUBTOTAL(3,E1048:E1051)</f>
        <v>4</v>
      </c>
      <c r="F1052" s="22"/>
      <c r="G1052" s="22"/>
      <c r="H1052" s="22"/>
      <c r="I1052" s="22">
        <f>SUBTOTAL(3,I1048:I1051)</f>
        <v>4</v>
      </c>
      <c r="J1052" s="23"/>
    </row>
    <row r="1053" spans="1:10" hidden="1" outlineLevel="2">
      <c r="A1053" s="20">
        <v>5</v>
      </c>
      <c r="B1053" s="20" t="s">
        <v>793</v>
      </c>
      <c r="C1053" s="19" t="s">
        <v>1217</v>
      </c>
      <c r="D1053" s="41" t="str">
        <f>B1053&amp;"-"&amp;C1053</f>
        <v>化學-模具二甲</v>
      </c>
      <c r="E1053" s="22" t="s">
        <v>1572</v>
      </c>
      <c r="F1053" s="22" t="s">
        <v>1573</v>
      </c>
      <c r="G1053" s="22">
        <v>40</v>
      </c>
      <c r="H1053" s="22">
        <v>2</v>
      </c>
      <c r="I1053" s="22" t="s">
        <v>11</v>
      </c>
      <c r="J1053" s="23"/>
    </row>
    <row r="1054" spans="1:10" outlineLevel="1" collapsed="1">
      <c r="D1054" s="51" t="s">
        <v>1897</v>
      </c>
      <c r="E1054" s="22">
        <f>SUBTOTAL(3,E1053:E1053)</f>
        <v>1</v>
      </c>
      <c r="F1054" s="22"/>
      <c r="G1054" s="22"/>
      <c r="H1054" s="22"/>
      <c r="I1054" s="22">
        <f>SUBTOTAL(3,I1053:I1053)</f>
        <v>1</v>
      </c>
      <c r="J1054" s="23"/>
    </row>
    <row r="1055" spans="1:10" hidden="1" outlineLevel="2">
      <c r="A1055" s="20">
        <v>5</v>
      </c>
      <c r="B1055" s="20" t="s">
        <v>1586</v>
      </c>
      <c r="C1055" s="19" t="s">
        <v>1231</v>
      </c>
      <c r="D1055" s="41" t="str">
        <f>B1055&amp;"-"&amp;C1055</f>
        <v>生物-製圖二乙</v>
      </c>
      <c r="E1055" s="22" t="s">
        <v>1426</v>
      </c>
      <c r="F1055" s="22" t="s">
        <v>1427</v>
      </c>
      <c r="G1055" s="22">
        <v>53</v>
      </c>
      <c r="H1055" s="22">
        <v>2</v>
      </c>
      <c r="I1055" s="22" t="s">
        <v>11</v>
      </c>
      <c r="J1055" s="23"/>
    </row>
    <row r="1056" spans="1:10" outlineLevel="1" collapsed="1">
      <c r="D1056" s="51" t="s">
        <v>1898</v>
      </c>
      <c r="E1056" s="22">
        <f>SUBTOTAL(3,E1055:E1055)</f>
        <v>1</v>
      </c>
      <c r="F1056" s="22"/>
      <c r="G1056" s="22"/>
      <c r="H1056" s="22"/>
      <c r="I1056" s="22">
        <f>SUBTOTAL(3,I1055:I1055)</f>
        <v>1</v>
      </c>
      <c r="J1056" s="23"/>
    </row>
    <row r="1057" spans="1:10" hidden="1" outlineLevel="2">
      <c r="A1057" s="20">
        <v>5</v>
      </c>
      <c r="B1057" s="20" t="s">
        <v>1586</v>
      </c>
      <c r="C1057" s="19" t="s">
        <v>1102</v>
      </c>
      <c r="D1057" s="41" t="str">
        <f>B1057&amp;"-"&amp;C1057</f>
        <v>生物-製圖二丙</v>
      </c>
      <c r="E1057" s="22" t="s">
        <v>1445</v>
      </c>
      <c r="F1057" s="22" t="s">
        <v>1446</v>
      </c>
      <c r="G1057" s="22">
        <v>50</v>
      </c>
      <c r="H1057" s="22">
        <v>2</v>
      </c>
      <c r="I1057" s="22" t="s">
        <v>11</v>
      </c>
      <c r="J1057" s="23"/>
    </row>
    <row r="1058" spans="1:10" outlineLevel="1" collapsed="1">
      <c r="D1058" s="51" t="s">
        <v>1899</v>
      </c>
      <c r="E1058" s="22">
        <f>SUBTOTAL(3,E1057:E1057)</f>
        <v>1</v>
      </c>
      <c r="F1058" s="22"/>
      <c r="G1058" s="22"/>
      <c r="H1058" s="22"/>
      <c r="I1058" s="22">
        <f>SUBTOTAL(3,I1057:I1057)</f>
        <v>1</v>
      </c>
      <c r="J1058" s="23"/>
    </row>
    <row r="1059" spans="1:10" hidden="1" outlineLevel="2">
      <c r="A1059" s="20">
        <v>5</v>
      </c>
      <c r="B1059" s="20" t="s">
        <v>1586</v>
      </c>
      <c r="C1059" s="19" t="s">
        <v>1191</v>
      </c>
      <c r="D1059" s="41" t="str">
        <f>B1059&amp;"-"&amp;C1059</f>
        <v>生物-製圖二甲</v>
      </c>
      <c r="E1059" s="22" t="s">
        <v>1587</v>
      </c>
      <c r="F1059" s="22" t="s">
        <v>1588</v>
      </c>
      <c r="G1059" s="22">
        <v>55</v>
      </c>
      <c r="H1059" s="22">
        <v>2</v>
      </c>
      <c r="I1059" s="22" t="s">
        <v>11</v>
      </c>
      <c r="J1059" s="23"/>
    </row>
    <row r="1060" spans="1:10" hidden="1" outlineLevel="2">
      <c r="A1060" s="20">
        <v>5</v>
      </c>
      <c r="B1060" s="20" t="s">
        <v>1586</v>
      </c>
      <c r="C1060" s="19" t="s">
        <v>1191</v>
      </c>
      <c r="D1060" s="41" t="str">
        <f>B1060&amp;"-"&amp;C1060</f>
        <v>生物-製圖二甲</v>
      </c>
      <c r="E1060" s="22" t="s">
        <v>1194</v>
      </c>
      <c r="F1060" s="22" t="s">
        <v>1195</v>
      </c>
      <c r="G1060" s="22">
        <v>42</v>
      </c>
      <c r="H1060" s="22">
        <v>2</v>
      </c>
      <c r="I1060" s="22" t="s">
        <v>11</v>
      </c>
      <c r="J1060" s="23"/>
    </row>
    <row r="1061" spans="1:10" outlineLevel="1" collapsed="1">
      <c r="D1061" s="51" t="s">
        <v>1900</v>
      </c>
      <c r="E1061" s="22">
        <f>SUBTOTAL(3,E1059:E1060)</f>
        <v>2</v>
      </c>
      <c r="F1061" s="22"/>
      <c r="G1061" s="22"/>
      <c r="H1061" s="22"/>
      <c r="I1061" s="22">
        <f>SUBTOTAL(3,I1059:I1060)</f>
        <v>2</v>
      </c>
      <c r="J1061" s="23"/>
    </row>
    <row r="1062" spans="1:10" hidden="1" outlineLevel="2">
      <c r="A1062" s="20">
        <v>5</v>
      </c>
      <c r="B1062" s="20" t="s">
        <v>1586</v>
      </c>
      <c r="C1062" s="19" t="s">
        <v>1171</v>
      </c>
      <c r="D1062" s="41" t="str">
        <f>B1062&amp;"-"&amp;C1062</f>
        <v>生物-機械二乙</v>
      </c>
      <c r="E1062" s="22" t="s">
        <v>1178</v>
      </c>
      <c r="F1062" s="22" t="s">
        <v>1179</v>
      </c>
      <c r="G1062" s="22">
        <v>47</v>
      </c>
      <c r="H1062" s="22">
        <v>2</v>
      </c>
      <c r="I1062" s="22" t="s">
        <v>11</v>
      </c>
      <c r="J1062" s="23"/>
    </row>
    <row r="1063" spans="1:10" outlineLevel="1" collapsed="1">
      <c r="D1063" s="51" t="s">
        <v>1901</v>
      </c>
      <c r="E1063" s="22">
        <f>SUBTOTAL(3,E1062:E1062)</f>
        <v>1</v>
      </c>
      <c r="F1063" s="22"/>
      <c r="G1063" s="22"/>
      <c r="H1063" s="22"/>
      <c r="I1063" s="22">
        <f>SUBTOTAL(3,I1062:I1062)</f>
        <v>1</v>
      </c>
      <c r="J1063" s="23"/>
    </row>
    <row r="1064" spans="1:10" hidden="1" outlineLevel="2">
      <c r="A1064" s="20">
        <v>5</v>
      </c>
      <c r="B1064" s="20" t="s">
        <v>1586</v>
      </c>
      <c r="C1064" s="19" t="s">
        <v>1059</v>
      </c>
      <c r="D1064" s="41" t="str">
        <f>B1064&amp;"-"&amp;C1064</f>
        <v>生物-應英二乙</v>
      </c>
      <c r="E1064" s="22" t="s">
        <v>1487</v>
      </c>
      <c r="F1064" s="22" t="s">
        <v>1488</v>
      </c>
      <c r="G1064" s="22">
        <v>54</v>
      </c>
      <c r="H1064" s="22">
        <v>2</v>
      </c>
      <c r="I1064" s="22" t="s">
        <v>11</v>
      </c>
      <c r="J1064" s="23"/>
    </row>
    <row r="1065" spans="1:10" outlineLevel="1" collapsed="1">
      <c r="D1065" s="51" t="s">
        <v>1902</v>
      </c>
      <c r="E1065" s="22">
        <f>SUBTOTAL(3,E1064:E1064)</f>
        <v>1</v>
      </c>
      <c r="F1065" s="22"/>
      <c r="G1065" s="22"/>
      <c r="H1065" s="22"/>
      <c r="I1065" s="22">
        <f>SUBTOTAL(3,I1064:I1064)</f>
        <v>1</v>
      </c>
      <c r="J1065" s="23"/>
    </row>
    <row r="1066" spans="1:10" hidden="1" outlineLevel="2">
      <c r="A1066" s="20">
        <v>5</v>
      </c>
      <c r="B1066" s="20" t="s">
        <v>1963</v>
      </c>
      <c r="C1066" s="19" t="s">
        <v>174</v>
      </c>
      <c r="D1066" s="41" t="s">
        <v>1977</v>
      </c>
      <c r="E1066" s="22" t="s">
        <v>175</v>
      </c>
      <c r="F1066" s="22" t="s">
        <v>176</v>
      </c>
      <c r="G1066" s="22">
        <v>44</v>
      </c>
      <c r="H1066" s="22">
        <v>2</v>
      </c>
      <c r="I1066" s="22" t="s">
        <v>11</v>
      </c>
      <c r="J1066" s="23"/>
    </row>
    <row r="1067" spans="1:10" hidden="1" outlineLevel="2">
      <c r="A1067" s="20">
        <v>5</v>
      </c>
      <c r="B1067" s="20" t="s">
        <v>1963</v>
      </c>
      <c r="C1067" s="19" t="s">
        <v>174</v>
      </c>
      <c r="D1067" s="41" t="s">
        <v>1977</v>
      </c>
      <c r="E1067" s="22" t="s">
        <v>620</v>
      </c>
      <c r="F1067" s="22" t="s">
        <v>621</v>
      </c>
      <c r="G1067" s="22">
        <v>54</v>
      </c>
      <c r="H1067" s="22">
        <v>2</v>
      </c>
      <c r="I1067" s="22" t="s">
        <v>11</v>
      </c>
      <c r="J1067" s="23"/>
    </row>
    <row r="1068" spans="1:10" hidden="1" outlineLevel="2">
      <c r="A1068" s="20">
        <v>5</v>
      </c>
      <c r="B1068" s="20" t="s">
        <v>1963</v>
      </c>
      <c r="C1068" s="19" t="s">
        <v>174</v>
      </c>
      <c r="D1068" s="41" t="s">
        <v>1977</v>
      </c>
      <c r="E1068" s="22" t="s">
        <v>181</v>
      </c>
      <c r="F1068" s="22" t="s">
        <v>182</v>
      </c>
      <c r="G1068" s="22">
        <v>50</v>
      </c>
      <c r="H1068" s="22">
        <v>2</v>
      </c>
      <c r="I1068" s="22" t="s">
        <v>11</v>
      </c>
      <c r="J1068" s="23"/>
    </row>
    <row r="1069" spans="1:10" hidden="1" outlineLevel="2">
      <c r="A1069" s="20">
        <v>5</v>
      </c>
      <c r="B1069" s="20" t="s">
        <v>1963</v>
      </c>
      <c r="C1069" s="19" t="s">
        <v>174</v>
      </c>
      <c r="D1069" s="41" t="s">
        <v>1977</v>
      </c>
      <c r="E1069" s="22" t="s">
        <v>183</v>
      </c>
      <c r="F1069" s="22" t="s">
        <v>184</v>
      </c>
      <c r="G1069" s="22">
        <v>50</v>
      </c>
      <c r="H1069" s="22">
        <v>2</v>
      </c>
      <c r="I1069" s="22" t="s">
        <v>11</v>
      </c>
      <c r="J1069" s="23"/>
    </row>
    <row r="1070" spans="1:10" hidden="1" outlineLevel="2">
      <c r="A1070" s="20">
        <v>5</v>
      </c>
      <c r="B1070" s="20" t="s">
        <v>1963</v>
      </c>
      <c r="C1070" s="19" t="s">
        <v>174</v>
      </c>
      <c r="D1070" s="41" t="s">
        <v>1977</v>
      </c>
      <c r="E1070" s="22" t="s">
        <v>717</v>
      </c>
      <c r="F1070" s="22" t="s">
        <v>718</v>
      </c>
      <c r="G1070" s="22">
        <v>54</v>
      </c>
      <c r="H1070" s="22">
        <v>2</v>
      </c>
      <c r="I1070" s="22" t="s">
        <v>11</v>
      </c>
      <c r="J1070" s="23"/>
    </row>
    <row r="1071" spans="1:10" hidden="1" outlineLevel="2">
      <c r="A1071" s="20">
        <v>5</v>
      </c>
      <c r="B1071" s="20" t="s">
        <v>1963</v>
      </c>
      <c r="C1071" s="19" t="s">
        <v>174</v>
      </c>
      <c r="D1071" s="41" t="s">
        <v>1977</v>
      </c>
      <c r="E1071" s="22" t="s">
        <v>185</v>
      </c>
      <c r="F1071" s="22" t="s">
        <v>186</v>
      </c>
      <c r="G1071" s="22">
        <v>48</v>
      </c>
      <c r="H1071" s="22">
        <v>2</v>
      </c>
      <c r="I1071" s="22" t="s">
        <v>11</v>
      </c>
      <c r="J1071" s="23"/>
    </row>
    <row r="1072" spans="1:10" hidden="1" outlineLevel="2">
      <c r="A1072" s="20">
        <v>5</v>
      </c>
      <c r="B1072" s="20" t="s">
        <v>1963</v>
      </c>
      <c r="C1072" s="19" t="s">
        <v>174</v>
      </c>
      <c r="D1072" s="41" t="s">
        <v>1977</v>
      </c>
      <c r="E1072" s="22" t="s">
        <v>187</v>
      </c>
      <c r="F1072" s="22" t="s">
        <v>188</v>
      </c>
      <c r="G1072" s="22">
        <v>50</v>
      </c>
      <c r="H1072" s="22">
        <v>2</v>
      </c>
      <c r="I1072" s="22" t="s">
        <v>11</v>
      </c>
      <c r="J1072" s="23"/>
    </row>
    <row r="1073" spans="1:10" hidden="1" outlineLevel="2">
      <c r="A1073" s="20">
        <v>5</v>
      </c>
      <c r="B1073" s="20" t="s">
        <v>1963</v>
      </c>
      <c r="C1073" s="19" t="s">
        <v>174</v>
      </c>
      <c r="D1073" s="41" t="s">
        <v>1977</v>
      </c>
      <c r="E1073" s="22" t="s">
        <v>191</v>
      </c>
      <c r="F1073" s="22" t="s">
        <v>151</v>
      </c>
      <c r="G1073" s="22">
        <v>41</v>
      </c>
      <c r="H1073" s="22">
        <v>2</v>
      </c>
      <c r="I1073" s="22" t="s">
        <v>11</v>
      </c>
      <c r="J1073" s="23"/>
    </row>
    <row r="1074" spans="1:10" hidden="1" outlineLevel="2">
      <c r="A1074" s="20">
        <v>5</v>
      </c>
      <c r="B1074" s="20" t="s">
        <v>1963</v>
      </c>
      <c r="C1074" s="19" t="s">
        <v>174</v>
      </c>
      <c r="D1074" s="41" t="s">
        <v>1977</v>
      </c>
      <c r="E1074" s="22" t="s">
        <v>501</v>
      </c>
      <c r="F1074" s="22" t="s">
        <v>502</v>
      </c>
      <c r="G1074" s="22">
        <v>42</v>
      </c>
      <c r="H1074" s="22">
        <v>2</v>
      </c>
      <c r="I1074" s="22" t="s">
        <v>11</v>
      </c>
      <c r="J1074" s="23"/>
    </row>
    <row r="1075" spans="1:10" outlineLevel="1" collapsed="1">
      <c r="D1075" s="51" t="s">
        <v>2101</v>
      </c>
      <c r="E1075" s="22">
        <f>SUBTOTAL(3,E1066:E1074)</f>
        <v>9</v>
      </c>
      <c r="F1075" s="22"/>
      <c r="G1075" s="22"/>
      <c r="H1075" s="22"/>
      <c r="I1075" s="22">
        <f>SUBTOTAL(3,I1066:I1074)</f>
        <v>9</v>
      </c>
      <c r="J1075" s="23"/>
    </row>
    <row r="1076" spans="1:10" hidden="1" outlineLevel="2">
      <c r="A1076" s="20">
        <v>5</v>
      </c>
      <c r="B1076" s="20" t="s">
        <v>1963</v>
      </c>
      <c r="C1076" s="19" t="s">
        <v>279</v>
      </c>
      <c r="D1076" s="41" t="s">
        <v>1978</v>
      </c>
      <c r="E1076" s="22" t="s">
        <v>715</v>
      </c>
      <c r="F1076" s="22" t="s">
        <v>716</v>
      </c>
      <c r="G1076" s="22">
        <v>47</v>
      </c>
      <c r="H1076" s="22">
        <v>2</v>
      </c>
      <c r="I1076" s="22" t="s">
        <v>11</v>
      </c>
      <c r="J1076" s="23"/>
    </row>
    <row r="1077" spans="1:10" hidden="1" outlineLevel="2">
      <c r="A1077" s="20">
        <v>5</v>
      </c>
      <c r="B1077" s="20" t="s">
        <v>1963</v>
      </c>
      <c r="C1077" s="19" t="s">
        <v>279</v>
      </c>
      <c r="D1077" s="41" t="s">
        <v>1978</v>
      </c>
      <c r="E1077" s="22" t="s">
        <v>353</v>
      </c>
      <c r="F1077" s="22" t="s">
        <v>354</v>
      </c>
      <c r="G1077" s="22">
        <v>50</v>
      </c>
      <c r="H1077" s="22">
        <v>2</v>
      </c>
      <c r="I1077" s="22" t="s">
        <v>11</v>
      </c>
      <c r="J1077" s="23"/>
    </row>
    <row r="1078" spans="1:10" hidden="1" outlineLevel="2">
      <c r="A1078" s="20">
        <v>5</v>
      </c>
      <c r="B1078" s="20" t="s">
        <v>1963</v>
      </c>
      <c r="C1078" s="19" t="s">
        <v>279</v>
      </c>
      <c r="D1078" s="41" t="s">
        <v>1978</v>
      </c>
      <c r="E1078" s="22" t="s">
        <v>355</v>
      </c>
      <c r="F1078" s="22" t="s">
        <v>356</v>
      </c>
      <c r="G1078" s="22">
        <v>51</v>
      </c>
      <c r="H1078" s="22">
        <v>2</v>
      </c>
      <c r="I1078" s="22" t="s">
        <v>11</v>
      </c>
      <c r="J1078" s="23"/>
    </row>
    <row r="1079" spans="1:10" hidden="1" outlineLevel="2">
      <c r="A1079" s="20">
        <v>5</v>
      </c>
      <c r="B1079" s="20" t="s">
        <v>1963</v>
      </c>
      <c r="C1079" s="19" t="s">
        <v>279</v>
      </c>
      <c r="D1079" s="41" t="s">
        <v>1978</v>
      </c>
      <c r="E1079" s="22" t="s">
        <v>359</v>
      </c>
      <c r="F1079" s="22" t="s">
        <v>360</v>
      </c>
      <c r="G1079" s="22">
        <v>40</v>
      </c>
      <c r="H1079" s="22">
        <v>2</v>
      </c>
      <c r="I1079" s="22" t="s">
        <v>11</v>
      </c>
      <c r="J1079" s="23"/>
    </row>
    <row r="1080" spans="1:10" hidden="1" outlineLevel="2">
      <c r="A1080" s="20">
        <v>5</v>
      </c>
      <c r="B1080" s="20" t="s">
        <v>1963</v>
      </c>
      <c r="C1080" s="19" t="s">
        <v>279</v>
      </c>
      <c r="D1080" s="41" t="s">
        <v>1978</v>
      </c>
      <c r="E1080" s="22" t="s">
        <v>361</v>
      </c>
      <c r="F1080" s="22" t="s">
        <v>362</v>
      </c>
      <c r="G1080" s="22">
        <v>48</v>
      </c>
      <c r="H1080" s="22">
        <v>2</v>
      </c>
      <c r="I1080" s="22" t="s">
        <v>11</v>
      </c>
      <c r="J1080" s="23"/>
    </row>
    <row r="1081" spans="1:10" outlineLevel="1" collapsed="1">
      <c r="D1081" s="51" t="s">
        <v>2102</v>
      </c>
      <c r="E1081" s="22">
        <f>SUBTOTAL(3,E1076:E1080)</f>
        <v>5</v>
      </c>
      <c r="F1081" s="22"/>
      <c r="G1081" s="22"/>
      <c r="H1081" s="22"/>
      <c r="I1081" s="22">
        <f>SUBTOTAL(3,I1076:I1080)</f>
        <v>5</v>
      </c>
      <c r="J1081" s="23"/>
    </row>
    <row r="1082" spans="1:10" hidden="1" outlineLevel="2">
      <c r="A1082" s="20">
        <v>5</v>
      </c>
      <c r="B1082" s="20" t="s">
        <v>1963</v>
      </c>
      <c r="C1082" s="19" t="s">
        <v>294</v>
      </c>
      <c r="D1082" s="41" t="s">
        <v>1979</v>
      </c>
      <c r="E1082" s="22" t="s">
        <v>729</v>
      </c>
      <c r="F1082" s="22" t="s">
        <v>730</v>
      </c>
      <c r="G1082" s="22">
        <v>41</v>
      </c>
      <c r="H1082" s="22">
        <v>2</v>
      </c>
      <c r="I1082" s="22" t="s">
        <v>11</v>
      </c>
      <c r="J1082" s="23"/>
    </row>
    <row r="1083" spans="1:10" hidden="1" outlineLevel="2">
      <c r="A1083" s="20">
        <v>5</v>
      </c>
      <c r="B1083" s="20" t="s">
        <v>1963</v>
      </c>
      <c r="C1083" s="19" t="s">
        <v>294</v>
      </c>
      <c r="D1083" s="41" t="s">
        <v>1979</v>
      </c>
      <c r="E1083" s="22" t="s">
        <v>421</v>
      </c>
      <c r="F1083" s="22" t="s">
        <v>422</v>
      </c>
      <c r="G1083" s="22">
        <v>53</v>
      </c>
      <c r="H1083" s="22">
        <v>2</v>
      </c>
      <c r="I1083" s="22" t="s">
        <v>11</v>
      </c>
      <c r="J1083" s="23"/>
    </row>
    <row r="1084" spans="1:10" hidden="1" outlineLevel="2">
      <c r="A1084" s="20">
        <v>5</v>
      </c>
      <c r="B1084" s="20" t="s">
        <v>1963</v>
      </c>
      <c r="C1084" s="19" t="s">
        <v>294</v>
      </c>
      <c r="D1084" s="41" t="s">
        <v>1979</v>
      </c>
      <c r="E1084" s="22" t="s">
        <v>429</v>
      </c>
      <c r="F1084" s="22" t="s">
        <v>430</v>
      </c>
      <c r="G1084" s="22">
        <v>40</v>
      </c>
      <c r="H1084" s="22">
        <v>2</v>
      </c>
      <c r="I1084" s="22" t="s">
        <v>11</v>
      </c>
      <c r="J1084" s="23"/>
    </row>
    <row r="1085" spans="1:10" outlineLevel="1" collapsed="1">
      <c r="D1085" s="51" t="s">
        <v>2103</v>
      </c>
      <c r="E1085" s="22">
        <f>SUBTOTAL(3,E1082:E1084)</f>
        <v>3</v>
      </c>
      <c r="F1085" s="22"/>
      <c r="G1085" s="22"/>
      <c r="H1085" s="22"/>
      <c r="I1085" s="22">
        <f>SUBTOTAL(3,I1082:I1084)</f>
        <v>3</v>
      </c>
      <c r="J1085" s="23">
        <f>E1085+E1081+E1075+E1065+E1063+E1061+E1058+E1056+E1054+E1052+E1047+E1045+E1043+E1041</f>
        <v>32</v>
      </c>
    </row>
    <row r="1086" spans="1:10" hidden="1" outlineLevel="2">
      <c r="A1086" s="20">
        <v>5</v>
      </c>
      <c r="B1086" s="20" t="s">
        <v>1963</v>
      </c>
      <c r="C1086" s="19" t="s">
        <v>65</v>
      </c>
      <c r="D1086" s="41" t="s">
        <v>1980</v>
      </c>
      <c r="E1086" s="22" t="s">
        <v>68</v>
      </c>
      <c r="F1086" s="22" t="s">
        <v>69</v>
      </c>
      <c r="G1086" s="22">
        <v>50</v>
      </c>
      <c r="H1086" s="22">
        <v>2</v>
      </c>
      <c r="I1086" s="22" t="s">
        <v>11</v>
      </c>
      <c r="J1086" s="23"/>
    </row>
    <row r="1087" spans="1:10" hidden="1" outlineLevel="2">
      <c r="A1087" s="20">
        <v>5</v>
      </c>
      <c r="B1087" s="20" t="s">
        <v>1963</v>
      </c>
      <c r="C1087" s="19" t="s">
        <v>65</v>
      </c>
      <c r="D1087" s="41" t="s">
        <v>1980</v>
      </c>
      <c r="E1087" s="22" t="s">
        <v>689</v>
      </c>
      <c r="F1087" s="22" t="s">
        <v>690</v>
      </c>
      <c r="G1087" s="22">
        <v>54</v>
      </c>
      <c r="H1087" s="22">
        <v>2</v>
      </c>
      <c r="I1087" s="22" t="s">
        <v>11</v>
      </c>
      <c r="J1087" s="23"/>
    </row>
    <row r="1088" spans="1:10" hidden="1" outlineLevel="2">
      <c r="A1088" s="20">
        <v>5</v>
      </c>
      <c r="B1088" s="20" t="s">
        <v>1963</v>
      </c>
      <c r="C1088" s="19" t="s">
        <v>65</v>
      </c>
      <c r="D1088" s="41" t="s">
        <v>1980</v>
      </c>
      <c r="E1088" s="22" t="s">
        <v>719</v>
      </c>
      <c r="F1088" s="22" t="s">
        <v>720</v>
      </c>
      <c r="G1088" s="22">
        <v>54</v>
      </c>
      <c r="H1088" s="22">
        <v>2</v>
      </c>
      <c r="I1088" s="22" t="s">
        <v>11</v>
      </c>
      <c r="J1088" s="23"/>
    </row>
    <row r="1089" spans="1:10" hidden="1" outlineLevel="2">
      <c r="A1089" s="20">
        <v>5</v>
      </c>
      <c r="B1089" s="20" t="s">
        <v>1963</v>
      </c>
      <c r="C1089" s="19" t="s">
        <v>65</v>
      </c>
      <c r="D1089" s="41" t="s">
        <v>1980</v>
      </c>
      <c r="E1089" s="22" t="s">
        <v>76</v>
      </c>
      <c r="F1089" s="22" t="s">
        <v>77</v>
      </c>
      <c r="G1089" s="22">
        <v>53</v>
      </c>
      <c r="H1089" s="22">
        <v>2</v>
      </c>
      <c r="I1089" s="22" t="s">
        <v>11</v>
      </c>
      <c r="J1089" s="23"/>
    </row>
    <row r="1090" spans="1:10" hidden="1" outlineLevel="2">
      <c r="A1090" s="20">
        <v>5</v>
      </c>
      <c r="B1090" s="20" t="s">
        <v>1963</v>
      </c>
      <c r="C1090" s="19" t="s">
        <v>65</v>
      </c>
      <c r="D1090" s="41" t="s">
        <v>1980</v>
      </c>
      <c r="E1090" s="22" t="s">
        <v>721</v>
      </c>
      <c r="F1090" s="22" t="s">
        <v>722</v>
      </c>
      <c r="G1090" s="22">
        <v>53</v>
      </c>
      <c r="H1090" s="22">
        <v>2</v>
      </c>
      <c r="I1090" s="22" t="s">
        <v>11</v>
      </c>
      <c r="J1090" s="23"/>
    </row>
    <row r="1091" spans="1:10" hidden="1" outlineLevel="2">
      <c r="A1091" s="20">
        <v>5</v>
      </c>
      <c r="B1091" s="20" t="s">
        <v>1963</v>
      </c>
      <c r="C1091" s="19" t="s">
        <v>65</v>
      </c>
      <c r="D1091" s="41" t="s">
        <v>1980</v>
      </c>
      <c r="E1091" s="22" t="s">
        <v>723</v>
      </c>
      <c r="F1091" s="22" t="s">
        <v>724</v>
      </c>
      <c r="G1091" s="22">
        <v>50</v>
      </c>
      <c r="H1091" s="22">
        <v>2</v>
      </c>
      <c r="I1091" s="22" t="s">
        <v>11</v>
      </c>
      <c r="J1091" s="23"/>
    </row>
    <row r="1092" spans="1:10" hidden="1" outlineLevel="2">
      <c r="A1092" s="20">
        <v>5</v>
      </c>
      <c r="B1092" s="20" t="s">
        <v>1963</v>
      </c>
      <c r="C1092" s="19" t="s">
        <v>65</v>
      </c>
      <c r="D1092" s="41" t="s">
        <v>1980</v>
      </c>
      <c r="E1092" s="22" t="s">
        <v>78</v>
      </c>
      <c r="F1092" s="22" t="s">
        <v>79</v>
      </c>
      <c r="G1092" s="22">
        <v>40</v>
      </c>
      <c r="H1092" s="22">
        <v>2</v>
      </c>
      <c r="I1092" s="22" t="s">
        <v>11</v>
      </c>
      <c r="J1092" s="23"/>
    </row>
    <row r="1093" spans="1:10" hidden="1" outlineLevel="2">
      <c r="A1093" s="20">
        <v>5</v>
      </c>
      <c r="B1093" s="20" t="s">
        <v>1963</v>
      </c>
      <c r="C1093" s="19" t="s">
        <v>65</v>
      </c>
      <c r="D1093" s="41" t="s">
        <v>1980</v>
      </c>
      <c r="E1093" s="22" t="s">
        <v>725</v>
      </c>
      <c r="F1093" s="22" t="s">
        <v>726</v>
      </c>
      <c r="G1093" s="22">
        <v>54</v>
      </c>
      <c r="H1093" s="22">
        <v>2</v>
      </c>
      <c r="I1093" s="22" t="s">
        <v>11</v>
      </c>
      <c r="J1093" s="23"/>
    </row>
    <row r="1094" spans="1:10" hidden="1" outlineLevel="2">
      <c r="A1094" s="20">
        <v>5</v>
      </c>
      <c r="B1094" s="20" t="s">
        <v>1963</v>
      </c>
      <c r="C1094" s="19" t="s">
        <v>65</v>
      </c>
      <c r="D1094" s="41" t="s">
        <v>1980</v>
      </c>
      <c r="E1094" s="22" t="s">
        <v>727</v>
      </c>
      <c r="F1094" s="22" t="s">
        <v>728</v>
      </c>
      <c r="G1094" s="22">
        <v>46</v>
      </c>
      <c r="H1094" s="22">
        <v>2</v>
      </c>
      <c r="I1094" s="22" t="s">
        <v>11</v>
      </c>
      <c r="J1094" s="23"/>
    </row>
    <row r="1095" spans="1:10" hidden="1" outlineLevel="2">
      <c r="A1095" s="20">
        <v>5</v>
      </c>
      <c r="B1095" s="20" t="s">
        <v>1963</v>
      </c>
      <c r="C1095" s="19" t="s">
        <v>65</v>
      </c>
      <c r="D1095" s="41" t="s">
        <v>1980</v>
      </c>
      <c r="E1095" s="22" t="s">
        <v>82</v>
      </c>
      <c r="F1095" s="22" t="s">
        <v>83</v>
      </c>
      <c r="G1095" s="22">
        <v>36</v>
      </c>
      <c r="H1095" s="22">
        <v>2</v>
      </c>
      <c r="I1095" s="22" t="s">
        <v>11</v>
      </c>
      <c r="J1095" s="23"/>
    </row>
    <row r="1096" spans="1:10" outlineLevel="1" collapsed="1">
      <c r="D1096" s="51" t="s">
        <v>2104</v>
      </c>
      <c r="E1096" s="22">
        <f>SUBTOTAL(3,E1086:E1095)</f>
        <v>10</v>
      </c>
      <c r="F1096" s="22"/>
      <c r="G1096" s="22"/>
      <c r="H1096" s="22"/>
      <c r="I1096" s="22">
        <f>SUBTOTAL(3,I1086:I1095)</f>
        <v>10</v>
      </c>
      <c r="J1096" s="23"/>
    </row>
    <row r="1097" spans="1:10" hidden="1" outlineLevel="2">
      <c r="A1097" s="20">
        <v>5</v>
      </c>
      <c r="B1097" s="20" t="s">
        <v>1963</v>
      </c>
      <c r="C1097" s="19" t="s">
        <v>217</v>
      </c>
      <c r="D1097" s="41" t="s">
        <v>1981</v>
      </c>
      <c r="E1097" s="22" t="s">
        <v>775</v>
      </c>
      <c r="F1097" s="22" t="s">
        <v>776</v>
      </c>
      <c r="G1097" s="22">
        <v>53</v>
      </c>
      <c r="H1097" s="22">
        <v>2</v>
      </c>
      <c r="I1097" s="22" t="s">
        <v>11</v>
      </c>
      <c r="J1097" s="23"/>
    </row>
    <row r="1098" spans="1:10" hidden="1" outlineLevel="2">
      <c r="A1098" s="20">
        <v>5</v>
      </c>
      <c r="B1098" s="20" t="s">
        <v>1963</v>
      </c>
      <c r="C1098" s="19" t="s">
        <v>217</v>
      </c>
      <c r="D1098" s="41" t="s">
        <v>1981</v>
      </c>
      <c r="E1098" s="22" t="s">
        <v>373</v>
      </c>
      <c r="F1098" s="22" t="s">
        <v>374</v>
      </c>
      <c r="G1098" s="22">
        <v>57</v>
      </c>
      <c r="H1098" s="22">
        <v>2</v>
      </c>
      <c r="I1098" s="22" t="s">
        <v>11</v>
      </c>
      <c r="J1098" s="23"/>
    </row>
    <row r="1099" spans="1:10" hidden="1" outlineLevel="2">
      <c r="A1099" s="20">
        <v>5</v>
      </c>
      <c r="B1099" s="20" t="s">
        <v>1963</v>
      </c>
      <c r="C1099" s="19" t="s">
        <v>217</v>
      </c>
      <c r="D1099" s="41" t="s">
        <v>1981</v>
      </c>
      <c r="E1099" s="22" t="s">
        <v>383</v>
      </c>
      <c r="F1099" s="22" t="s">
        <v>384</v>
      </c>
      <c r="G1099" s="22">
        <v>58</v>
      </c>
      <c r="H1099" s="22">
        <v>2</v>
      </c>
      <c r="I1099" s="22" t="s">
        <v>11</v>
      </c>
      <c r="J1099" s="23"/>
    </row>
    <row r="1100" spans="1:10" hidden="1" outlineLevel="2">
      <c r="A1100" s="20">
        <v>5</v>
      </c>
      <c r="B1100" s="20" t="s">
        <v>1963</v>
      </c>
      <c r="C1100" s="19" t="s">
        <v>217</v>
      </c>
      <c r="D1100" s="41" t="s">
        <v>1981</v>
      </c>
      <c r="E1100" s="22" t="s">
        <v>385</v>
      </c>
      <c r="F1100" s="22" t="s">
        <v>386</v>
      </c>
      <c r="G1100" s="22">
        <v>58</v>
      </c>
      <c r="H1100" s="22">
        <v>2</v>
      </c>
      <c r="I1100" s="22" t="s">
        <v>11</v>
      </c>
      <c r="J1100" s="23"/>
    </row>
    <row r="1101" spans="1:10" outlineLevel="1" collapsed="1">
      <c r="D1101" s="51" t="s">
        <v>2105</v>
      </c>
      <c r="E1101" s="22">
        <f>SUBTOTAL(3,E1097:E1100)</f>
        <v>4</v>
      </c>
      <c r="F1101" s="22"/>
      <c r="G1101" s="22"/>
      <c r="H1101" s="22"/>
      <c r="I1101" s="22">
        <f>SUBTOTAL(3,I1097:I1100)</f>
        <v>4</v>
      </c>
      <c r="J1101" s="23"/>
    </row>
    <row r="1102" spans="1:10" hidden="1" outlineLevel="2">
      <c r="A1102" s="20">
        <v>5</v>
      </c>
      <c r="B1102" s="20" t="s">
        <v>1963</v>
      </c>
      <c r="C1102" s="19" t="s">
        <v>122</v>
      </c>
      <c r="D1102" s="41" t="s">
        <v>1982</v>
      </c>
      <c r="E1102" s="22" t="s">
        <v>123</v>
      </c>
      <c r="F1102" s="22" t="s">
        <v>124</v>
      </c>
      <c r="G1102" s="22">
        <v>54</v>
      </c>
      <c r="H1102" s="22">
        <v>2</v>
      </c>
      <c r="I1102" s="22" t="s">
        <v>11</v>
      </c>
      <c r="J1102" s="23"/>
    </row>
    <row r="1103" spans="1:10" hidden="1" outlineLevel="2">
      <c r="A1103" s="20">
        <v>5</v>
      </c>
      <c r="B1103" s="20" t="s">
        <v>1963</v>
      </c>
      <c r="C1103" s="19" t="s">
        <v>122</v>
      </c>
      <c r="D1103" s="41" t="s">
        <v>1982</v>
      </c>
      <c r="E1103" s="22" t="s">
        <v>431</v>
      </c>
      <c r="F1103" s="22" t="s">
        <v>432</v>
      </c>
      <c r="G1103" s="22">
        <v>54</v>
      </c>
      <c r="H1103" s="22">
        <v>2</v>
      </c>
      <c r="I1103" s="22" t="s">
        <v>11</v>
      </c>
      <c r="J1103" s="23"/>
    </row>
    <row r="1104" spans="1:10" hidden="1" outlineLevel="2">
      <c r="A1104" s="20">
        <v>5</v>
      </c>
      <c r="B1104" s="20" t="s">
        <v>1963</v>
      </c>
      <c r="C1104" s="19" t="s">
        <v>122</v>
      </c>
      <c r="D1104" s="41" t="s">
        <v>1982</v>
      </c>
      <c r="E1104" s="22" t="s">
        <v>777</v>
      </c>
      <c r="F1104" s="22" t="s">
        <v>778</v>
      </c>
      <c r="G1104" s="22">
        <v>56</v>
      </c>
      <c r="H1104" s="22">
        <v>2</v>
      </c>
      <c r="I1104" s="22" t="s">
        <v>11</v>
      </c>
      <c r="J1104" s="23"/>
    </row>
    <row r="1105" spans="1:10" hidden="1" outlineLevel="2">
      <c r="A1105" s="20">
        <v>5</v>
      </c>
      <c r="B1105" s="20" t="s">
        <v>1963</v>
      </c>
      <c r="C1105" s="19" t="s">
        <v>122</v>
      </c>
      <c r="D1105" s="41" t="s">
        <v>1982</v>
      </c>
      <c r="E1105" s="22" t="s">
        <v>779</v>
      </c>
      <c r="F1105" s="22" t="s">
        <v>780</v>
      </c>
      <c r="G1105" s="22">
        <v>57</v>
      </c>
      <c r="H1105" s="22">
        <v>2</v>
      </c>
      <c r="I1105" s="22" t="s">
        <v>11</v>
      </c>
      <c r="J1105" s="23"/>
    </row>
    <row r="1106" spans="1:10" hidden="1" outlineLevel="2">
      <c r="A1106" s="20">
        <v>5</v>
      </c>
      <c r="B1106" s="20" t="s">
        <v>1963</v>
      </c>
      <c r="C1106" s="19" t="s">
        <v>122</v>
      </c>
      <c r="D1106" s="41" t="s">
        <v>1982</v>
      </c>
      <c r="E1106" s="22" t="s">
        <v>125</v>
      </c>
      <c r="F1106" s="22" t="s">
        <v>126</v>
      </c>
      <c r="G1106" s="22">
        <v>55</v>
      </c>
      <c r="H1106" s="22">
        <v>2</v>
      </c>
      <c r="I1106" s="22" t="s">
        <v>11</v>
      </c>
      <c r="J1106" s="23"/>
    </row>
    <row r="1107" spans="1:10" hidden="1" outlineLevel="2">
      <c r="A1107" s="20">
        <v>5</v>
      </c>
      <c r="B1107" s="20" t="s">
        <v>1963</v>
      </c>
      <c r="C1107" s="19" t="s">
        <v>122</v>
      </c>
      <c r="D1107" s="41" t="s">
        <v>1982</v>
      </c>
      <c r="E1107" s="22" t="s">
        <v>781</v>
      </c>
      <c r="F1107" s="22" t="s">
        <v>782</v>
      </c>
      <c r="G1107" s="22">
        <v>57</v>
      </c>
      <c r="H1107" s="22">
        <v>2</v>
      </c>
      <c r="I1107" s="22" t="s">
        <v>11</v>
      </c>
      <c r="J1107" s="23"/>
    </row>
    <row r="1108" spans="1:10" hidden="1" outlineLevel="2">
      <c r="A1108" s="20">
        <v>5</v>
      </c>
      <c r="B1108" s="20" t="s">
        <v>1963</v>
      </c>
      <c r="C1108" s="19" t="s">
        <v>122</v>
      </c>
      <c r="D1108" s="41" t="s">
        <v>1982</v>
      </c>
      <c r="E1108" s="22" t="s">
        <v>783</v>
      </c>
      <c r="F1108" s="22" t="s">
        <v>784</v>
      </c>
      <c r="G1108" s="22">
        <v>58</v>
      </c>
      <c r="H1108" s="22">
        <v>2</v>
      </c>
      <c r="I1108" s="22" t="s">
        <v>11</v>
      </c>
      <c r="J1108" s="23"/>
    </row>
    <row r="1109" spans="1:10" hidden="1" outlineLevel="2">
      <c r="A1109" s="20">
        <v>5</v>
      </c>
      <c r="B1109" s="20" t="s">
        <v>1963</v>
      </c>
      <c r="C1109" s="19" t="s">
        <v>122</v>
      </c>
      <c r="D1109" s="41" t="s">
        <v>1982</v>
      </c>
      <c r="E1109" s="22" t="s">
        <v>785</v>
      </c>
      <c r="F1109" s="22" t="s">
        <v>786</v>
      </c>
      <c r="G1109" s="22">
        <v>58</v>
      </c>
      <c r="H1109" s="22">
        <v>2</v>
      </c>
      <c r="I1109" s="22" t="s">
        <v>11</v>
      </c>
      <c r="J1109" s="23"/>
    </row>
    <row r="1110" spans="1:10" hidden="1" outlineLevel="2">
      <c r="A1110" s="20">
        <v>5</v>
      </c>
      <c r="B1110" s="20" t="s">
        <v>1963</v>
      </c>
      <c r="C1110" s="19" t="s">
        <v>122</v>
      </c>
      <c r="D1110" s="41" t="s">
        <v>1982</v>
      </c>
      <c r="E1110" s="22" t="s">
        <v>433</v>
      </c>
      <c r="F1110" s="22" t="s">
        <v>434</v>
      </c>
      <c r="G1110" s="22">
        <v>57</v>
      </c>
      <c r="H1110" s="22">
        <v>2</v>
      </c>
      <c r="I1110" s="22" t="s">
        <v>11</v>
      </c>
      <c r="J1110" s="23"/>
    </row>
    <row r="1111" spans="1:10" hidden="1" outlineLevel="2">
      <c r="A1111" s="20">
        <v>5</v>
      </c>
      <c r="B1111" s="20" t="s">
        <v>1963</v>
      </c>
      <c r="C1111" s="19" t="s">
        <v>122</v>
      </c>
      <c r="D1111" s="41" t="s">
        <v>1982</v>
      </c>
      <c r="E1111" s="22" t="s">
        <v>787</v>
      </c>
      <c r="F1111" s="22" t="s">
        <v>788</v>
      </c>
      <c r="G1111" s="22">
        <v>58</v>
      </c>
      <c r="H1111" s="22">
        <v>2</v>
      </c>
      <c r="I1111" s="22" t="s">
        <v>11</v>
      </c>
      <c r="J1111" s="23"/>
    </row>
    <row r="1112" spans="1:10" hidden="1" outlineLevel="2">
      <c r="A1112" s="20">
        <v>5</v>
      </c>
      <c r="B1112" s="20" t="s">
        <v>1963</v>
      </c>
      <c r="C1112" s="19" t="s">
        <v>122</v>
      </c>
      <c r="D1112" s="41" t="s">
        <v>1982</v>
      </c>
      <c r="E1112" s="22" t="s">
        <v>127</v>
      </c>
      <c r="F1112" s="22" t="s">
        <v>128</v>
      </c>
      <c r="G1112" s="22">
        <v>55</v>
      </c>
      <c r="H1112" s="22">
        <v>2</v>
      </c>
      <c r="I1112" s="22" t="s">
        <v>11</v>
      </c>
      <c r="J1112" s="23"/>
    </row>
    <row r="1113" spans="1:10" hidden="1" outlineLevel="2">
      <c r="A1113" s="20">
        <v>5</v>
      </c>
      <c r="B1113" s="20" t="s">
        <v>1963</v>
      </c>
      <c r="C1113" s="19" t="s">
        <v>122</v>
      </c>
      <c r="D1113" s="41" t="s">
        <v>1982</v>
      </c>
      <c r="E1113" s="22" t="s">
        <v>129</v>
      </c>
      <c r="F1113" s="22" t="s">
        <v>130</v>
      </c>
      <c r="G1113" s="22">
        <v>58</v>
      </c>
      <c r="H1113" s="22">
        <v>2</v>
      </c>
      <c r="I1113" s="22" t="s">
        <v>11</v>
      </c>
      <c r="J1113" s="23"/>
    </row>
    <row r="1114" spans="1:10" hidden="1" outlineLevel="2">
      <c r="A1114" s="20">
        <v>5</v>
      </c>
      <c r="B1114" s="20" t="s">
        <v>1963</v>
      </c>
      <c r="C1114" s="19" t="s">
        <v>122</v>
      </c>
      <c r="D1114" s="41" t="s">
        <v>1982</v>
      </c>
      <c r="E1114" s="22" t="s">
        <v>789</v>
      </c>
      <c r="F1114" s="22" t="s">
        <v>790</v>
      </c>
      <c r="G1114" s="22">
        <v>58</v>
      </c>
      <c r="H1114" s="22">
        <v>2</v>
      </c>
      <c r="I1114" s="22" t="s">
        <v>11</v>
      </c>
      <c r="J1114" s="23"/>
    </row>
    <row r="1115" spans="1:10" hidden="1" outlineLevel="2">
      <c r="A1115" s="20">
        <v>5</v>
      </c>
      <c r="B1115" s="20" t="s">
        <v>1963</v>
      </c>
      <c r="C1115" s="19" t="s">
        <v>122</v>
      </c>
      <c r="D1115" s="41" t="s">
        <v>1982</v>
      </c>
      <c r="E1115" s="22" t="s">
        <v>131</v>
      </c>
      <c r="F1115" s="22" t="s">
        <v>132</v>
      </c>
      <c r="G1115" s="22">
        <v>49</v>
      </c>
      <c r="H1115" s="22">
        <v>2</v>
      </c>
      <c r="I1115" s="22" t="s">
        <v>11</v>
      </c>
      <c r="J1115" s="23"/>
    </row>
    <row r="1116" spans="1:10" hidden="1" outlineLevel="2">
      <c r="A1116" s="20">
        <v>5</v>
      </c>
      <c r="B1116" s="20" t="s">
        <v>1963</v>
      </c>
      <c r="C1116" s="19" t="s">
        <v>122</v>
      </c>
      <c r="D1116" s="41" t="s">
        <v>1982</v>
      </c>
      <c r="E1116" s="22" t="s">
        <v>791</v>
      </c>
      <c r="F1116" s="22" t="s">
        <v>792</v>
      </c>
      <c r="G1116" s="22">
        <v>58</v>
      </c>
      <c r="H1116" s="22">
        <v>2</v>
      </c>
      <c r="I1116" s="22" t="s">
        <v>11</v>
      </c>
      <c r="J1116" s="23"/>
    </row>
    <row r="1117" spans="1:10" hidden="1" outlineLevel="2">
      <c r="A1117" s="20">
        <v>5</v>
      </c>
      <c r="B1117" s="20" t="s">
        <v>1963</v>
      </c>
      <c r="C1117" s="19" t="s">
        <v>122</v>
      </c>
      <c r="D1117" s="41" t="s">
        <v>1982</v>
      </c>
      <c r="E1117" s="22" t="s">
        <v>139</v>
      </c>
      <c r="F1117" s="22" t="s">
        <v>140</v>
      </c>
      <c r="G1117" s="22">
        <v>56</v>
      </c>
      <c r="H1117" s="22">
        <v>2</v>
      </c>
      <c r="I1117" s="22" t="s">
        <v>11</v>
      </c>
      <c r="J1117" s="23"/>
    </row>
    <row r="1118" spans="1:10" outlineLevel="1" collapsed="1">
      <c r="D1118" s="51" t="s">
        <v>2106</v>
      </c>
      <c r="E1118" s="22">
        <f>SUBTOTAL(3,E1102:E1117)</f>
        <v>16</v>
      </c>
      <c r="F1118" s="22"/>
      <c r="G1118" s="22"/>
      <c r="H1118" s="22"/>
      <c r="I1118" s="22">
        <f>SUBTOTAL(3,I1102:I1117)</f>
        <v>16</v>
      </c>
      <c r="J1118" s="23"/>
    </row>
    <row r="1119" spans="1:10" hidden="1" outlineLevel="2">
      <c r="A1119" s="20">
        <v>5</v>
      </c>
      <c r="B1119" s="20" t="s">
        <v>1963</v>
      </c>
      <c r="C1119" s="19" t="s">
        <v>322</v>
      </c>
      <c r="D1119" s="41" t="s">
        <v>1983</v>
      </c>
      <c r="E1119" s="22" t="s">
        <v>763</v>
      </c>
      <c r="F1119" s="22" t="s">
        <v>764</v>
      </c>
      <c r="G1119" s="22">
        <v>53</v>
      </c>
      <c r="H1119" s="22">
        <v>2</v>
      </c>
      <c r="I1119" s="22" t="s">
        <v>11</v>
      </c>
      <c r="J1119" s="23"/>
    </row>
    <row r="1120" spans="1:10" hidden="1" outlineLevel="2">
      <c r="A1120" s="20">
        <v>5</v>
      </c>
      <c r="B1120" s="20" t="s">
        <v>1963</v>
      </c>
      <c r="C1120" s="19" t="s">
        <v>322</v>
      </c>
      <c r="D1120" s="41" t="s">
        <v>1983</v>
      </c>
      <c r="E1120" s="22" t="s">
        <v>765</v>
      </c>
      <c r="F1120" s="22" t="s">
        <v>766</v>
      </c>
      <c r="G1120" s="22">
        <v>58</v>
      </c>
      <c r="H1120" s="22">
        <v>2</v>
      </c>
      <c r="I1120" s="22" t="s">
        <v>11</v>
      </c>
      <c r="J1120" s="23"/>
    </row>
    <row r="1121" spans="1:10" hidden="1" outlineLevel="2">
      <c r="A1121" s="20">
        <v>5</v>
      </c>
      <c r="B1121" s="20" t="s">
        <v>1963</v>
      </c>
      <c r="C1121" s="19" t="s">
        <v>322</v>
      </c>
      <c r="D1121" s="41" t="s">
        <v>1983</v>
      </c>
      <c r="E1121" s="22" t="s">
        <v>767</v>
      </c>
      <c r="F1121" s="22" t="s">
        <v>768</v>
      </c>
      <c r="G1121" s="22">
        <v>58</v>
      </c>
      <c r="H1121" s="22">
        <v>2</v>
      </c>
      <c r="I1121" s="22" t="s">
        <v>11</v>
      </c>
      <c r="J1121" s="23"/>
    </row>
    <row r="1122" spans="1:10" hidden="1" outlineLevel="2">
      <c r="A1122" s="20">
        <v>5</v>
      </c>
      <c r="B1122" s="20" t="s">
        <v>1963</v>
      </c>
      <c r="C1122" s="19" t="s">
        <v>322</v>
      </c>
      <c r="D1122" s="41" t="s">
        <v>1983</v>
      </c>
      <c r="E1122" s="22" t="s">
        <v>769</v>
      </c>
      <c r="F1122" s="22" t="s">
        <v>770</v>
      </c>
      <c r="G1122" s="22">
        <v>58</v>
      </c>
      <c r="H1122" s="22">
        <v>2</v>
      </c>
      <c r="I1122" s="22" t="s">
        <v>11</v>
      </c>
      <c r="J1122" s="23"/>
    </row>
    <row r="1123" spans="1:10" hidden="1" outlineLevel="2">
      <c r="A1123" s="20">
        <v>5</v>
      </c>
      <c r="B1123" s="20" t="s">
        <v>1963</v>
      </c>
      <c r="C1123" s="19" t="s">
        <v>322</v>
      </c>
      <c r="D1123" s="41" t="s">
        <v>1983</v>
      </c>
      <c r="E1123" s="22" t="s">
        <v>771</v>
      </c>
      <c r="F1123" s="22" t="s">
        <v>772</v>
      </c>
      <c r="G1123" s="22">
        <v>51</v>
      </c>
      <c r="H1123" s="22">
        <v>2</v>
      </c>
      <c r="I1123" s="22" t="s">
        <v>11</v>
      </c>
      <c r="J1123" s="23"/>
    </row>
    <row r="1124" spans="1:10" hidden="1" outlineLevel="2">
      <c r="A1124" s="20">
        <v>5</v>
      </c>
      <c r="B1124" s="20" t="s">
        <v>1963</v>
      </c>
      <c r="C1124" s="19" t="s">
        <v>322</v>
      </c>
      <c r="D1124" s="41" t="s">
        <v>1983</v>
      </c>
      <c r="E1124" s="22" t="s">
        <v>773</v>
      </c>
      <c r="F1124" s="22" t="s">
        <v>774</v>
      </c>
      <c r="G1124" s="22">
        <v>56</v>
      </c>
      <c r="H1124" s="22">
        <v>2</v>
      </c>
      <c r="I1124" s="22" t="s">
        <v>11</v>
      </c>
      <c r="J1124" s="23"/>
    </row>
    <row r="1125" spans="1:10" hidden="1" outlineLevel="2">
      <c r="A1125" s="20">
        <v>5</v>
      </c>
      <c r="B1125" s="20" t="s">
        <v>1963</v>
      </c>
      <c r="C1125" s="19" t="s">
        <v>322</v>
      </c>
      <c r="D1125" s="41" t="s">
        <v>1983</v>
      </c>
      <c r="E1125" s="22" t="s">
        <v>325</v>
      </c>
      <c r="F1125" s="22" t="s">
        <v>326</v>
      </c>
      <c r="G1125" s="22">
        <v>42</v>
      </c>
      <c r="H1125" s="22">
        <v>2</v>
      </c>
      <c r="I1125" s="22" t="s">
        <v>11</v>
      </c>
      <c r="J1125" s="23"/>
    </row>
    <row r="1126" spans="1:10" outlineLevel="1" collapsed="1">
      <c r="D1126" s="51" t="s">
        <v>2107</v>
      </c>
      <c r="E1126" s="22">
        <f>SUBTOTAL(3,E1119:E1125)</f>
        <v>7</v>
      </c>
      <c r="F1126" s="22"/>
      <c r="G1126" s="22"/>
      <c r="H1126" s="22"/>
      <c r="I1126" s="22">
        <f>SUBTOTAL(3,I1119:I1125)</f>
        <v>7</v>
      </c>
      <c r="J1126" s="23">
        <f>E1126+E1118+E1101+E1096</f>
        <v>37</v>
      </c>
    </row>
    <row r="1127" spans="1:10" hidden="1" outlineLevel="2">
      <c r="A1127" s="20">
        <v>5</v>
      </c>
      <c r="B1127" s="20" t="s">
        <v>1963</v>
      </c>
      <c r="C1127" s="19" t="s">
        <v>194</v>
      </c>
      <c r="D1127" s="41" t="s">
        <v>1984</v>
      </c>
      <c r="E1127" s="22" t="s">
        <v>195</v>
      </c>
      <c r="F1127" s="22" t="s">
        <v>196</v>
      </c>
      <c r="G1127" s="22">
        <v>43</v>
      </c>
      <c r="H1127" s="22">
        <v>2</v>
      </c>
      <c r="I1127" s="22" t="s">
        <v>11</v>
      </c>
      <c r="J1127" s="23"/>
    </row>
    <row r="1128" spans="1:10" hidden="1" outlineLevel="2">
      <c r="A1128" s="20">
        <v>5</v>
      </c>
      <c r="B1128" s="20" t="s">
        <v>1963</v>
      </c>
      <c r="C1128" s="19" t="s">
        <v>194</v>
      </c>
      <c r="D1128" s="41" t="s">
        <v>1984</v>
      </c>
      <c r="E1128" s="22" t="s">
        <v>199</v>
      </c>
      <c r="F1128" s="22" t="s">
        <v>200</v>
      </c>
      <c r="G1128" s="22">
        <v>40</v>
      </c>
      <c r="H1128" s="22">
        <v>2</v>
      </c>
      <c r="I1128" s="22" t="s">
        <v>11</v>
      </c>
      <c r="J1128" s="23"/>
    </row>
    <row r="1129" spans="1:10" hidden="1" outlineLevel="2">
      <c r="A1129" s="20">
        <v>5</v>
      </c>
      <c r="B1129" s="20" t="s">
        <v>1963</v>
      </c>
      <c r="C1129" s="19" t="s">
        <v>194</v>
      </c>
      <c r="D1129" s="41" t="s">
        <v>1984</v>
      </c>
      <c r="E1129" s="22" t="s">
        <v>757</v>
      </c>
      <c r="F1129" s="22" t="s">
        <v>758</v>
      </c>
      <c r="G1129" s="22">
        <v>45</v>
      </c>
      <c r="H1129" s="22">
        <v>2</v>
      </c>
      <c r="I1129" s="22" t="s">
        <v>11</v>
      </c>
      <c r="J1129" s="23"/>
    </row>
    <row r="1130" spans="1:10" hidden="1" outlineLevel="2">
      <c r="A1130" s="20">
        <v>5</v>
      </c>
      <c r="B1130" s="20" t="s">
        <v>1963</v>
      </c>
      <c r="C1130" s="19" t="s">
        <v>194</v>
      </c>
      <c r="D1130" s="41" t="s">
        <v>1984</v>
      </c>
      <c r="E1130" s="22" t="s">
        <v>203</v>
      </c>
      <c r="F1130" s="22" t="s">
        <v>204</v>
      </c>
      <c r="G1130" s="22">
        <v>50</v>
      </c>
      <c r="H1130" s="22">
        <v>2</v>
      </c>
      <c r="I1130" s="22" t="s">
        <v>11</v>
      </c>
      <c r="J1130" s="23"/>
    </row>
    <row r="1131" spans="1:10" hidden="1" outlineLevel="2">
      <c r="A1131" s="20">
        <v>5</v>
      </c>
      <c r="B1131" s="20" t="s">
        <v>1963</v>
      </c>
      <c r="C1131" s="19" t="s">
        <v>194</v>
      </c>
      <c r="D1131" s="41" t="s">
        <v>1984</v>
      </c>
      <c r="E1131" s="22" t="s">
        <v>759</v>
      </c>
      <c r="F1131" s="22" t="s">
        <v>760</v>
      </c>
      <c r="G1131" s="22">
        <v>52</v>
      </c>
      <c r="H1131" s="22">
        <v>2</v>
      </c>
      <c r="I1131" s="22" t="s">
        <v>11</v>
      </c>
      <c r="J1131" s="23"/>
    </row>
    <row r="1132" spans="1:10" hidden="1" outlineLevel="2">
      <c r="A1132" s="20">
        <v>5</v>
      </c>
      <c r="B1132" s="20" t="s">
        <v>1963</v>
      </c>
      <c r="C1132" s="19" t="s">
        <v>194</v>
      </c>
      <c r="D1132" s="41" t="s">
        <v>1984</v>
      </c>
      <c r="E1132" s="22" t="s">
        <v>205</v>
      </c>
      <c r="F1132" s="22" t="s">
        <v>206</v>
      </c>
      <c r="G1132" s="22">
        <v>44</v>
      </c>
      <c r="H1132" s="22">
        <v>2</v>
      </c>
      <c r="I1132" s="22" t="s">
        <v>11</v>
      </c>
      <c r="J1132" s="23"/>
    </row>
    <row r="1133" spans="1:10" hidden="1" outlineLevel="2">
      <c r="A1133" s="20">
        <v>5</v>
      </c>
      <c r="B1133" s="20" t="s">
        <v>1963</v>
      </c>
      <c r="C1133" s="19" t="s">
        <v>194</v>
      </c>
      <c r="D1133" s="41" t="s">
        <v>1984</v>
      </c>
      <c r="E1133" s="22" t="s">
        <v>207</v>
      </c>
      <c r="F1133" s="22" t="s">
        <v>208</v>
      </c>
      <c r="G1133" s="22">
        <v>40</v>
      </c>
      <c r="H1133" s="22">
        <v>2</v>
      </c>
      <c r="I1133" s="22" t="s">
        <v>11</v>
      </c>
      <c r="J1133" s="23"/>
    </row>
    <row r="1134" spans="1:10" hidden="1" outlineLevel="2">
      <c r="A1134" s="20">
        <v>5</v>
      </c>
      <c r="B1134" s="20" t="s">
        <v>1963</v>
      </c>
      <c r="C1134" s="19" t="s">
        <v>194</v>
      </c>
      <c r="D1134" s="41" t="s">
        <v>1984</v>
      </c>
      <c r="E1134" s="22" t="s">
        <v>527</v>
      </c>
      <c r="F1134" s="22" t="s">
        <v>528</v>
      </c>
      <c r="G1134" s="22">
        <v>44</v>
      </c>
      <c r="H1134" s="22">
        <v>2</v>
      </c>
      <c r="I1134" s="22" t="s">
        <v>11</v>
      </c>
      <c r="J1134" s="23"/>
    </row>
    <row r="1135" spans="1:10" hidden="1" outlineLevel="2">
      <c r="A1135" s="20">
        <v>5</v>
      </c>
      <c r="B1135" s="20" t="s">
        <v>1963</v>
      </c>
      <c r="C1135" s="19" t="s">
        <v>194</v>
      </c>
      <c r="D1135" s="41" t="s">
        <v>1984</v>
      </c>
      <c r="E1135" s="22" t="s">
        <v>761</v>
      </c>
      <c r="F1135" s="22" t="s">
        <v>762</v>
      </c>
      <c r="G1135" s="22">
        <v>40</v>
      </c>
      <c r="H1135" s="22">
        <v>2</v>
      </c>
      <c r="I1135" s="22" t="s">
        <v>11</v>
      </c>
      <c r="J1135" s="23"/>
    </row>
    <row r="1136" spans="1:10" hidden="1" outlineLevel="2">
      <c r="A1136" s="20">
        <v>5</v>
      </c>
      <c r="B1136" s="20" t="s">
        <v>1963</v>
      </c>
      <c r="C1136" s="19" t="s">
        <v>194</v>
      </c>
      <c r="D1136" s="41" t="s">
        <v>1984</v>
      </c>
      <c r="E1136" s="22" t="s">
        <v>529</v>
      </c>
      <c r="F1136" s="22" t="s">
        <v>530</v>
      </c>
      <c r="G1136" s="22">
        <v>41</v>
      </c>
      <c r="H1136" s="22">
        <v>2</v>
      </c>
      <c r="I1136" s="22" t="s">
        <v>11</v>
      </c>
      <c r="J1136" s="23"/>
    </row>
    <row r="1137" spans="1:10" hidden="1" outlineLevel="2">
      <c r="A1137" s="20">
        <v>5</v>
      </c>
      <c r="B1137" s="20" t="s">
        <v>1963</v>
      </c>
      <c r="C1137" s="19" t="s">
        <v>194</v>
      </c>
      <c r="D1137" s="41" t="s">
        <v>1984</v>
      </c>
      <c r="E1137" s="22" t="s">
        <v>634</v>
      </c>
      <c r="F1137" s="22" t="s">
        <v>635</v>
      </c>
      <c r="G1137" s="22">
        <v>50</v>
      </c>
      <c r="H1137" s="22">
        <v>2</v>
      </c>
      <c r="I1137" s="22" t="s">
        <v>11</v>
      </c>
      <c r="J1137" s="23"/>
    </row>
    <row r="1138" spans="1:10" hidden="1" outlineLevel="2">
      <c r="A1138" s="20">
        <v>5</v>
      </c>
      <c r="B1138" s="20" t="s">
        <v>1963</v>
      </c>
      <c r="C1138" s="19" t="s">
        <v>194</v>
      </c>
      <c r="D1138" s="41" t="s">
        <v>1984</v>
      </c>
      <c r="E1138" s="22" t="s">
        <v>211</v>
      </c>
      <c r="F1138" s="22" t="s">
        <v>212</v>
      </c>
      <c r="G1138" s="22">
        <v>43</v>
      </c>
      <c r="H1138" s="22">
        <v>2</v>
      </c>
      <c r="I1138" s="22" t="s">
        <v>11</v>
      </c>
      <c r="J1138" s="23"/>
    </row>
    <row r="1139" spans="1:10" hidden="1" outlineLevel="2">
      <c r="A1139" s="20">
        <v>5</v>
      </c>
      <c r="B1139" s="20" t="s">
        <v>1963</v>
      </c>
      <c r="C1139" s="19" t="s">
        <v>194</v>
      </c>
      <c r="D1139" s="41" t="s">
        <v>1984</v>
      </c>
      <c r="E1139" s="22" t="s">
        <v>213</v>
      </c>
      <c r="F1139" s="22" t="s">
        <v>214</v>
      </c>
      <c r="G1139" s="22">
        <v>50</v>
      </c>
      <c r="H1139" s="22">
        <v>2</v>
      </c>
      <c r="I1139" s="22" t="s">
        <v>11</v>
      </c>
      <c r="J1139" s="23"/>
    </row>
    <row r="1140" spans="1:10" hidden="1" outlineLevel="2">
      <c r="A1140" s="20">
        <v>5</v>
      </c>
      <c r="B1140" s="20" t="s">
        <v>1963</v>
      </c>
      <c r="C1140" s="19" t="s">
        <v>194</v>
      </c>
      <c r="D1140" s="41" t="s">
        <v>1984</v>
      </c>
      <c r="E1140" s="22" t="s">
        <v>215</v>
      </c>
      <c r="F1140" s="22" t="s">
        <v>216</v>
      </c>
      <c r="G1140" s="22">
        <v>40</v>
      </c>
      <c r="H1140" s="22">
        <v>2</v>
      </c>
      <c r="I1140" s="22" t="s">
        <v>11</v>
      </c>
      <c r="J1140" s="23"/>
    </row>
    <row r="1141" spans="1:10" hidden="1" outlineLevel="2">
      <c r="A1141" s="20">
        <v>5</v>
      </c>
      <c r="B1141" s="20" t="s">
        <v>1963</v>
      </c>
      <c r="C1141" s="19" t="s">
        <v>194</v>
      </c>
      <c r="D1141" s="41" t="s">
        <v>1984</v>
      </c>
      <c r="E1141" s="22" t="s">
        <v>535</v>
      </c>
      <c r="F1141" s="22" t="s">
        <v>536</v>
      </c>
      <c r="G1141" s="22">
        <v>50</v>
      </c>
      <c r="H1141" s="22">
        <v>2</v>
      </c>
      <c r="I1141" s="22" t="s">
        <v>11</v>
      </c>
      <c r="J1141" s="23"/>
    </row>
    <row r="1142" spans="1:10" outlineLevel="1" collapsed="1">
      <c r="D1142" s="51" t="s">
        <v>2108</v>
      </c>
      <c r="E1142" s="22">
        <f>SUBTOTAL(3,E1127:E1141)</f>
        <v>15</v>
      </c>
      <c r="F1142" s="22"/>
      <c r="G1142" s="22"/>
      <c r="H1142" s="22"/>
      <c r="I1142" s="22">
        <f>SUBTOTAL(3,I1127:I1141)</f>
        <v>15</v>
      </c>
      <c r="J1142" s="23"/>
    </row>
    <row r="1143" spans="1:10" hidden="1" outlineLevel="2">
      <c r="A1143" s="20">
        <v>5</v>
      </c>
      <c r="B1143" s="20" t="s">
        <v>1963</v>
      </c>
      <c r="C1143" s="19" t="s">
        <v>301</v>
      </c>
      <c r="D1143" s="41" t="s">
        <v>1985</v>
      </c>
      <c r="E1143" s="22" t="s">
        <v>306</v>
      </c>
      <c r="F1143" s="22" t="s">
        <v>307</v>
      </c>
      <c r="G1143" s="22">
        <v>48</v>
      </c>
      <c r="H1143" s="22">
        <v>2</v>
      </c>
      <c r="I1143" s="22" t="s">
        <v>11</v>
      </c>
      <c r="J1143" s="23"/>
    </row>
    <row r="1144" spans="1:10" hidden="1" outlineLevel="2">
      <c r="A1144" s="20">
        <v>5</v>
      </c>
      <c r="B1144" s="20" t="s">
        <v>1963</v>
      </c>
      <c r="C1144" s="19" t="s">
        <v>301</v>
      </c>
      <c r="D1144" s="41" t="s">
        <v>1985</v>
      </c>
      <c r="E1144" s="22" t="s">
        <v>308</v>
      </c>
      <c r="F1144" s="22" t="s">
        <v>309</v>
      </c>
      <c r="G1144" s="22">
        <v>50</v>
      </c>
      <c r="H1144" s="22">
        <v>2</v>
      </c>
      <c r="I1144" s="22" t="s">
        <v>11</v>
      </c>
      <c r="J1144" s="23"/>
    </row>
    <row r="1145" spans="1:10" hidden="1" outlineLevel="2">
      <c r="A1145" s="20">
        <v>5</v>
      </c>
      <c r="B1145" s="20" t="s">
        <v>1963</v>
      </c>
      <c r="C1145" s="19" t="s">
        <v>301</v>
      </c>
      <c r="D1145" s="41" t="s">
        <v>1985</v>
      </c>
      <c r="E1145" s="22" t="s">
        <v>310</v>
      </c>
      <c r="F1145" s="22" t="s">
        <v>311</v>
      </c>
      <c r="G1145" s="22">
        <v>47</v>
      </c>
      <c r="H1145" s="22">
        <v>2</v>
      </c>
      <c r="I1145" s="22" t="s">
        <v>11</v>
      </c>
      <c r="J1145" s="23"/>
    </row>
    <row r="1146" spans="1:10" hidden="1" outlineLevel="2">
      <c r="A1146" s="20">
        <v>5</v>
      </c>
      <c r="B1146" s="20" t="s">
        <v>1963</v>
      </c>
      <c r="C1146" s="19" t="s">
        <v>301</v>
      </c>
      <c r="D1146" s="41" t="s">
        <v>1985</v>
      </c>
      <c r="E1146" s="22" t="s">
        <v>731</v>
      </c>
      <c r="F1146" s="22" t="s">
        <v>732</v>
      </c>
      <c r="G1146" s="22">
        <v>48</v>
      </c>
      <c r="H1146" s="22">
        <v>2</v>
      </c>
      <c r="I1146" s="22" t="s">
        <v>11</v>
      </c>
      <c r="J1146" s="23"/>
    </row>
    <row r="1147" spans="1:10" hidden="1" outlineLevel="2">
      <c r="A1147" s="20">
        <v>5</v>
      </c>
      <c r="B1147" s="20" t="s">
        <v>1963</v>
      </c>
      <c r="C1147" s="19" t="s">
        <v>301</v>
      </c>
      <c r="D1147" s="41" t="s">
        <v>1985</v>
      </c>
      <c r="E1147" s="22" t="s">
        <v>467</v>
      </c>
      <c r="F1147" s="22" t="s">
        <v>468</v>
      </c>
      <c r="G1147" s="22">
        <v>51</v>
      </c>
      <c r="H1147" s="22">
        <v>2</v>
      </c>
      <c r="I1147" s="22" t="s">
        <v>11</v>
      </c>
      <c r="J1147" s="23"/>
    </row>
    <row r="1148" spans="1:10" hidden="1" outlineLevel="2">
      <c r="A1148" s="20">
        <v>5</v>
      </c>
      <c r="B1148" s="20" t="s">
        <v>1963</v>
      </c>
      <c r="C1148" s="19" t="s">
        <v>301</v>
      </c>
      <c r="D1148" s="41" t="s">
        <v>1985</v>
      </c>
      <c r="E1148" s="22" t="s">
        <v>318</v>
      </c>
      <c r="F1148" s="22" t="s">
        <v>319</v>
      </c>
      <c r="G1148" s="22">
        <v>47</v>
      </c>
      <c r="H1148" s="22">
        <v>2</v>
      </c>
      <c r="I1148" s="22" t="s">
        <v>11</v>
      </c>
      <c r="J1148" s="23"/>
    </row>
    <row r="1149" spans="1:10" hidden="1" outlineLevel="2">
      <c r="A1149" s="20">
        <v>5</v>
      </c>
      <c r="B1149" s="20" t="s">
        <v>1963</v>
      </c>
      <c r="C1149" s="19" t="s">
        <v>301</v>
      </c>
      <c r="D1149" s="41" t="s">
        <v>1985</v>
      </c>
      <c r="E1149" s="22" t="s">
        <v>677</v>
      </c>
      <c r="F1149" s="22" t="s">
        <v>678</v>
      </c>
      <c r="G1149" s="22">
        <v>47</v>
      </c>
      <c r="H1149" s="22">
        <v>2</v>
      </c>
      <c r="I1149" s="22" t="s">
        <v>11</v>
      </c>
      <c r="J1149" s="23"/>
    </row>
    <row r="1150" spans="1:10" hidden="1" outlineLevel="2">
      <c r="A1150" s="20">
        <v>5</v>
      </c>
      <c r="B1150" s="20" t="s">
        <v>1963</v>
      </c>
      <c r="C1150" s="19" t="s">
        <v>301</v>
      </c>
      <c r="D1150" s="41" t="s">
        <v>1985</v>
      </c>
      <c r="E1150" s="22" t="s">
        <v>473</v>
      </c>
      <c r="F1150" s="22" t="s">
        <v>474</v>
      </c>
      <c r="G1150" s="22">
        <v>40</v>
      </c>
      <c r="H1150" s="22">
        <v>2</v>
      </c>
      <c r="I1150" s="22" t="s">
        <v>11</v>
      </c>
      <c r="J1150" s="23"/>
    </row>
    <row r="1151" spans="1:10" outlineLevel="1" collapsed="1">
      <c r="D1151" s="51" t="s">
        <v>2109</v>
      </c>
      <c r="E1151" s="22">
        <f>SUBTOTAL(3,E1143:E1150)</f>
        <v>8</v>
      </c>
      <c r="F1151" s="22"/>
      <c r="G1151" s="22"/>
      <c r="H1151" s="22"/>
      <c r="I1151" s="22">
        <f>SUBTOTAL(3,I1143:I1150)</f>
        <v>8</v>
      </c>
      <c r="J1151" s="23"/>
    </row>
    <row r="1152" spans="1:10" hidden="1" outlineLevel="2">
      <c r="A1152" s="20">
        <v>5</v>
      </c>
      <c r="B1152" s="20" t="s">
        <v>1963</v>
      </c>
      <c r="C1152" s="19" t="s">
        <v>84</v>
      </c>
      <c r="D1152" s="41" t="s">
        <v>1986</v>
      </c>
      <c r="E1152" s="22" t="s">
        <v>89</v>
      </c>
      <c r="F1152" s="22" t="s">
        <v>90</v>
      </c>
      <c r="G1152" s="22">
        <v>54</v>
      </c>
      <c r="H1152" s="22">
        <v>2</v>
      </c>
      <c r="I1152" s="22" t="s">
        <v>11</v>
      </c>
      <c r="J1152" s="23"/>
    </row>
    <row r="1153" spans="1:10" hidden="1" outlineLevel="2">
      <c r="A1153" s="20">
        <v>5</v>
      </c>
      <c r="B1153" s="20" t="s">
        <v>1963</v>
      </c>
      <c r="C1153" s="19" t="s">
        <v>84</v>
      </c>
      <c r="D1153" s="41" t="s">
        <v>1986</v>
      </c>
      <c r="E1153" s="22" t="s">
        <v>751</v>
      </c>
      <c r="F1153" s="22" t="s">
        <v>752</v>
      </c>
      <c r="G1153" s="22">
        <v>42</v>
      </c>
      <c r="H1153" s="22">
        <v>2</v>
      </c>
      <c r="I1153" s="22" t="s">
        <v>11</v>
      </c>
      <c r="J1153" s="23"/>
    </row>
    <row r="1154" spans="1:10" hidden="1" outlineLevel="2">
      <c r="A1154" s="20">
        <v>5</v>
      </c>
      <c r="B1154" s="20" t="s">
        <v>1963</v>
      </c>
      <c r="C1154" s="19" t="s">
        <v>84</v>
      </c>
      <c r="D1154" s="41" t="s">
        <v>1986</v>
      </c>
      <c r="E1154" s="22" t="s">
        <v>604</v>
      </c>
      <c r="F1154" s="22" t="s">
        <v>605</v>
      </c>
      <c r="G1154" s="22">
        <v>45</v>
      </c>
      <c r="H1154" s="22">
        <v>2</v>
      </c>
      <c r="I1154" s="22" t="s">
        <v>11</v>
      </c>
      <c r="J1154" s="23"/>
    </row>
    <row r="1155" spans="1:10" hidden="1" outlineLevel="2">
      <c r="A1155" s="20">
        <v>5</v>
      </c>
      <c r="B1155" s="20" t="s">
        <v>1963</v>
      </c>
      <c r="C1155" s="19" t="s">
        <v>84</v>
      </c>
      <c r="D1155" s="41" t="s">
        <v>1986</v>
      </c>
      <c r="E1155" s="22" t="s">
        <v>753</v>
      </c>
      <c r="F1155" s="22" t="s">
        <v>754</v>
      </c>
      <c r="G1155" s="22">
        <v>46</v>
      </c>
      <c r="H1155" s="22">
        <v>2</v>
      </c>
      <c r="I1155" s="22" t="s">
        <v>11</v>
      </c>
      <c r="J1155" s="23"/>
    </row>
    <row r="1156" spans="1:10" hidden="1" outlineLevel="2">
      <c r="A1156" s="20">
        <v>5</v>
      </c>
      <c r="B1156" s="20" t="s">
        <v>1963</v>
      </c>
      <c r="C1156" s="19" t="s">
        <v>84</v>
      </c>
      <c r="D1156" s="41" t="s">
        <v>1986</v>
      </c>
      <c r="E1156" s="22" t="s">
        <v>755</v>
      </c>
      <c r="F1156" s="22" t="s">
        <v>756</v>
      </c>
      <c r="G1156" s="22">
        <v>54</v>
      </c>
      <c r="H1156" s="22">
        <v>2</v>
      </c>
      <c r="I1156" s="22" t="s">
        <v>11</v>
      </c>
      <c r="J1156" s="23"/>
    </row>
    <row r="1157" spans="1:10" outlineLevel="1" collapsed="1">
      <c r="D1157" s="51" t="s">
        <v>2110</v>
      </c>
      <c r="E1157" s="22">
        <f>SUBTOTAL(3,E1152:E1156)</f>
        <v>5</v>
      </c>
      <c r="F1157" s="22"/>
      <c r="G1157" s="22"/>
      <c r="H1157" s="22"/>
      <c r="I1157" s="22">
        <f>SUBTOTAL(3,I1152:I1156)</f>
        <v>5</v>
      </c>
      <c r="J1157" s="23"/>
    </row>
    <row r="1158" spans="1:10" hidden="1" outlineLevel="2">
      <c r="A1158" s="20">
        <v>5</v>
      </c>
      <c r="B1158" s="20" t="s">
        <v>1963</v>
      </c>
      <c r="C1158" s="19" t="s">
        <v>7</v>
      </c>
      <c r="D1158" s="41" t="s">
        <v>1987</v>
      </c>
      <c r="E1158" s="22" t="s">
        <v>745</v>
      </c>
      <c r="F1158" s="22" t="s">
        <v>746</v>
      </c>
      <c r="G1158" s="22">
        <v>50</v>
      </c>
      <c r="H1158" s="22">
        <v>2</v>
      </c>
      <c r="I1158" s="22" t="s">
        <v>11</v>
      </c>
      <c r="J1158" s="23"/>
    </row>
    <row r="1159" spans="1:10" hidden="1" outlineLevel="2">
      <c r="A1159" s="20">
        <v>5</v>
      </c>
      <c r="B1159" s="20" t="s">
        <v>1963</v>
      </c>
      <c r="C1159" s="19" t="s">
        <v>7</v>
      </c>
      <c r="D1159" s="41" t="s">
        <v>1987</v>
      </c>
      <c r="E1159" s="22" t="s">
        <v>13</v>
      </c>
      <c r="F1159" s="22" t="s">
        <v>14</v>
      </c>
      <c r="G1159" s="22">
        <v>51</v>
      </c>
      <c r="H1159" s="22">
        <v>2</v>
      </c>
      <c r="I1159" s="22" t="s">
        <v>11</v>
      </c>
      <c r="J1159" s="23"/>
    </row>
    <row r="1160" spans="1:10" hidden="1" outlineLevel="2">
      <c r="A1160" s="20">
        <v>5</v>
      </c>
      <c r="B1160" s="20" t="s">
        <v>1963</v>
      </c>
      <c r="C1160" s="19" t="s">
        <v>7</v>
      </c>
      <c r="D1160" s="41" t="s">
        <v>1987</v>
      </c>
      <c r="E1160" s="22" t="s">
        <v>747</v>
      </c>
      <c r="F1160" s="22" t="s">
        <v>748</v>
      </c>
      <c r="G1160" s="22">
        <v>42</v>
      </c>
      <c r="H1160" s="22">
        <v>2</v>
      </c>
      <c r="I1160" s="22" t="s">
        <v>11</v>
      </c>
      <c r="J1160" s="23"/>
    </row>
    <row r="1161" spans="1:10" hidden="1" outlineLevel="2">
      <c r="A1161" s="20">
        <v>5</v>
      </c>
      <c r="B1161" s="20" t="s">
        <v>1963</v>
      </c>
      <c r="C1161" s="19" t="s">
        <v>7</v>
      </c>
      <c r="D1161" s="41" t="s">
        <v>1987</v>
      </c>
      <c r="E1161" s="22" t="s">
        <v>15</v>
      </c>
      <c r="F1161" s="22" t="s">
        <v>16</v>
      </c>
      <c r="G1161" s="22">
        <v>40</v>
      </c>
      <c r="H1161" s="22">
        <v>2</v>
      </c>
      <c r="I1161" s="22" t="s">
        <v>11</v>
      </c>
      <c r="J1161" s="23"/>
    </row>
    <row r="1162" spans="1:10" hidden="1" outlineLevel="2">
      <c r="A1162" s="20">
        <v>5</v>
      </c>
      <c r="B1162" s="20" t="s">
        <v>1963</v>
      </c>
      <c r="C1162" s="19" t="s">
        <v>7</v>
      </c>
      <c r="D1162" s="41" t="s">
        <v>1987</v>
      </c>
      <c r="E1162" s="22" t="s">
        <v>749</v>
      </c>
      <c r="F1162" s="22" t="s">
        <v>750</v>
      </c>
      <c r="G1162" s="22">
        <v>53</v>
      </c>
      <c r="H1162" s="22">
        <v>2</v>
      </c>
      <c r="I1162" s="22" t="s">
        <v>11</v>
      </c>
      <c r="J1162" s="23"/>
    </row>
    <row r="1163" spans="1:10" hidden="1" outlineLevel="2">
      <c r="A1163" s="20">
        <v>5</v>
      </c>
      <c r="B1163" s="20" t="s">
        <v>1963</v>
      </c>
      <c r="C1163" s="19" t="s">
        <v>7</v>
      </c>
      <c r="D1163" s="41" t="s">
        <v>1987</v>
      </c>
      <c r="E1163" s="22" t="s">
        <v>17</v>
      </c>
      <c r="F1163" s="22" t="s">
        <v>18</v>
      </c>
      <c r="G1163" s="22">
        <v>45</v>
      </c>
      <c r="H1163" s="22">
        <v>2</v>
      </c>
      <c r="I1163" s="22" t="s">
        <v>11</v>
      </c>
      <c r="J1163" s="23"/>
    </row>
    <row r="1164" spans="1:10" hidden="1" outlineLevel="2">
      <c r="A1164" s="20">
        <v>5</v>
      </c>
      <c r="B1164" s="20" t="s">
        <v>1963</v>
      </c>
      <c r="C1164" s="19" t="s">
        <v>7</v>
      </c>
      <c r="D1164" s="41" t="s">
        <v>1987</v>
      </c>
      <c r="E1164" s="22" t="s">
        <v>19</v>
      </c>
      <c r="F1164" s="22" t="s">
        <v>20</v>
      </c>
      <c r="G1164" s="22">
        <v>54</v>
      </c>
      <c r="H1164" s="22">
        <v>2</v>
      </c>
      <c r="I1164" s="22" t="s">
        <v>11</v>
      </c>
      <c r="J1164" s="23"/>
    </row>
    <row r="1165" spans="1:10" hidden="1" outlineLevel="2">
      <c r="A1165" s="20">
        <v>5</v>
      </c>
      <c r="B1165" s="20" t="s">
        <v>1963</v>
      </c>
      <c r="C1165" s="19" t="s">
        <v>7</v>
      </c>
      <c r="D1165" s="41" t="s">
        <v>1987</v>
      </c>
      <c r="E1165" s="22" t="s">
        <v>23</v>
      </c>
      <c r="F1165" s="22" t="s">
        <v>24</v>
      </c>
      <c r="G1165" s="22">
        <v>44</v>
      </c>
      <c r="H1165" s="22">
        <v>2</v>
      </c>
      <c r="I1165" s="22" t="s">
        <v>11</v>
      </c>
      <c r="J1165" s="23"/>
    </row>
    <row r="1166" spans="1:10" hidden="1" outlineLevel="2">
      <c r="A1166" s="20">
        <v>5</v>
      </c>
      <c r="B1166" s="20" t="s">
        <v>1963</v>
      </c>
      <c r="C1166" s="19" t="s">
        <v>7</v>
      </c>
      <c r="D1166" s="41" t="s">
        <v>1987</v>
      </c>
      <c r="E1166" s="22" t="s">
        <v>667</v>
      </c>
      <c r="F1166" s="22" t="s">
        <v>668</v>
      </c>
      <c r="G1166" s="22">
        <v>46</v>
      </c>
      <c r="H1166" s="22">
        <v>2</v>
      </c>
      <c r="I1166" s="22" t="s">
        <v>11</v>
      </c>
      <c r="J1166" s="23"/>
    </row>
    <row r="1167" spans="1:10" hidden="1" outlineLevel="2">
      <c r="A1167" s="20">
        <v>5</v>
      </c>
      <c r="B1167" s="20" t="s">
        <v>1963</v>
      </c>
      <c r="C1167" s="19" t="s">
        <v>7</v>
      </c>
      <c r="D1167" s="41" t="s">
        <v>1987</v>
      </c>
      <c r="E1167" s="22" t="s">
        <v>548</v>
      </c>
      <c r="F1167" s="22" t="s">
        <v>549</v>
      </c>
      <c r="G1167" s="22">
        <v>45</v>
      </c>
      <c r="H1167" s="22">
        <v>2</v>
      </c>
      <c r="I1167" s="22" t="s">
        <v>11</v>
      </c>
      <c r="J1167" s="23"/>
    </row>
    <row r="1168" spans="1:10" hidden="1" outlineLevel="2">
      <c r="A1168" s="20">
        <v>5</v>
      </c>
      <c r="B1168" s="20" t="s">
        <v>1963</v>
      </c>
      <c r="C1168" s="19" t="s">
        <v>7</v>
      </c>
      <c r="D1168" s="41" t="s">
        <v>1987</v>
      </c>
      <c r="E1168" s="22" t="s">
        <v>550</v>
      </c>
      <c r="F1168" s="22" t="s">
        <v>551</v>
      </c>
      <c r="G1168" s="22">
        <v>46</v>
      </c>
      <c r="H1168" s="22">
        <v>2</v>
      </c>
      <c r="I1168" s="22" t="s">
        <v>11</v>
      </c>
      <c r="J1168" s="23"/>
    </row>
    <row r="1169" spans="1:10" outlineLevel="1" collapsed="1">
      <c r="D1169" s="51" t="s">
        <v>2111</v>
      </c>
      <c r="E1169" s="22">
        <f>SUBTOTAL(3,E1158:E1168)</f>
        <v>11</v>
      </c>
      <c r="F1169" s="22"/>
      <c r="G1169" s="22"/>
      <c r="H1169" s="22"/>
      <c r="I1169" s="22">
        <f>SUBTOTAL(3,I1158:I1168)</f>
        <v>11</v>
      </c>
      <c r="J1169" s="23">
        <f>E1169+E1157+E1151+E1142</f>
        <v>39</v>
      </c>
    </row>
    <row r="1170" spans="1:10" hidden="1" outlineLevel="2">
      <c r="A1170" s="20">
        <v>5</v>
      </c>
      <c r="B1170" s="20" t="s">
        <v>1963</v>
      </c>
      <c r="C1170" s="19" t="s">
        <v>246</v>
      </c>
      <c r="D1170" s="41" t="s">
        <v>1991</v>
      </c>
      <c r="E1170" s="22" t="s">
        <v>249</v>
      </c>
      <c r="F1170" s="22" t="s">
        <v>250</v>
      </c>
      <c r="G1170" s="22">
        <v>40</v>
      </c>
      <c r="H1170" s="22">
        <v>2</v>
      </c>
      <c r="I1170" s="22" t="s">
        <v>11</v>
      </c>
      <c r="J1170" s="23"/>
    </row>
    <row r="1171" spans="1:10" hidden="1" outlineLevel="2">
      <c r="A1171" s="20">
        <v>5</v>
      </c>
      <c r="B1171" s="20" t="s">
        <v>1963</v>
      </c>
      <c r="C1171" s="19" t="s">
        <v>246</v>
      </c>
      <c r="D1171" s="41" t="s">
        <v>1991</v>
      </c>
      <c r="E1171" s="22" t="s">
        <v>251</v>
      </c>
      <c r="F1171" s="22" t="s">
        <v>252</v>
      </c>
      <c r="G1171" s="22">
        <v>40</v>
      </c>
      <c r="H1171" s="22">
        <v>2</v>
      </c>
      <c r="I1171" s="22" t="s">
        <v>11</v>
      </c>
      <c r="J1171" s="23"/>
    </row>
    <row r="1172" spans="1:10" hidden="1" outlineLevel="2">
      <c r="A1172" s="20">
        <v>5</v>
      </c>
      <c r="B1172" s="20" t="s">
        <v>1963</v>
      </c>
      <c r="C1172" s="19" t="s">
        <v>246</v>
      </c>
      <c r="D1172" s="41" t="s">
        <v>1991</v>
      </c>
      <c r="E1172" s="22" t="s">
        <v>253</v>
      </c>
      <c r="F1172" s="22" t="s">
        <v>254</v>
      </c>
      <c r="G1172" s="22">
        <v>40</v>
      </c>
      <c r="H1172" s="22">
        <v>2</v>
      </c>
      <c r="I1172" s="22" t="s">
        <v>11</v>
      </c>
      <c r="J1172" s="23"/>
    </row>
    <row r="1173" spans="1:10" hidden="1" outlineLevel="2">
      <c r="A1173" s="20">
        <v>5</v>
      </c>
      <c r="B1173" s="20" t="s">
        <v>1963</v>
      </c>
      <c r="C1173" s="19" t="s">
        <v>246</v>
      </c>
      <c r="D1173" s="41" t="s">
        <v>1991</v>
      </c>
      <c r="E1173" s="22" t="s">
        <v>255</v>
      </c>
      <c r="F1173" s="22" t="s">
        <v>256</v>
      </c>
      <c r="G1173" s="22">
        <v>48</v>
      </c>
      <c r="H1173" s="22">
        <v>2</v>
      </c>
      <c r="I1173" s="22" t="s">
        <v>11</v>
      </c>
      <c r="J1173" s="23"/>
    </row>
    <row r="1174" spans="1:10" hidden="1" outlineLevel="2">
      <c r="A1174" s="20">
        <v>5</v>
      </c>
      <c r="B1174" s="20" t="s">
        <v>1963</v>
      </c>
      <c r="C1174" s="19" t="s">
        <v>246</v>
      </c>
      <c r="D1174" s="41" t="s">
        <v>1991</v>
      </c>
      <c r="E1174" s="22" t="s">
        <v>259</v>
      </c>
      <c r="F1174" s="22" t="s">
        <v>260</v>
      </c>
      <c r="G1174" s="22">
        <v>40</v>
      </c>
      <c r="H1174" s="22">
        <v>2</v>
      </c>
      <c r="I1174" s="22" t="s">
        <v>11</v>
      </c>
      <c r="J1174" s="23"/>
    </row>
    <row r="1175" spans="1:10" hidden="1" outlineLevel="2">
      <c r="A1175" s="20">
        <v>5</v>
      </c>
      <c r="B1175" s="20" t="s">
        <v>1963</v>
      </c>
      <c r="C1175" s="19" t="s">
        <v>246</v>
      </c>
      <c r="D1175" s="41" t="s">
        <v>1991</v>
      </c>
      <c r="E1175" s="22" t="s">
        <v>413</v>
      </c>
      <c r="F1175" s="22" t="s">
        <v>414</v>
      </c>
      <c r="G1175" s="22">
        <v>44</v>
      </c>
      <c r="H1175" s="22">
        <v>2</v>
      </c>
      <c r="I1175" s="22" t="s">
        <v>11</v>
      </c>
      <c r="J1175" s="23"/>
    </row>
    <row r="1176" spans="1:10" hidden="1" outlineLevel="2">
      <c r="A1176" s="20">
        <v>5</v>
      </c>
      <c r="B1176" s="20" t="s">
        <v>1963</v>
      </c>
      <c r="C1176" s="19" t="s">
        <v>246</v>
      </c>
      <c r="D1176" s="41" t="s">
        <v>1991</v>
      </c>
      <c r="E1176" s="22" t="s">
        <v>267</v>
      </c>
      <c r="F1176" s="22" t="s">
        <v>268</v>
      </c>
      <c r="G1176" s="22">
        <v>40</v>
      </c>
      <c r="H1176" s="22">
        <v>2</v>
      </c>
      <c r="I1176" s="22" t="s">
        <v>11</v>
      </c>
      <c r="J1176" s="23"/>
    </row>
    <row r="1177" spans="1:10" hidden="1" outlineLevel="2">
      <c r="A1177" s="20">
        <v>5</v>
      </c>
      <c r="B1177" s="20" t="s">
        <v>1963</v>
      </c>
      <c r="C1177" s="19" t="s">
        <v>246</v>
      </c>
      <c r="D1177" s="41" t="s">
        <v>1991</v>
      </c>
      <c r="E1177" s="22" t="s">
        <v>269</v>
      </c>
      <c r="F1177" s="22" t="s">
        <v>270</v>
      </c>
      <c r="G1177" s="22">
        <v>50</v>
      </c>
      <c r="H1177" s="22">
        <v>2</v>
      </c>
      <c r="I1177" s="22" t="s">
        <v>11</v>
      </c>
      <c r="J1177" s="23"/>
    </row>
    <row r="1178" spans="1:10" hidden="1" outlineLevel="2">
      <c r="A1178" s="20">
        <v>5</v>
      </c>
      <c r="B1178" s="20" t="s">
        <v>1963</v>
      </c>
      <c r="C1178" s="19" t="s">
        <v>246</v>
      </c>
      <c r="D1178" s="41" t="s">
        <v>1991</v>
      </c>
      <c r="E1178" s="22" t="s">
        <v>271</v>
      </c>
      <c r="F1178" s="22" t="s">
        <v>272</v>
      </c>
      <c r="G1178" s="22">
        <v>44</v>
      </c>
      <c r="H1178" s="22">
        <v>2</v>
      </c>
      <c r="I1178" s="22" t="s">
        <v>11</v>
      </c>
      <c r="J1178" s="23"/>
    </row>
    <row r="1179" spans="1:10" hidden="1" outlineLevel="2">
      <c r="A1179" s="20">
        <v>5</v>
      </c>
      <c r="B1179" s="20" t="s">
        <v>1963</v>
      </c>
      <c r="C1179" s="19" t="s">
        <v>246</v>
      </c>
      <c r="D1179" s="41" t="s">
        <v>1991</v>
      </c>
      <c r="E1179" s="22" t="s">
        <v>598</v>
      </c>
      <c r="F1179" s="22" t="s">
        <v>599</v>
      </c>
      <c r="G1179" s="22">
        <v>50</v>
      </c>
      <c r="H1179" s="22">
        <v>2</v>
      </c>
      <c r="I1179" s="22" t="s">
        <v>11</v>
      </c>
      <c r="J1179" s="23"/>
    </row>
    <row r="1180" spans="1:10" outlineLevel="1" collapsed="1">
      <c r="D1180" s="51" t="s">
        <v>2112</v>
      </c>
      <c r="E1180" s="22">
        <f>SUBTOTAL(3,E1170:E1179)</f>
        <v>10</v>
      </c>
      <c r="F1180" s="22"/>
      <c r="G1180" s="22"/>
      <c r="H1180" s="22"/>
      <c r="I1180" s="22">
        <f>SUBTOTAL(3,I1170:I1179)</f>
        <v>10</v>
      </c>
      <c r="J1180" s="23"/>
    </row>
    <row r="1181" spans="1:10" hidden="1" outlineLevel="2">
      <c r="A1181" s="20">
        <v>5</v>
      </c>
      <c r="B1181" s="20" t="s">
        <v>1963</v>
      </c>
      <c r="C1181" s="19" t="s">
        <v>25</v>
      </c>
      <c r="D1181" s="41" t="s">
        <v>1992</v>
      </c>
      <c r="E1181" s="22" t="s">
        <v>710</v>
      </c>
      <c r="F1181" s="22" t="s">
        <v>711</v>
      </c>
      <c r="G1181" s="22">
        <v>31</v>
      </c>
      <c r="H1181" s="22">
        <v>2</v>
      </c>
      <c r="I1181" s="22" t="s">
        <v>11</v>
      </c>
      <c r="J1181" s="23"/>
    </row>
    <row r="1182" spans="1:10" hidden="1" outlineLevel="2">
      <c r="A1182" s="20">
        <v>5</v>
      </c>
      <c r="B1182" s="20" t="s">
        <v>1963</v>
      </c>
      <c r="C1182" s="19" t="s">
        <v>25</v>
      </c>
      <c r="D1182" s="41" t="s">
        <v>1992</v>
      </c>
      <c r="E1182" s="22" t="s">
        <v>30</v>
      </c>
      <c r="F1182" s="22" t="s">
        <v>31</v>
      </c>
      <c r="G1182" s="22">
        <v>51</v>
      </c>
      <c r="H1182" s="22">
        <v>2</v>
      </c>
      <c r="I1182" s="22" t="s">
        <v>11</v>
      </c>
      <c r="J1182" s="23"/>
    </row>
    <row r="1183" spans="1:10" hidden="1" outlineLevel="2">
      <c r="A1183" s="20">
        <v>5</v>
      </c>
      <c r="B1183" s="20" t="s">
        <v>1963</v>
      </c>
      <c r="C1183" s="19" t="s">
        <v>25</v>
      </c>
      <c r="D1183" s="41" t="s">
        <v>1992</v>
      </c>
      <c r="E1183" s="22" t="s">
        <v>713</v>
      </c>
      <c r="F1183" s="22" t="s">
        <v>714</v>
      </c>
      <c r="G1183" s="22">
        <v>40</v>
      </c>
      <c r="H1183" s="22">
        <v>2</v>
      </c>
      <c r="I1183" s="22" t="s">
        <v>11</v>
      </c>
      <c r="J1183" s="23"/>
    </row>
    <row r="1184" spans="1:10" hidden="1" outlineLevel="2">
      <c r="A1184" s="20">
        <v>5</v>
      </c>
      <c r="B1184" s="20" t="s">
        <v>1963</v>
      </c>
      <c r="C1184" s="19" t="s">
        <v>25</v>
      </c>
      <c r="D1184" s="41" t="s">
        <v>1992</v>
      </c>
      <c r="E1184" s="22" t="s">
        <v>347</v>
      </c>
      <c r="F1184" s="22" t="s">
        <v>348</v>
      </c>
      <c r="G1184" s="22">
        <v>49</v>
      </c>
      <c r="H1184" s="22">
        <v>2</v>
      </c>
      <c r="I1184" s="22" t="s">
        <v>11</v>
      </c>
      <c r="J1184" s="23"/>
    </row>
    <row r="1185" spans="1:10" hidden="1" outlineLevel="2">
      <c r="A1185" s="20">
        <v>5</v>
      </c>
      <c r="B1185" s="20" t="s">
        <v>1963</v>
      </c>
      <c r="C1185" s="19" t="s">
        <v>25</v>
      </c>
      <c r="D1185" s="41" t="s">
        <v>1992</v>
      </c>
      <c r="E1185" s="22" t="s">
        <v>671</v>
      </c>
      <c r="F1185" s="22" t="s">
        <v>672</v>
      </c>
      <c r="G1185" s="22">
        <v>45</v>
      </c>
      <c r="H1185" s="22">
        <v>2</v>
      </c>
      <c r="I1185" s="22" t="s">
        <v>11</v>
      </c>
      <c r="J1185" s="23"/>
    </row>
    <row r="1186" spans="1:10" hidden="1" outlineLevel="2">
      <c r="A1186" s="20">
        <v>5</v>
      </c>
      <c r="B1186" s="20" t="s">
        <v>1963</v>
      </c>
      <c r="C1186" s="19" t="s">
        <v>25</v>
      </c>
      <c r="D1186" s="41" t="s">
        <v>1992</v>
      </c>
      <c r="E1186" s="22" t="s">
        <v>38</v>
      </c>
      <c r="F1186" s="22" t="s">
        <v>39</v>
      </c>
      <c r="G1186" s="22">
        <v>40</v>
      </c>
      <c r="H1186" s="22">
        <v>2</v>
      </c>
      <c r="I1186" s="22" t="s">
        <v>11</v>
      </c>
      <c r="J1186" s="23"/>
    </row>
    <row r="1187" spans="1:10" hidden="1" outlineLevel="2">
      <c r="A1187" s="20">
        <v>5</v>
      </c>
      <c r="B1187" s="20" t="s">
        <v>1963</v>
      </c>
      <c r="C1187" s="19" t="s">
        <v>25</v>
      </c>
      <c r="D1187" s="41" t="s">
        <v>1992</v>
      </c>
      <c r="E1187" s="22" t="s">
        <v>703</v>
      </c>
      <c r="F1187" s="22" t="s">
        <v>704</v>
      </c>
      <c r="G1187" s="22">
        <v>50</v>
      </c>
      <c r="H1187" s="22">
        <v>2</v>
      </c>
      <c r="I1187" s="22" t="s">
        <v>11</v>
      </c>
      <c r="J1187" s="23"/>
    </row>
    <row r="1188" spans="1:10" hidden="1" outlineLevel="2">
      <c r="A1188" s="20">
        <v>5</v>
      </c>
      <c r="B1188" s="20" t="s">
        <v>1963</v>
      </c>
      <c r="C1188" s="19" t="s">
        <v>25</v>
      </c>
      <c r="D1188" s="41" t="s">
        <v>1992</v>
      </c>
      <c r="E1188" s="22" t="s">
        <v>40</v>
      </c>
      <c r="F1188" s="22" t="s">
        <v>41</v>
      </c>
      <c r="G1188" s="22">
        <v>46</v>
      </c>
      <c r="H1188" s="22">
        <v>2</v>
      </c>
      <c r="I1188" s="22" t="s">
        <v>11</v>
      </c>
      <c r="J1188" s="23"/>
    </row>
    <row r="1189" spans="1:10" hidden="1" outlineLevel="2">
      <c r="A1189" s="20">
        <v>5</v>
      </c>
      <c r="B1189" s="20" t="s">
        <v>1963</v>
      </c>
      <c r="C1189" s="19" t="s">
        <v>25</v>
      </c>
      <c r="D1189" s="41" t="s">
        <v>1992</v>
      </c>
      <c r="E1189" s="22" t="s">
        <v>42</v>
      </c>
      <c r="F1189" s="22" t="s">
        <v>43</v>
      </c>
      <c r="G1189" s="22">
        <v>51</v>
      </c>
      <c r="H1189" s="22">
        <v>2</v>
      </c>
      <c r="I1189" s="22" t="s">
        <v>11</v>
      </c>
      <c r="J1189" s="23"/>
    </row>
    <row r="1190" spans="1:10" hidden="1" outlineLevel="2">
      <c r="A1190" s="20">
        <v>5</v>
      </c>
      <c r="B1190" s="20" t="s">
        <v>1963</v>
      </c>
      <c r="C1190" s="19" t="s">
        <v>25</v>
      </c>
      <c r="D1190" s="41" t="s">
        <v>1992</v>
      </c>
      <c r="E1190" s="22" t="s">
        <v>349</v>
      </c>
      <c r="F1190" s="22" t="s">
        <v>350</v>
      </c>
      <c r="G1190" s="22">
        <v>47</v>
      </c>
      <c r="H1190" s="22">
        <v>2</v>
      </c>
      <c r="I1190" s="22" t="s">
        <v>11</v>
      </c>
      <c r="J1190" s="23"/>
    </row>
    <row r="1191" spans="1:10" outlineLevel="1" collapsed="1">
      <c r="D1191" s="51" t="s">
        <v>2113</v>
      </c>
      <c r="E1191" s="22">
        <f>SUBTOTAL(3,E1181:E1190)</f>
        <v>10</v>
      </c>
      <c r="F1191" s="22"/>
      <c r="G1191" s="22"/>
      <c r="H1191" s="22"/>
      <c r="I1191" s="22">
        <f>SUBTOTAL(3,I1181:I1190)</f>
        <v>10</v>
      </c>
      <c r="J1191" s="23"/>
    </row>
    <row r="1192" spans="1:10" hidden="1" outlineLevel="2">
      <c r="A1192" s="20">
        <v>5</v>
      </c>
      <c r="B1192" s="20" t="s">
        <v>1988</v>
      </c>
      <c r="C1192" s="19" t="s">
        <v>141</v>
      </c>
      <c r="D1192" s="41" t="s">
        <v>1989</v>
      </c>
      <c r="E1192" s="22" t="s">
        <v>741</v>
      </c>
      <c r="F1192" s="22" t="s">
        <v>742</v>
      </c>
      <c r="G1192" s="22">
        <v>52</v>
      </c>
      <c r="H1192" s="22">
        <v>1</v>
      </c>
      <c r="I1192" s="22" t="s">
        <v>11</v>
      </c>
      <c r="J1192" s="23"/>
    </row>
    <row r="1193" spans="1:10" hidden="1" outlineLevel="2">
      <c r="A1193" s="20">
        <v>5</v>
      </c>
      <c r="B1193" s="20" t="s">
        <v>1988</v>
      </c>
      <c r="C1193" s="19" t="s">
        <v>141</v>
      </c>
      <c r="D1193" s="41" t="s">
        <v>1989</v>
      </c>
      <c r="E1193" s="22" t="s">
        <v>572</v>
      </c>
      <c r="F1193" s="22" t="s">
        <v>573</v>
      </c>
      <c r="G1193" s="22">
        <v>46</v>
      </c>
      <c r="H1193" s="22">
        <v>1</v>
      </c>
      <c r="I1193" s="22" t="s">
        <v>11</v>
      </c>
      <c r="J1193" s="23"/>
    </row>
    <row r="1194" spans="1:10" hidden="1" outlineLevel="2">
      <c r="A1194" s="20">
        <v>5</v>
      </c>
      <c r="B1194" s="20" t="s">
        <v>1988</v>
      </c>
      <c r="C1194" s="19" t="s">
        <v>141</v>
      </c>
      <c r="D1194" s="41" t="s">
        <v>1989</v>
      </c>
      <c r="E1194" s="22" t="s">
        <v>144</v>
      </c>
      <c r="F1194" s="22" t="s">
        <v>145</v>
      </c>
      <c r="G1194" s="22">
        <v>48</v>
      </c>
      <c r="H1194" s="22">
        <v>1</v>
      </c>
      <c r="I1194" s="22" t="s">
        <v>11</v>
      </c>
      <c r="J1194" s="23"/>
    </row>
    <row r="1195" spans="1:10" hidden="1" outlineLevel="2">
      <c r="A1195" s="20">
        <v>5</v>
      </c>
      <c r="B1195" s="20" t="s">
        <v>1988</v>
      </c>
      <c r="C1195" s="19" t="s">
        <v>141</v>
      </c>
      <c r="D1195" s="41" t="s">
        <v>1989</v>
      </c>
      <c r="E1195" s="22" t="s">
        <v>146</v>
      </c>
      <c r="F1195" s="22" t="s">
        <v>147</v>
      </c>
      <c r="G1195" s="22">
        <v>50</v>
      </c>
      <c r="H1195" s="22">
        <v>1</v>
      </c>
      <c r="I1195" s="22" t="s">
        <v>11</v>
      </c>
      <c r="J1195" s="23"/>
    </row>
    <row r="1196" spans="1:10" hidden="1" outlineLevel="2">
      <c r="A1196" s="20">
        <v>5</v>
      </c>
      <c r="B1196" s="20" t="s">
        <v>1988</v>
      </c>
      <c r="C1196" s="19" t="s">
        <v>141</v>
      </c>
      <c r="D1196" s="41" t="s">
        <v>1989</v>
      </c>
      <c r="E1196" s="22" t="s">
        <v>576</v>
      </c>
      <c r="F1196" s="22" t="s">
        <v>577</v>
      </c>
      <c r="G1196" s="22">
        <v>50</v>
      </c>
      <c r="H1196" s="22">
        <v>1</v>
      </c>
      <c r="I1196" s="22" t="s">
        <v>11</v>
      </c>
      <c r="J1196" s="23"/>
    </row>
    <row r="1197" spans="1:10" hidden="1" outlineLevel="2">
      <c r="A1197" s="20">
        <v>5</v>
      </c>
      <c r="B1197" s="20" t="s">
        <v>1988</v>
      </c>
      <c r="C1197" s="19" t="s">
        <v>141</v>
      </c>
      <c r="D1197" s="41" t="s">
        <v>1989</v>
      </c>
      <c r="E1197" s="22" t="s">
        <v>743</v>
      </c>
      <c r="F1197" s="22" t="s">
        <v>744</v>
      </c>
      <c r="G1197" s="22">
        <v>46</v>
      </c>
      <c r="H1197" s="22">
        <v>1</v>
      </c>
      <c r="I1197" s="22" t="s">
        <v>11</v>
      </c>
      <c r="J1197" s="23"/>
    </row>
    <row r="1198" spans="1:10" hidden="1" outlineLevel="2">
      <c r="A1198" s="20">
        <v>5</v>
      </c>
      <c r="B1198" s="20" t="s">
        <v>1988</v>
      </c>
      <c r="C1198" s="19" t="s">
        <v>141</v>
      </c>
      <c r="D1198" s="41" t="s">
        <v>1989</v>
      </c>
      <c r="E1198" s="22" t="s">
        <v>152</v>
      </c>
      <c r="F1198" s="22" t="s">
        <v>153</v>
      </c>
      <c r="G1198" s="22">
        <v>40</v>
      </c>
      <c r="H1198" s="22">
        <v>1</v>
      </c>
      <c r="I1198" s="22" t="s">
        <v>11</v>
      </c>
      <c r="J1198" s="23"/>
    </row>
    <row r="1199" spans="1:10" hidden="1" outlineLevel="2">
      <c r="A1199" s="20">
        <v>5</v>
      </c>
      <c r="B1199" s="20" t="s">
        <v>1988</v>
      </c>
      <c r="C1199" s="19" t="s">
        <v>141</v>
      </c>
      <c r="D1199" s="41" t="s">
        <v>1989</v>
      </c>
      <c r="E1199" s="22" t="s">
        <v>154</v>
      </c>
      <c r="F1199" s="22" t="s">
        <v>155</v>
      </c>
      <c r="G1199" s="22">
        <v>40</v>
      </c>
      <c r="H1199" s="22">
        <v>1</v>
      </c>
      <c r="I1199" s="22" t="s">
        <v>11</v>
      </c>
      <c r="J1199" s="23"/>
    </row>
    <row r="1200" spans="1:10" hidden="1" outlineLevel="2">
      <c r="A1200" s="20">
        <v>5</v>
      </c>
      <c r="B1200" s="20" t="s">
        <v>1988</v>
      </c>
      <c r="C1200" s="19" t="s">
        <v>141</v>
      </c>
      <c r="D1200" s="41" t="s">
        <v>1989</v>
      </c>
      <c r="E1200" s="22" t="s">
        <v>156</v>
      </c>
      <c r="F1200" s="22" t="s">
        <v>157</v>
      </c>
      <c r="G1200" s="22">
        <v>40</v>
      </c>
      <c r="H1200" s="22">
        <v>1</v>
      </c>
      <c r="I1200" s="22" t="s">
        <v>11</v>
      </c>
      <c r="J1200" s="23"/>
    </row>
    <row r="1201" spans="1:10" outlineLevel="1" collapsed="1">
      <c r="D1201" s="51" t="s">
        <v>2114</v>
      </c>
      <c r="E1201" s="22">
        <f>SUBTOTAL(3,E1192:E1200)</f>
        <v>9</v>
      </c>
      <c r="F1201" s="22"/>
      <c r="G1201" s="22"/>
      <c r="H1201" s="22"/>
      <c r="I1201" s="22">
        <f>SUBTOTAL(3,I1192:I1200)</f>
        <v>9</v>
      </c>
      <c r="J1201" s="23"/>
    </row>
    <row r="1202" spans="1:10" hidden="1" outlineLevel="2">
      <c r="A1202" s="20">
        <v>5</v>
      </c>
      <c r="B1202" s="20" t="s">
        <v>1988</v>
      </c>
      <c r="C1202" s="19" t="s">
        <v>239</v>
      </c>
      <c r="D1202" s="41" t="s">
        <v>1990</v>
      </c>
      <c r="E1202" s="22" t="s">
        <v>562</v>
      </c>
      <c r="F1202" s="22" t="s">
        <v>563</v>
      </c>
      <c r="G1202" s="22">
        <v>50</v>
      </c>
      <c r="H1202" s="22">
        <v>1</v>
      </c>
      <c r="I1202" s="22" t="s">
        <v>11</v>
      </c>
      <c r="J1202" s="23"/>
    </row>
    <row r="1203" spans="1:10" hidden="1" outlineLevel="2">
      <c r="A1203" s="20">
        <v>5</v>
      </c>
      <c r="B1203" s="20" t="s">
        <v>1988</v>
      </c>
      <c r="C1203" s="19" t="s">
        <v>239</v>
      </c>
      <c r="D1203" s="41" t="s">
        <v>1990</v>
      </c>
      <c r="E1203" s="22" t="s">
        <v>240</v>
      </c>
      <c r="F1203" s="22" t="s">
        <v>241</v>
      </c>
      <c r="G1203" s="22">
        <v>46</v>
      </c>
      <c r="H1203" s="22">
        <v>1</v>
      </c>
      <c r="I1203" s="22" t="s">
        <v>11</v>
      </c>
      <c r="J1203" s="23"/>
    </row>
    <row r="1204" spans="1:10" hidden="1" outlineLevel="2">
      <c r="A1204" s="20">
        <v>5</v>
      </c>
      <c r="B1204" s="20" t="s">
        <v>1988</v>
      </c>
      <c r="C1204" s="19" t="s">
        <v>239</v>
      </c>
      <c r="D1204" s="41" t="s">
        <v>1990</v>
      </c>
      <c r="E1204" s="22" t="s">
        <v>733</v>
      </c>
      <c r="F1204" s="22" t="s">
        <v>734</v>
      </c>
      <c r="G1204" s="22">
        <v>48</v>
      </c>
      <c r="H1204" s="22">
        <v>1</v>
      </c>
      <c r="I1204" s="22" t="s">
        <v>11</v>
      </c>
      <c r="J1204" s="23"/>
    </row>
    <row r="1205" spans="1:10" hidden="1" outlineLevel="2">
      <c r="A1205" s="20">
        <v>5</v>
      </c>
      <c r="B1205" s="20" t="s">
        <v>1988</v>
      </c>
      <c r="C1205" s="19" t="s">
        <v>239</v>
      </c>
      <c r="D1205" s="41" t="s">
        <v>1990</v>
      </c>
      <c r="E1205" s="22" t="s">
        <v>735</v>
      </c>
      <c r="F1205" s="22" t="s">
        <v>736</v>
      </c>
      <c r="G1205" s="22">
        <v>44</v>
      </c>
      <c r="H1205" s="22">
        <v>1</v>
      </c>
      <c r="I1205" s="22" t="s">
        <v>11</v>
      </c>
      <c r="J1205" s="23"/>
    </row>
    <row r="1206" spans="1:10" hidden="1" outlineLevel="2">
      <c r="A1206" s="20">
        <v>5</v>
      </c>
      <c r="B1206" s="20" t="s">
        <v>1988</v>
      </c>
      <c r="C1206" s="19" t="s">
        <v>239</v>
      </c>
      <c r="D1206" s="41" t="s">
        <v>1990</v>
      </c>
      <c r="E1206" s="22" t="s">
        <v>737</v>
      </c>
      <c r="F1206" s="22" t="s">
        <v>738</v>
      </c>
      <c r="G1206" s="22">
        <v>54</v>
      </c>
      <c r="H1206" s="22">
        <v>1</v>
      </c>
      <c r="I1206" s="22" t="s">
        <v>11</v>
      </c>
      <c r="J1206" s="23"/>
    </row>
    <row r="1207" spans="1:10" hidden="1" outlineLevel="2">
      <c r="A1207" s="20">
        <v>5</v>
      </c>
      <c r="B1207" s="20" t="s">
        <v>1988</v>
      </c>
      <c r="C1207" s="19" t="s">
        <v>239</v>
      </c>
      <c r="D1207" s="41" t="s">
        <v>1990</v>
      </c>
      <c r="E1207" s="22" t="s">
        <v>739</v>
      </c>
      <c r="F1207" s="22" t="s">
        <v>740</v>
      </c>
      <c r="G1207" s="22">
        <v>50</v>
      </c>
      <c r="H1207" s="22">
        <v>1</v>
      </c>
      <c r="I1207" s="22" t="s">
        <v>11</v>
      </c>
      <c r="J1207" s="23"/>
    </row>
    <row r="1208" spans="1:10" hidden="1" outlineLevel="2">
      <c r="A1208" s="20">
        <v>5</v>
      </c>
      <c r="B1208" s="20" t="s">
        <v>1988</v>
      </c>
      <c r="C1208" s="19" t="s">
        <v>239</v>
      </c>
      <c r="D1208" s="41" t="s">
        <v>1990</v>
      </c>
      <c r="E1208" s="22" t="s">
        <v>566</v>
      </c>
      <c r="F1208" s="22" t="s">
        <v>567</v>
      </c>
      <c r="G1208" s="22">
        <v>48</v>
      </c>
      <c r="H1208" s="22">
        <v>1</v>
      </c>
      <c r="I1208" s="22" t="s">
        <v>11</v>
      </c>
      <c r="J1208" s="23"/>
    </row>
    <row r="1209" spans="1:10" outlineLevel="1" collapsed="1">
      <c r="D1209" s="51" t="s">
        <v>2115</v>
      </c>
      <c r="E1209" s="22">
        <f>SUBTOTAL(3,E1202:E1208)</f>
        <v>7</v>
      </c>
      <c r="F1209" s="22"/>
      <c r="G1209" s="22"/>
      <c r="H1209" s="22"/>
      <c r="I1209" s="22">
        <f>SUBTOTAL(3,I1202:I1208)</f>
        <v>7</v>
      </c>
      <c r="J1209" s="23">
        <f>E1209+E1201+E1191+E1180</f>
        <v>36</v>
      </c>
    </row>
    <row r="1210" spans="1:10" hidden="1" outlineLevel="2">
      <c r="A1210" s="69">
        <v>61</v>
      </c>
      <c r="B1210" s="69" t="s">
        <v>1627</v>
      </c>
      <c r="C1210" s="70" t="s">
        <v>1171</v>
      </c>
      <c r="D1210" s="71" t="str">
        <f>B1210&amp;"-"&amp;C1210</f>
        <v>機件原理-機械二乙</v>
      </c>
      <c r="E1210" s="72" t="s">
        <v>1253</v>
      </c>
      <c r="F1210" s="72" t="s">
        <v>1254</v>
      </c>
      <c r="G1210" s="72">
        <v>41</v>
      </c>
      <c r="H1210" s="72">
        <v>2</v>
      </c>
      <c r="I1210" s="72" t="s">
        <v>11</v>
      </c>
      <c r="J1210" s="73"/>
    </row>
    <row r="1211" spans="1:10" hidden="1" outlineLevel="2">
      <c r="A1211" s="69">
        <v>61</v>
      </c>
      <c r="B1211" s="69" t="s">
        <v>1627</v>
      </c>
      <c r="C1211" s="70" t="s">
        <v>1171</v>
      </c>
      <c r="D1211" s="71" t="str">
        <f>B1211&amp;"-"&amp;C1211</f>
        <v>機件原理-機械二乙</v>
      </c>
      <c r="E1211" s="72" t="s">
        <v>1628</v>
      </c>
      <c r="F1211" s="72" t="s">
        <v>1629</v>
      </c>
      <c r="G1211" s="72">
        <v>51</v>
      </c>
      <c r="H1211" s="72">
        <v>2</v>
      </c>
      <c r="I1211" s="72" t="s">
        <v>11</v>
      </c>
      <c r="J1211" s="73"/>
    </row>
    <row r="1212" spans="1:10" hidden="1" outlineLevel="2">
      <c r="A1212" s="69">
        <v>61</v>
      </c>
      <c r="B1212" s="69" t="s">
        <v>1627</v>
      </c>
      <c r="C1212" s="70" t="s">
        <v>1171</v>
      </c>
      <c r="D1212" s="71" t="str">
        <f>B1212&amp;"-"&amp;C1212</f>
        <v>機件原理-機械二乙</v>
      </c>
      <c r="E1212" s="72" t="s">
        <v>1182</v>
      </c>
      <c r="F1212" s="72" t="s">
        <v>1183</v>
      </c>
      <c r="G1212" s="72">
        <v>49</v>
      </c>
      <c r="H1212" s="72">
        <v>2</v>
      </c>
      <c r="I1212" s="72" t="s">
        <v>11</v>
      </c>
      <c r="J1212" s="73"/>
    </row>
    <row r="1213" spans="1:10" outlineLevel="1" collapsed="1">
      <c r="A1213" s="69"/>
      <c r="B1213" s="69"/>
      <c r="C1213" s="70"/>
      <c r="D1213" s="74" t="s">
        <v>1923</v>
      </c>
      <c r="E1213" s="72">
        <f>SUBTOTAL(3,E1210:E1212)</f>
        <v>3</v>
      </c>
      <c r="F1213" s="72"/>
      <c r="G1213" s="72"/>
      <c r="H1213" s="72"/>
      <c r="I1213" s="72">
        <f>SUBTOTAL(3,I1210:I1212)</f>
        <v>3</v>
      </c>
      <c r="J1213" s="73"/>
    </row>
    <row r="1214" spans="1:10" hidden="1" outlineLevel="2">
      <c r="A1214" s="69">
        <v>61</v>
      </c>
      <c r="B1214" s="69" t="s">
        <v>1627</v>
      </c>
      <c r="C1214" s="70" t="s">
        <v>971</v>
      </c>
      <c r="D1214" s="71" t="str">
        <f>B1214&amp;"-"&amp;C1214</f>
        <v>機件原理-機械二甲</v>
      </c>
      <c r="E1214" s="72" t="s">
        <v>996</v>
      </c>
      <c r="F1214" s="72" t="s">
        <v>997</v>
      </c>
      <c r="G1214" s="72">
        <v>40</v>
      </c>
      <c r="H1214" s="72">
        <v>2</v>
      </c>
      <c r="I1214" s="72" t="s">
        <v>11</v>
      </c>
      <c r="J1214" s="73"/>
    </row>
    <row r="1215" spans="1:10" outlineLevel="1" collapsed="1">
      <c r="A1215" s="69"/>
      <c r="B1215" s="69"/>
      <c r="C1215" s="70"/>
      <c r="D1215" s="74" t="s">
        <v>1924</v>
      </c>
      <c r="E1215" s="72">
        <f>SUBTOTAL(3,E1214:E1214)</f>
        <v>1</v>
      </c>
      <c r="F1215" s="72"/>
      <c r="G1215" s="72"/>
      <c r="H1215" s="72"/>
      <c r="I1215" s="72">
        <f>SUBTOTAL(3,I1214:I1214)</f>
        <v>1</v>
      </c>
      <c r="J1215" s="73"/>
    </row>
    <row r="1216" spans="1:10" hidden="1" outlineLevel="2">
      <c r="A1216" s="69">
        <v>61</v>
      </c>
      <c r="B1216" s="69" t="s">
        <v>1640</v>
      </c>
      <c r="C1216" s="70" t="s">
        <v>1171</v>
      </c>
      <c r="D1216" s="71" t="str">
        <f t="shared" ref="D1216:D1221" si="37">B1216&amp;"-"&amp;C1216</f>
        <v>機械力學-機械二乙</v>
      </c>
      <c r="E1216" s="72" t="s">
        <v>1475</v>
      </c>
      <c r="F1216" s="72" t="s">
        <v>1476</v>
      </c>
      <c r="G1216" s="72">
        <v>53</v>
      </c>
      <c r="H1216" s="72">
        <v>2</v>
      </c>
      <c r="I1216" s="72" t="s">
        <v>11</v>
      </c>
      <c r="J1216" s="73"/>
    </row>
    <row r="1217" spans="1:10" hidden="1" outlineLevel="2">
      <c r="A1217" s="69">
        <v>61</v>
      </c>
      <c r="B1217" s="69" t="s">
        <v>1640</v>
      </c>
      <c r="C1217" s="70" t="s">
        <v>1171</v>
      </c>
      <c r="D1217" s="71" t="str">
        <f t="shared" si="37"/>
        <v>機械力學-機械二乙</v>
      </c>
      <c r="E1217" s="72" t="s">
        <v>1477</v>
      </c>
      <c r="F1217" s="72" t="s">
        <v>1478</v>
      </c>
      <c r="G1217" s="72">
        <v>51</v>
      </c>
      <c r="H1217" s="72">
        <v>2</v>
      </c>
      <c r="I1217" s="72" t="s">
        <v>11</v>
      </c>
      <c r="J1217" s="73"/>
    </row>
    <row r="1218" spans="1:10" hidden="1" outlineLevel="2">
      <c r="A1218" s="69">
        <v>61</v>
      </c>
      <c r="B1218" s="69" t="s">
        <v>1640</v>
      </c>
      <c r="C1218" s="70" t="s">
        <v>1171</v>
      </c>
      <c r="D1218" s="71" t="str">
        <f t="shared" si="37"/>
        <v>機械力學-機械二乙</v>
      </c>
      <c r="E1218" s="72" t="s">
        <v>1178</v>
      </c>
      <c r="F1218" s="72" t="s">
        <v>1179</v>
      </c>
      <c r="G1218" s="72">
        <v>42</v>
      </c>
      <c r="H1218" s="72">
        <v>2</v>
      </c>
      <c r="I1218" s="72" t="s">
        <v>11</v>
      </c>
      <c r="J1218" s="73"/>
    </row>
    <row r="1219" spans="1:10" hidden="1" outlineLevel="2">
      <c r="A1219" s="69">
        <v>61</v>
      </c>
      <c r="B1219" s="69" t="s">
        <v>1640</v>
      </c>
      <c r="C1219" s="70" t="s">
        <v>1171</v>
      </c>
      <c r="D1219" s="71" t="str">
        <f t="shared" si="37"/>
        <v>機械力學-機械二乙</v>
      </c>
      <c r="E1219" s="72" t="s">
        <v>1628</v>
      </c>
      <c r="F1219" s="72" t="s">
        <v>1629</v>
      </c>
      <c r="G1219" s="72">
        <v>54</v>
      </c>
      <c r="H1219" s="72">
        <v>2</v>
      </c>
      <c r="I1219" s="72" t="s">
        <v>11</v>
      </c>
      <c r="J1219" s="73"/>
    </row>
    <row r="1220" spans="1:10" hidden="1" outlineLevel="2">
      <c r="A1220" s="69">
        <v>61</v>
      </c>
      <c r="B1220" s="69" t="s">
        <v>1640</v>
      </c>
      <c r="C1220" s="70" t="s">
        <v>1171</v>
      </c>
      <c r="D1220" s="71" t="str">
        <f t="shared" si="37"/>
        <v>機械力學-機械二乙</v>
      </c>
      <c r="E1220" s="72" t="s">
        <v>1182</v>
      </c>
      <c r="F1220" s="72" t="s">
        <v>1183</v>
      </c>
      <c r="G1220" s="72">
        <v>53</v>
      </c>
      <c r="H1220" s="72">
        <v>2</v>
      </c>
      <c r="I1220" s="72" t="s">
        <v>11</v>
      </c>
      <c r="J1220" s="73"/>
    </row>
    <row r="1221" spans="1:10" hidden="1" outlineLevel="2">
      <c r="A1221" s="69">
        <v>61</v>
      </c>
      <c r="B1221" s="69" t="s">
        <v>1640</v>
      </c>
      <c r="C1221" s="70" t="s">
        <v>1171</v>
      </c>
      <c r="D1221" s="71" t="str">
        <f t="shared" si="37"/>
        <v>機械力學-機械二乙</v>
      </c>
      <c r="E1221" s="72" t="s">
        <v>1641</v>
      </c>
      <c r="F1221" s="72" t="s">
        <v>1642</v>
      </c>
      <c r="G1221" s="72">
        <v>52</v>
      </c>
      <c r="H1221" s="72">
        <v>2</v>
      </c>
      <c r="I1221" s="72" t="s">
        <v>11</v>
      </c>
      <c r="J1221" s="73"/>
    </row>
    <row r="1222" spans="1:10" outlineLevel="1" collapsed="1">
      <c r="A1222" s="69"/>
      <c r="B1222" s="69"/>
      <c r="C1222" s="70"/>
      <c r="D1222" s="74" t="s">
        <v>1932</v>
      </c>
      <c r="E1222" s="72">
        <f>SUBTOTAL(3,E1216:E1221)</f>
        <v>6</v>
      </c>
      <c r="F1222" s="72"/>
      <c r="G1222" s="72"/>
      <c r="H1222" s="72"/>
      <c r="I1222" s="72">
        <f>SUBTOTAL(3,I1216:I1221)</f>
        <v>6</v>
      </c>
      <c r="J1222" s="73"/>
    </row>
    <row r="1223" spans="1:10" hidden="1" outlineLevel="2">
      <c r="A1223" s="69">
        <v>61</v>
      </c>
      <c r="B1223" s="69" t="s">
        <v>1665</v>
      </c>
      <c r="C1223" s="70" t="s">
        <v>1171</v>
      </c>
      <c r="D1223" s="71" t="str">
        <f>B1223&amp;"-"&amp;C1223</f>
        <v>機械工作法-機械二乙</v>
      </c>
      <c r="E1223" s="72" t="s">
        <v>1243</v>
      </c>
      <c r="F1223" s="72" t="s">
        <v>1244</v>
      </c>
      <c r="G1223" s="72">
        <v>56</v>
      </c>
      <c r="H1223" s="72">
        <v>1</v>
      </c>
      <c r="I1223" s="72" t="s">
        <v>11</v>
      </c>
      <c r="J1223" s="73"/>
    </row>
    <row r="1224" spans="1:10" hidden="1" outlineLevel="2">
      <c r="A1224" s="69">
        <v>61</v>
      </c>
      <c r="B1224" s="69" t="s">
        <v>1665</v>
      </c>
      <c r="C1224" s="70" t="s">
        <v>1171</v>
      </c>
      <c r="D1224" s="71" t="str">
        <f>B1224&amp;"-"&amp;C1224</f>
        <v>機械工作法-機械二乙</v>
      </c>
      <c r="E1224" s="72" t="s">
        <v>1247</v>
      </c>
      <c r="F1224" s="72" t="s">
        <v>1248</v>
      </c>
      <c r="G1224" s="72">
        <v>57</v>
      </c>
      <c r="H1224" s="72">
        <v>1</v>
      </c>
      <c r="I1224" s="72" t="s">
        <v>11</v>
      </c>
      <c r="J1224" s="73"/>
    </row>
    <row r="1225" spans="1:10" hidden="1" outlineLevel="2">
      <c r="A1225" s="69">
        <v>61</v>
      </c>
      <c r="B1225" s="69" t="s">
        <v>1665</v>
      </c>
      <c r="C1225" s="70" t="s">
        <v>1171</v>
      </c>
      <c r="D1225" s="71" t="str">
        <f>B1225&amp;"-"&amp;C1225</f>
        <v>機械工作法-機械二乙</v>
      </c>
      <c r="E1225" s="72" t="s">
        <v>1182</v>
      </c>
      <c r="F1225" s="72" t="s">
        <v>1183</v>
      </c>
      <c r="G1225" s="72">
        <v>54</v>
      </c>
      <c r="H1225" s="72">
        <v>1</v>
      </c>
      <c r="I1225" s="72" t="s">
        <v>11</v>
      </c>
      <c r="J1225" s="73"/>
    </row>
    <row r="1226" spans="1:10" outlineLevel="1" collapsed="1">
      <c r="A1226" s="69"/>
      <c r="B1226" s="69"/>
      <c r="C1226" s="70"/>
      <c r="D1226" s="74" t="s">
        <v>1935</v>
      </c>
      <c r="E1226" s="72">
        <f>SUBTOTAL(3,E1223:E1225)</f>
        <v>3</v>
      </c>
      <c r="F1226" s="72"/>
      <c r="G1226" s="72"/>
      <c r="H1226" s="72"/>
      <c r="I1226" s="72">
        <f>SUBTOTAL(3,I1223:I1225)</f>
        <v>3</v>
      </c>
      <c r="J1226" s="73"/>
    </row>
    <row r="1227" spans="1:10" hidden="1" outlineLevel="2">
      <c r="A1227" s="69">
        <v>61</v>
      </c>
      <c r="B1227" s="69" t="s">
        <v>1665</v>
      </c>
      <c r="C1227" s="70" t="s">
        <v>971</v>
      </c>
      <c r="D1227" s="71" t="str">
        <f>B1227&amp;"-"&amp;C1227</f>
        <v>機械工作法-機械二甲</v>
      </c>
      <c r="E1227" s="72" t="s">
        <v>1281</v>
      </c>
      <c r="F1227" s="72" t="s">
        <v>1282</v>
      </c>
      <c r="G1227" s="72">
        <v>52</v>
      </c>
      <c r="H1227" s="72">
        <v>1</v>
      </c>
      <c r="I1227" s="72" t="s">
        <v>11</v>
      </c>
      <c r="J1227" s="73"/>
    </row>
    <row r="1228" spans="1:10" hidden="1" outlineLevel="2">
      <c r="A1228" s="69">
        <v>61</v>
      </c>
      <c r="B1228" s="69" t="s">
        <v>1665</v>
      </c>
      <c r="C1228" s="70" t="s">
        <v>971</v>
      </c>
      <c r="D1228" s="71" t="str">
        <f>B1228&amp;"-"&amp;C1228</f>
        <v>機械工作法-機械二甲</v>
      </c>
      <c r="E1228" s="72" t="s">
        <v>996</v>
      </c>
      <c r="F1228" s="72" t="s">
        <v>997</v>
      </c>
      <c r="G1228" s="72">
        <v>42</v>
      </c>
      <c r="H1228" s="72">
        <v>1</v>
      </c>
      <c r="I1228" s="72" t="s">
        <v>11</v>
      </c>
      <c r="J1228" s="73"/>
    </row>
    <row r="1229" spans="1:10" outlineLevel="1" collapsed="1">
      <c r="A1229" s="69"/>
      <c r="B1229" s="69"/>
      <c r="C1229" s="70"/>
      <c r="D1229" s="74" t="s">
        <v>1936</v>
      </c>
      <c r="E1229" s="72">
        <f>SUBTOTAL(3,E1227:E1228)</f>
        <v>2</v>
      </c>
      <c r="F1229" s="72"/>
      <c r="G1229" s="72"/>
      <c r="H1229" s="72"/>
      <c r="I1229" s="72">
        <f>SUBTOTAL(3,I1227:I1228)</f>
        <v>2</v>
      </c>
      <c r="J1229" s="73"/>
    </row>
    <row r="1230" spans="1:10" hidden="1" outlineLevel="2">
      <c r="A1230" s="69">
        <v>61</v>
      </c>
      <c r="B1230" s="69" t="s">
        <v>838</v>
      </c>
      <c r="C1230" s="70" t="s">
        <v>84</v>
      </c>
      <c r="D1230" s="71" t="s">
        <v>2083</v>
      </c>
      <c r="E1230" s="72" t="s">
        <v>87</v>
      </c>
      <c r="F1230" s="72" t="s">
        <v>88</v>
      </c>
      <c r="G1230" s="72">
        <v>55</v>
      </c>
      <c r="H1230" s="72">
        <v>2</v>
      </c>
      <c r="I1230" s="72" t="s">
        <v>11</v>
      </c>
      <c r="J1230" s="73"/>
    </row>
    <row r="1231" spans="1:10" hidden="1" outlineLevel="2">
      <c r="A1231" s="69">
        <v>61</v>
      </c>
      <c r="B1231" s="69" t="s">
        <v>838</v>
      </c>
      <c r="C1231" s="70" t="s">
        <v>84</v>
      </c>
      <c r="D1231" s="71" t="s">
        <v>2083</v>
      </c>
      <c r="E1231" s="72" t="s">
        <v>89</v>
      </c>
      <c r="F1231" s="72" t="s">
        <v>90</v>
      </c>
      <c r="G1231" s="72">
        <v>49</v>
      </c>
      <c r="H1231" s="72">
        <v>2</v>
      </c>
      <c r="I1231" s="72" t="s">
        <v>11</v>
      </c>
      <c r="J1231" s="73"/>
    </row>
    <row r="1232" spans="1:10" hidden="1" outlineLevel="2">
      <c r="A1232" s="69">
        <v>61</v>
      </c>
      <c r="B1232" s="69" t="s">
        <v>838</v>
      </c>
      <c r="C1232" s="70" t="s">
        <v>84</v>
      </c>
      <c r="D1232" s="71" t="s">
        <v>2083</v>
      </c>
      <c r="E1232" s="72" t="s">
        <v>91</v>
      </c>
      <c r="F1232" s="72" t="s">
        <v>92</v>
      </c>
      <c r="G1232" s="72">
        <v>54</v>
      </c>
      <c r="H1232" s="72">
        <v>2</v>
      </c>
      <c r="I1232" s="72" t="s">
        <v>11</v>
      </c>
      <c r="J1232" s="73"/>
    </row>
    <row r="1233" spans="1:10" hidden="1" outlineLevel="2">
      <c r="A1233" s="69">
        <v>61</v>
      </c>
      <c r="B1233" s="69" t="s">
        <v>838</v>
      </c>
      <c r="C1233" s="70" t="s">
        <v>84</v>
      </c>
      <c r="D1233" s="71" t="s">
        <v>2083</v>
      </c>
      <c r="E1233" s="72" t="s">
        <v>839</v>
      </c>
      <c r="F1233" s="72" t="s">
        <v>682</v>
      </c>
      <c r="G1233" s="72">
        <v>46</v>
      </c>
      <c r="H1233" s="72">
        <v>2</v>
      </c>
      <c r="I1233" s="72" t="s">
        <v>11</v>
      </c>
      <c r="J1233" s="73"/>
    </row>
    <row r="1234" spans="1:10" hidden="1" outlineLevel="2">
      <c r="A1234" s="69">
        <v>61</v>
      </c>
      <c r="B1234" s="69" t="s">
        <v>838</v>
      </c>
      <c r="C1234" s="70" t="s">
        <v>84</v>
      </c>
      <c r="D1234" s="71" t="s">
        <v>2083</v>
      </c>
      <c r="E1234" s="72" t="s">
        <v>753</v>
      </c>
      <c r="F1234" s="72" t="s">
        <v>754</v>
      </c>
      <c r="G1234" s="72">
        <v>53</v>
      </c>
      <c r="H1234" s="72">
        <v>2</v>
      </c>
      <c r="I1234" s="72" t="s">
        <v>11</v>
      </c>
      <c r="J1234" s="73"/>
    </row>
    <row r="1235" spans="1:10" hidden="1" outlineLevel="2">
      <c r="A1235" s="69">
        <v>61</v>
      </c>
      <c r="B1235" s="69" t="s">
        <v>838</v>
      </c>
      <c r="C1235" s="70" t="s">
        <v>84</v>
      </c>
      <c r="D1235" s="71" t="s">
        <v>2083</v>
      </c>
      <c r="E1235" s="72" t="s">
        <v>755</v>
      </c>
      <c r="F1235" s="72" t="s">
        <v>756</v>
      </c>
      <c r="G1235" s="72">
        <v>51</v>
      </c>
      <c r="H1235" s="72">
        <v>2</v>
      </c>
      <c r="I1235" s="72" t="s">
        <v>11</v>
      </c>
      <c r="J1235" s="73"/>
    </row>
    <row r="1236" spans="1:10" hidden="1" outlineLevel="2">
      <c r="A1236" s="69">
        <v>61</v>
      </c>
      <c r="B1236" s="69" t="s">
        <v>838</v>
      </c>
      <c r="C1236" s="70" t="s">
        <v>84</v>
      </c>
      <c r="D1236" s="71" t="s">
        <v>2083</v>
      </c>
      <c r="E1236" s="72" t="s">
        <v>445</v>
      </c>
      <c r="F1236" s="72" t="s">
        <v>446</v>
      </c>
      <c r="G1236" s="72">
        <v>43</v>
      </c>
      <c r="H1236" s="72">
        <v>2</v>
      </c>
      <c r="I1236" s="72" t="s">
        <v>11</v>
      </c>
      <c r="J1236" s="73"/>
    </row>
    <row r="1237" spans="1:10" hidden="1" outlineLevel="2">
      <c r="A1237" s="69">
        <v>61</v>
      </c>
      <c r="B1237" s="69" t="s">
        <v>838</v>
      </c>
      <c r="C1237" s="70" t="s">
        <v>84</v>
      </c>
      <c r="D1237" s="71" t="s">
        <v>2083</v>
      </c>
      <c r="E1237" s="72" t="s">
        <v>840</v>
      </c>
      <c r="F1237" s="72" t="s">
        <v>841</v>
      </c>
      <c r="G1237" s="72">
        <v>46</v>
      </c>
      <c r="H1237" s="72">
        <v>2</v>
      </c>
      <c r="I1237" s="72" t="s">
        <v>11</v>
      </c>
      <c r="J1237" s="73"/>
    </row>
    <row r="1238" spans="1:10" hidden="1" outlineLevel="2">
      <c r="A1238" s="69">
        <v>61</v>
      </c>
      <c r="B1238" s="69" t="s">
        <v>838</v>
      </c>
      <c r="C1238" s="70" t="s">
        <v>84</v>
      </c>
      <c r="D1238" s="71" t="s">
        <v>2083</v>
      </c>
      <c r="E1238" s="72" t="s">
        <v>95</v>
      </c>
      <c r="F1238" s="72" t="s">
        <v>96</v>
      </c>
      <c r="G1238" s="72">
        <v>42</v>
      </c>
      <c r="H1238" s="72">
        <v>2</v>
      </c>
      <c r="I1238" s="72" t="s">
        <v>11</v>
      </c>
      <c r="J1238" s="73"/>
    </row>
    <row r="1239" spans="1:10" outlineLevel="1" collapsed="1">
      <c r="A1239" s="69"/>
      <c r="B1239" s="69"/>
      <c r="C1239" s="70"/>
      <c r="D1239" s="74" t="s">
        <v>2256</v>
      </c>
      <c r="E1239" s="72">
        <f>SUBTOTAL(3,E1230:E1238)</f>
        <v>9</v>
      </c>
      <c r="F1239" s="72"/>
      <c r="G1239" s="72"/>
      <c r="H1239" s="72"/>
      <c r="I1239" s="72">
        <f>SUBTOTAL(3,I1230:I1238)</f>
        <v>9</v>
      </c>
      <c r="J1239" s="73"/>
    </row>
    <row r="1240" spans="1:10" hidden="1" outlineLevel="2">
      <c r="A1240" s="69">
        <v>61</v>
      </c>
      <c r="B1240" s="69" t="s">
        <v>838</v>
      </c>
      <c r="C1240" s="70" t="s">
        <v>7</v>
      </c>
      <c r="D1240" s="71" t="s">
        <v>2084</v>
      </c>
      <c r="E1240" s="72" t="s">
        <v>836</v>
      </c>
      <c r="F1240" s="72" t="s">
        <v>837</v>
      </c>
      <c r="G1240" s="72">
        <v>51</v>
      </c>
      <c r="H1240" s="72">
        <v>2</v>
      </c>
      <c r="I1240" s="72" t="s">
        <v>11</v>
      </c>
      <c r="J1240" s="73"/>
    </row>
    <row r="1241" spans="1:10" hidden="1" outlineLevel="2">
      <c r="A1241" s="69">
        <v>61</v>
      </c>
      <c r="B1241" s="69" t="s">
        <v>838</v>
      </c>
      <c r="C1241" s="70" t="s">
        <v>7</v>
      </c>
      <c r="D1241" s="71" t="s">
        <v>2084</v>
      </c>
      <c r="E1241" s="72" t="s">
        <v>745</v>
      </c>
      <c r="F1241" s="72" t="s">
        <v>746</v>
      </c>
      <c r="G1241" s="72">
        <v>45</v>
      </c>
      <c r="H1241" s="72">
        <v>2</v>
      </c>
      <c r="I1241" s="72" t="s">
        <v>11</v>
      </c>
      <c r="J1241" s="73"/>
    </row>
    <row r="1242" spans="1:10" hidden="1" outlineLevel="2">
      <c r="A1242" s="69">
        <v>61</v>
      </c>
      <c r="B1242" s="69" t="s">
        <v>838</v>
      </c>
      <c r="C1242" s="70" t="s">
        <v>7</v>
      </c>
      <c r="D1242" s="71" t="s">
        <v>2084</v>
      </c>
      <c r="E1242" s="72" t="s">
        <v>15</v>
      </c>
      <c r="F1242" s="72" t="s">
        <v>16</v>
      </c>
      <c r="G1242" s="72">
        <v>50</v>
      </c>
      <c r="H1242" s="72">
        <v>2</v>
      </c>
      <c r="I1242" s="72" t="s">
        <v>11</v>
      </c>
      <c r="J1242" s="73"/>
    </row>
    <row r="1243" spans="1:10" hidden="1" outlineLevel="2">
      <c r="A1243" s="69">
        <v>61</v>
      </c>
      <c r="B1243" s="69" t="s">
        <v>838</v>
      </c>
      <c r="C1243" s="70" t="s">
        <v>7</v>
      </c>
      <c r="D1243" s="71" t="s">
        <v>2084</v>
      </c>
      <c r="E1243" s="72" t="s">
        <v>17</v>
      </c>
      <c r="F1243" s="72" t="s">
        <v>18</v>
      </c>
      <c r="G1243" s="72">
        <v>49</v>
      </c>
      <c r="H1243" s="72">
        <v>2</v>
      </c>
      <c r="I1243" s="72" t="s">
        <v>11</v>
      </c>
      <c r="J1243" s="73"/>
    </row>
    <row r="1244" spans="1:10" hidden="1" outlineLevel="2">
      <c r="A1244" s="69">
        <v>61</v>
      </c>
      <c r="B1244" s="69" t="s">
        <v>838</v>
      </c>
      <c r="C1244" s="70" t="s">
        <v>7</v>
      </c>
      <c r="D1244" s="71" t="s">
        <v>2084</v>
      </c>
      <c r="E1244" s="72" t="s">
        <v>23</v>
      </c>
      <c r="F1244" s="72" t="s">
        <v>24</v>
      </c>
      <c r="G1244" s="72">
        <v>40</v>
      </c>
      <c r="H1244" s="72">
        <v>2</v>
      </c>
      <c r="I1244" s="72" t="s">
        <v>11</v>
      </c>
      <c r="J1244" s="73"/>
    </row>
    <row r="1245" spans="1:10" hidden="1" outlineLevel="2">
      <c r="A1245" s="69">
        <v>61</v>
      </c>
      <c r="B1245" s="69" t="s">
        <v>838</v>
      </c>
      <c r="C1245" s="70" t="s">
        <v>7</v>
      </c>
      <c r="D1245" s="71" t="s">
        <v>2084</v>
      </c>
      <c r="E1245" s="72" t="s">
        <v>548</v>
      </c>
      <c r="F1245" s="72" t="s">
        <v>549</v>
      </c>
      <c r="G1245" s="72">
        <v>54</v>
      </c>
      <c r="H1245" s="72">
        <v>2</v>
      </c>
      <c r="I1245" s="72" t="s">
        <v>11</v>
      </c>
      <c r="J1245" s="73"/>
    </row>
    <row r="1246" spans="1:10" outlineLevel="1" collapsed="1">
      <c r="A1246" s="69"/>
      <c r="B1246" s="69"/>
      <c r="C1246" s="70"/>
      <c r="D1246" s="74" t="s">
        <v>2257</v>
      </c>
      <c r="E1246" s="72">
        <f>SUBTOTAL(3,E1240:E1245)</f>
        <v>6</v>
      </c>
      <c r="F1246" s="72"/>
      <c r="G1246" s="72"/>
      <c r="H1246" s="72"/>
      <c r="I1246" s="72">
        <f>SUBTOTAL(3,I1240:I1245)</f>
        <v>6</v>
      </c>
      <c r="J1246" s="73">
        <f>E1246+E1239+E1229+E1226+E1222+E1215+E1213</f>
        <v>30</v>
      </c>
    </row>
    <row r="1247" spans="1:10" hidden="1" outlineLevel="2">
      <c r="A1247" s="20">
        <v>62</v>
      </c>
      <c r="B1247" s="20" t="s">
        <v>1627</v>
      </c>
      <c r="C1247" s="19" t="s">
        <v>1020</v>
      </c>
      <c r="D1247" s="41" t="str">
        <f>B1247&amp;"-"&amp;C1247</f>
        <v>機件原理-鑄造二乙</v>
      </c>
      <c r="E1247" s="22" t="s">
        <v>1630</v>
      </c>
      <c r="F1247" s="22" t="s">
        <v>1631</v>
      </c>
      <c r="G1247" s="22">
        <v>54</v>
      </c>
      <c r="H1247" s="22">
        <v>2</v>
      </c>
      <c r="I1247" s="22" t="s">
        <v>11</v>
      </c>
      <c r="J1247" s="23"/>
    </row>
    <row r="1248" spans="1:10" hidden="1" outlineLevel="2">
      <c r="A1248" s="20">
        <v>62</v>
      </c>
      <c r="B1248" s="20" t="s">
        <v>1627</v>
      </c>
      <c r="C1248" s="19" t="s">
        <v>1020</v>
      </c>
      <c r="D1248" s="41" t="str">
        <f>B1248&amp;"-"&amp;C1248</f>
        <v>機件原理-鑄造二乙</v>
      </c>
      <c r="E1248" s="22" t="s">
        <v>1263</v>
      </c>
      <c r="F1248" s="22" t="s">
        <v>1264</v>
      </c>
      <c r="G1248" s="22">
        <v>41</v>
      </c>
      <c r="H1248" s="22">
        <v>2</v>
      </c>
      <c r="I1248" s="22" t="s">
        <v>11</v>
      </c>
      <c r="J1248" s="23"/>
    </row>
    <row r="1249" spans="1:10" outlineLevel="1" collapsed="1">
      <c r="D1249" s="51" t="s">
        <v>1925</v>
      </c>
      <c r="E1249" s="22">
        <f>SUBTOTAL(3,E1247:E1248)</f>
        <v>2</v>
      </c>
      <c r="F1249" s="22"/>
      <c r="G1249" s="22"/>
      <c r="H1249" s="22"/>
      <c r="I1249" s="22">
        <f>SUBTOTAL(3,I1247:I1248)</f>
        <v>2</v>
      </c>
      <c r="J1249" s="23"/>
    </row>
    <row r="1250" spans="1:10" hidden="1" outlineLevel="2">
      <c r="A1250" s="20">
        <v>62</v>
      </c>
      <c r="B1250" s="20" t="s">
        <v>1627</v>
      </c>
      <c r="C1250" s="19" t="s">
        <v>1064</v>
      </c>
      <c r="D1250" s="41" t="str">
        <f>B1250&amp;"-"&amp;C1250</f>
        <v>機件原理-鑄造二甲</v>
      </c>
      <c r="E1250" s="22" t="s">
        <v>1065</v>
      </c>
      <c r="F1250" s="22" t="s">
        <v>1066</v>
      </c>
      <c r="G1250" s="22">
        <v>40</v>
      </c>
      <c r="H1250" s="22">
        <v>2</v>
      </c>
      <c r="I1250" s="22" t="s">
        <v>11</v>
      </c>
      <c r="J1250" s="23"/>
    </row>
    <row r="1251" spans="1:10" hidden="1" outlineLevel="2">
      <c r="A1251" s="20">
        <v>62</v>
      </c>
      <c r="B1251" s="20" t="s">
        <v>1627</v>
      </c>
      <c r="C1251" s="19" t="s">
        <v>1064</v>
      </c>
      <c r="D1251" s="41" t="str">
        <f>B1251&amp;"-"&amp;C1251</f>
        <v>機件原理-鑄造二甲</v>
      </c>
      <c r="E1251" s="22" t="s">
        <v>1305</v>
      </c>
      <c r="F1251" s="22" t="s">
        <v>1306</v>
      </c>
      <c r="G1251" s="22">
        <v>50</v>
      </c>
      <c r="H1251" s="22">
        <v>2</v>
      </c>
      <c r="I1251" s="22" t="s">
        <v>11</v>
      </c>
      <c r="J1251" s="23"/>
    </row>
    <row r="1252" spans="1:10" hidden="1" outlineLevel="2">
      <c r="A1252" s="20">
        <v>62</v>
      </c>
      <c r="B1252" s="20" t="s">
        <v>1627</v>
      </c>
      <c r="C1252" s="19" t="s">
        <v>1064</v>
      </c>
      <c r="D1252" s="41" t="str">
        <f>B1252&amp;"-"&amp;C1252</f>
        <v>機件原理-鑄造二甲</v>
      </c>
      <c r="E1252" s="22" t="s">
        <v>1079</v>
      </c>
      <c r="F1252" s="22" t="s">
        <v>1080</v>
      </c>
      <c r="G1252" s="22">
        <v>49</v>
      </c>
      <c r="H1252" s="22">
        <v>2</v>
      </c>
      <c r="I1252" s="22" t="s">
        <v>11</v>
      </c>
      <c r="J1252" s="23"/>
    </row>
    <row r="1253" spans="1:10" outlineLevel="1" collapsed="1">
      <c r="D1253" s="51" t="s">
        <v>1926</v>
      </c>
      <c r="E1253" s="22">
        <f>SUBTOTAL(3,E1250:E1252)</f>
        <v>3</v>
      </c>
      <c r="F1253" s="22"/>
      <c r="G1253" s="22"/>
      <c r="H1253" s="22"/>
      <c r="I1253" s="22">
        <f>SUBTOTAL(3,I1250:I1252)</f>
        <v>3</v>
      </c>
      <c r="J1253" s="23"/>
    </row>
    <row r="1254" spans="1:10" hidden="1" outlineLevel="2">
      <c r="A1254" s="20">
        <v>62</v>
      </c>
      <c r="B1254" s="20" t="s">
        <v>1640</v>
      </c>
      <c r="C1254" s="19" t="s">
        <v>1020</v>
      </c>
      <c r="D1254" s="41" t="str">
        <f t="shared" ref="D1254:D1259" si="38">B1254&amp;"-"&amp;C1254</f>
        <v>機械力學-鑄造二乙</v>
      </c>
      <c r="E1254" s="22" t="s">
        <v>1021</v>
      </c>
      <c r="F1254" s="22" t="s">
        <v>1022</v>
      </c>
      <c r="G1254" s="22">
        <v>48</v>
      </c>
      <c r="H1254" s="22">
        <v>2</v>
      </c>
      <c r="I1254" s="22" t="s">
        <v>11</v>
      </c>
      <c r="J1254" s="23"/>
    </row>
    <row r="1255" spans="1:10" hidden="1" outlineLevel="2">
      <c r="A1255" s="20">
        <v>62</v>
      </c>
      <c r="B1255" s="20" t="s">
        <v>1640</v>
      </c>
      <c r="C1255" s="19" t="s">
        <v>1020</v>
      </c>
      <c r="D1255" s="41" t="str">
        <f t="shared" si="38"/>
        <v>機械力學-鑄造二乙</v>
      </c>
      <c r="E1255" s="22" t="s">
        <v>1630</v>
      </c>
      <c r="F1255" s="22" t="s">
        <v>1631</v>
      </c>
      <c r="G1255" s="22">
        <v>47</v>
      </c>
      <c r="H1255" s="22">
        <v>2</v>
      </c>
      <c r="I1255" s="22" t="s">
        <v>11</v>
      </c>
      <c r="J1255" s="23"/>
    </row>
    <row r="1256" spans="1:10" hidden="1" outlineLevel="2">
      <c r="A1256" s="20">
        <v>62</v>
      </c>
      <c r="B1256" s="20" t="s">
        <v>1640</v>
      </c>
      <c r="C1256" s="19" t="s">
        <v>1020</v>
      </c>
      <c r="D1256" s="41" t="str">
        <f t="shared" si="38"/>
        <v>機械力學-鑄造二乙</v>
      </c>
      <c r="E1256" s="22" t="s">
        <v>1259</v>
      </c>
      <c r="F1256" s="22" t="s">
        <v>1260</v>
      </c>
      <c r="G1256" s="22">
        <v>56</v>
      </c>
      <c r="H1256" s="22">
        <v>2</v>
      </c>
      <c r="I1256" s="22" t="s">
        <v>11</v>
      </c>
      <c r="J1256" s="23"/>
    </row>
    <row r="1257" spans="1:10" hidden="1" outlineLevel="2">
      <c r="A1257" s="20">
        <v>62</v>
      </c>
      <c r="B1257" s="20" t="s">
        <v>1640</v>
      </c>
      <c r="C1257" s="19" t="s">
        <v>1020</v>
      </c>
      <c r="D1257" s="41" t="str">
        <f t="shared" si="38"/>
        <v>機械力學-鑄造二乙</v>
      </c>
      <c r="E1257" s="22" t="s">
        <v>1261</v>
      </c>
      <c r="F1257" s="22" t="s">
        <v>1262</v>
      </c>
      <c r="G1257" s="22">
        <v>55</v>
      </c>
      <c r="H1257" s="22">
        <v>2</v>
      </c>
      <c r="I1257" s="22" t="s">
        <v>11</v>
      </c>
      <c r="J1257" s="23"/>
    </row>
    <row r="1258" spans="1:10" hidden="1" outlineLevel="2">
      <c r="A1258" s="20">
        <v>62</v>
      </c>
      <c r="B1258" s="20" t="s">
        <v>1640</v>
      </c>
      <c r="C1258" s="19" t="s">
        <v>1020</v>
      </c>
      <c r="D1258" s="41" t="str">
        <f t="shared" si="38"/>
        <v>機械力學-鑄造二乙</v>
      </c>
      <c r="E1258" s="22" t="s">
        <v>1545</v>
      </c>
      <c r="F1258" s="22" t="s">
        <v>1546</v>
      </c>
      <c r="G1258" s="22">
        <v>40</v>
      </c>
      <c r="H1258" s="22">
        <v>2</v>
      </c>
      <c r="I1258" s="22" t="s">
        <v>11</v>
      </c>
      <c r="J1258" s="23"/>
    </row>
    <row r="1259" spans="1:10" hidden="1" outlineLevel="2">
      <c r="A1259" s="20">
        <v>62</v>
      </c>
      <c r="B1259" s="20" t="s">
        <v>1640</v>
      </c>
      <c r="C1259" s="19" t="s">
        <v>1020</v>
      </c>
      <c r="D1259" s="41" t="str">
        <f t="shared" si="38"/>
        <v>機械力學-鑄造二乙</v>
      </c>
      <c r="E1259" s="22" t="s">
        <v>1263</v>
      </c>
      <c r="F1259" s="22" t="s">
        <v>1264</v>
      </c>
      <c r="G1259" s="22">
        <v>45</v>
      </c>
      <c r="H1259" s="22">
        <v>2</v>
      </c>
      <c r="I1259" s="22" t="s">
        <v>11</v>
      </c>
      <c r="J1259" s="23"/>
    </row>
    <row r="1260" spans="1:10" outlineLevel="1" collapsed="1">
      <c r="D1260" s="51" t="s">
        <v>1933</v>
      </c>
      <c r="E1260" s="22">
        <f>SUBTOTAL(3,E1254:E1259)</f>
        <v>6</v>
      </c>
      <c r="F1260" s="22"/>
      <c r="G1260" s="22"/>
      <c r="H1260" s="22"/>
      <c r="I1260" s="22">
        <f>SUBTOTAL(3,I1254:I1259)</f>
        <v>6</v>
      </c>
      <c r="J1260" s="23"/>
    </row>
    <row r="1261" spans="1:10" hidden="1" outlineLevel="2">
      <c r="A1261" s="20">
        <v>62</v>
      </c>
      <c r="B1261" s="20" t="s">
        <v>1640</v>
      </c>
      <c r="C1261" s="19" t="s">
        <v>1064</v>
      </c>
      <c r="D1261" s="41" t="str">
        <f>B1261&amp;"-"&amp;C1261</f>
        <v>機械力學-鑄造二甲</v>
      </c>
      <c r="E1261" s="22" t="s">
        <v>1065</v>
      </c>
      <c r="F1261" s="22" t="s">
        <v>1066</v>
      </c>
      <c r="G1261" s="22">
        <v>44</v>
      </c>
      <c r="H1261" s="22">
        <v>2</v>
      </c>
      <c r="I1261" s="22" t="s">
        <v>11</v>
      </c>
      <c r="J1261" s="23"/>
    </row>
    <row r="1262" spans="1:10" outlineLevel="1" collapsed="1">
      <c r="D1262" s="51" t="s">
        <v>1934</v>
      </c>
      <c r="E1262" s="22">
        <f>SUBTOTAL(3,E1261:E1261)</f>
        <v>1</v>
      </c>
      <c r="F1262" s="22"/>
      <c r="G1262" s="22"/>
      <c r="H1262" s="22"/>
      <c r="I1262" s="22">
        <f>SUBTOTAL(3,I1261:I1261)</f>
        <v>1</v>
      </c>
      <c r="J1262" s="23"/>
    </row>
    <row r="1263" spans="1:10" hidden="1" outlineLevel="2">
      <c r="A1263" s="20">
        <v>62</v>
      </c>
      <c r="B1263" s="20" t="s">
        <v>838</v>
      </c>
      <c r="C1263" s="19" t="s">
        <v>246</v>
      </c>
      <c r="D1263" s="41" t="s">
        <v>2085</v>
      </c>
      <c r="E1263" s="22" t="s">
        <v>249</v>
      </c>
      <c r="F1263" s="22" t="s">
        <v>250</v>
      </c>
      <c r="G1263" s="22">
        <v>42</v>
      </c>
      <c r="H1263" s="22">
        <v>2</v>
      </c>
      <c r="I1263" s="22" t="s">
        <v>11</v>
      </c>
      <c r="J1263" s="23"/>
    </row>
    <row r="1264" spans="1:10" hidden="1" outlineLevel="2">
      <c r="A1264" s="20">
        <v>62</v>
      </c>
      <c r="B1264" s="20" t="s">
        <v>838</v>
      </c>
      <c r="C1264" s="19" t="s">
        <v>246</v>
      </c>
      <c r="D1264" s="41" t="s">
        <v>2085</v>
      </c>
      <c r="E1264" s="22" t="s">
        <v>255</v>
      </c>
      <c r="F1264" s="22" t="s">
        <v>256</v>
      </c>
      <c r="G1264" s="22">
        <v>52</v>
      </c>
      <c r="H1264" s="22">
        <v>2</v>
      </c>
      <c r="I1264" s="22" t="s">
        <v>11</v>
      </c>
      <c r="J1264" s="23"/>
    </row>
    <row r="1265" spans="1:10" hidden="1" outlineLevel="2">
      <c r="A1265" s="20">
        <v>62</v>
      </c>
      <c r="B1265" s="20" t="s">
        <v>838</v>
      </c>
      <c r="C1265" s="19" t="s">
        <v>246</v>
      </c>
      <c r="D1265" s="41" t="s">
        <v>2085</v>
      </c>
      <c r="E1265" s="22" t="s">
        <v>411</v>
      </c>
      <c r="F1265" s="22" t="s">
        <v>412</v>
      </c>
      <c r="G1265" s="22">
        <v>45</v>
      </c>
      <c r="H1265" s="22">
        <v>2</v>
      </c>
      <c r="I1265" s="22" t="s">
        <v>11</v>
      </c>
      <c r="J1265" s="23"/>
    </row>
    <row r="1266" spans="1:10" hidden="1" outlineLevel="2">
      <c r="A1266" s="20">
        <v>62</v>
      </c>
      <c r="B1266" s="20" t="s">
        <v>838</v>
      </c>
      <c r="C1266" s="19" t="s">
        <v>246</v>
      </c>
      <c r="D1266" s="41" t="s">
        <v>2085</v>
      </c>
      <c r="E1266" s="22" t="s">
        <v>259</v>
      </c>
      <c r="F1266" s="22" t="s">
        <v>260</v>
      </c>
      <c r="G1266" s="22">
        <v>56</v>
      </c>
      <c r="H1266" s="22">
        <v>2</v>
      </c>
      <c r="I1266" s="22" t="s">
        <v>11</v>
      </c>
      <c r="J1266" s="23"/>
    </row>
    <row r="1267" spans="1:10" hidden="1" outlineLevel="2">
      <c r="A1267" s="20">
        <v>62</v>
      </c>
      <c r="B1267" s="20" t="s">
        <v>838</v>
      </c>
      <c r="C1267" s="19" t="s">
        <v>246</v>
      </c>
      <c r="D1267" s="41" t="s">
        <v>2085</v>
      </c>
      <c r="E1267" s="22" t="s">
        <v>590</v>
      </c>
      <c r="F1267" s="22" t="s">
        <v>591</v>
      </c>
      <c r="G1267" s="22">
        <v>40</v>
      </c>
      <c r="H1267" s="22">
        <v>2</v>
      </c>
      <c r="I1267" s="22" t="s">
        <v>11</v>
      </c>
      <c r="J1267" s="23"/>
    </row>
    <row r="1268" spans="1:10" hidden="1" outlineLevel="2">
      <c r="A1268" s="20">
        <v>62</v>
      </c>
      <c r="B1268" s="20" t="s">
        <v>838</v>
      </c>
      <c r="C1268" s="19" t="s">
        <v>246</v>
      </c>
      <c r="D1268" s="41" t="s">
        <v>2085</v>
      </c>
      <c r="E1268" s="22" t="s">
        <v>261</v>
      </c>
      <c r="F1268" s="22" t="s">
        <v>262</v>
      </c>
      <c r="G1268" s="22">
        <v>45</v>
      </c>
      <c r="H1268" s="22">
        <v>2</v>
      </c>
      <c r="I1268" s="22" t="s">
        <v>11</v>
      </c>
      <c r="J1268" s="23"/>
    </row>
    <row r="1269" spans="1:10" hidden="1" outlineLevel="2">
      <c r="A1269" s="20">
        <v>62</v>
      </c>
      <c r="B1269" s="20" t="s">
        <v>838</v>
      </c>
      <c r="C1269" s="19" t="s">
        <v>246</v>
      </c>
      <c r="D1269" s="41" t="s">
        <v>2085</v>
      </c>
      <c r="E1269" s="22" t="s">
        <v>263</v>
      </c>
      <c r="F1269" s="22" t="s">
        <v>264</v>
      </c>
      <c r="G1269" s="22">
        <v>43</v>
      </c>
      <c r="H1269" s="22">
        <v>2</v>
      </c>
      <c r="I1269" s="22" t="s">
        <v>11</v>
      </c>
      <c r="J1269" s="23"/>
    </row>
    <row r="1270" spans="1:10" hidden="1" outlineLevel="2">
      <c r="A1270" s="20">
        <v>62</v>
      </c>
      <c r="B1270" s="20" t="s">
        <v>838</v>
      </c>
      <c r="C1270" s="19" t="s">
        <v>246</v>
      </c>
      <c r="D1270" s="41" t="s">
        <v>2085</v>
      </c>
      <c r="E1270" s="22" t="s">
        <v>804</v>
      </c>
      <c r="F1270" s="22" t="s">
        <v>805</v>
      </c>
      <c r="G1270" s="22">
        <v>47</v>
      </c>
      <c r="H1270" s="22">
        <v>2</v>
      </c>
      <c r="I1270" s="22" t="s">
        <v>11</v>
      </c>
      <c r="J1270" s="23"/>
    </row>
    <row r="1271" spans="1:10" hidden="1" outlineLevel="2">
      <c r="A1271" s="20">
        <v>62</v>
      </c>
      <c r="B1271" s="20" t="s">
        <v>838</v>
      </c>
      <c r="C1271" s="19" t="s">
        <v>246</v>
      </c>
      <c r="D1271" s="41" t="s">
        <v>2085</v>
      </c>
      <c r="E1271" s="22" t="s">
        <v>829</v>
      </c>
      <c r="F1271" s="22" t="s">
        <v>830</v>
      </c>
      <c r="G1271" s="22">
        <v>40</v>
      </c>
      <c r="H1271" s="22">
        <v>2</v>
      </c>
      <c r="I1271" s="22" t="s">
        <v>11</v>
      </c>
      <c r="J1271" s="23"/>
    </row>
    <row r="1272" spans="1:10" hidden="1" outlineLevel="2">
      <c r="A1272" s="20">
        <v>62</v>
      </c>
      <c r="B1272" s="20" t="s">
        <v>838</v>
      </c>
      <c r="C1272" s="19" t="s">
        <v>246</v>
      </c>
      <c r="D1272" s="41" t="s">
        <v>2085</v>
      </c>
      <c r="E1272" s="22" t="s">
        <v>267</v>
      </c>
      <c r="F1272" s="22" t="s">
        <v>268</v>
      </c>
      <c r="G1272" s="22">
        <v>47</v>
      </c>
      <c r="H1272" s="22">
        <v>2</v>
      </c>
      <c r="I1272" s="22" t="s">
        <v>11</v>
      </c>
      <c r="J1272" s="23"/>
    </row>
    <row r="1273" spans="1:10" outlineLevel="1" collapsed="1">
      <c r="D1273" s="51" t="s">
        <v>2258</v>
      </c>
      <c r="E1273" s="22">
        <f>SUBTOTAL(3,E1263:E1272)</f>
        <v>10</v>
      </c>
      <c r="F1273" s="22"/>
      <c r="G1273" s="22"/>
      <c r="H1273" s="22"/>
      <c r="I1273" s="22">
        <f>SUBTOTAL(3,I1263:I1272)</f>
        <v>10</v>
      </c>
      <c r="J1273" s="23"/>
    </row>
    <row r="1274" spans="1:10" hidden="1" outlineLevel="2">
      <c r="A1274" s="20">
        <v>62</v>
      </c>
      <c r="B1274" s="20" t="s">
        <v>838</v>
      </c>
      <c r="C1274" s="19" t="s">
        <v>25</v>
      </c>
      <c r="D1274" s="41" t="s">
        <v>2086</v>
      </c>
      <c r="E1274" s="22" t="s">
        <v>338</v>
      </c>
      <c r="F1274" s="22" t="s">
        <v>339</v>
      </c>
      <c r="G1274" s="22">
        <v>46</v>
      </c>
      <c r="H1274" s="22">
        <v>2</v>
      </c>
      <c r="I1274" s="22" t="s">
        <v>11</v>
      </c>
      <c r="J1274" s="23"/>
    </row>
    <row r="1275" spans="1:10" hidden="1" outlineLevel="2">
      <c r="A1275" s="20">
        <v>62</v>
      </c>
      <c r="B1275" s="20" t="s">
        <v>838</v>
      </c>
      <c r="C1275" s="19" t="s">
        <v>25</v>
      </c>
      <c r="D1275" s="41" t="s">
        <v>2086</v>
      </c>
      <c r="E1275" s="22" t="s">
        <v>713</v>
      </c>
      <c r="F1275" s="22" t="s">
        <v>714</v>
      </c>
      <c r="G1275" s="22">
        <v>40</v>
      </c>
      <c r="H1275" s="22">
        <v>2</v>
      </c>
      <c r="I1275" s="22" t="s">
        <v>11</v>
      </c>
      <c r="J1275" s="23"/>
    </row>
    <row r="1276" spans="1:10" hidden="1" outlineLevel="2">
      <c r="A1276" s="20">
        <v>62</v>
      </c>
      <c r="B1276" s="20" t="s">
        <v>838</v>
      </c>
      <c r="C1276" s="19" t="s">
        <v>25</v>
      </c>
      <c r="D1276" s="41" t="s">
        <v>2086</v>
      </c>
      <c r="E1276" s="22" t="s">
        <v>347</v>
      </c>
      <c r="F1276" s="22" t="s">
        <v>348</v>
      </c>
      <c r="G1276" s="22">
        <v>44</v>
      </c>
      <c r="H1276" s="22">
        <v>2</v>
      </c>
      <c r="I1276" s="22" t="s">
        <v>11</v>
      </c>
      <c r="J1276" s="23"/>
    </row>
    <row r="1277" spans="1:10" hidden="1" outlineLevel="2">
      <c r="A1277" s="20">
        <v>62</v>
      </c>
      <c r="B1277" s="20" t="s">
        <v>838</v>
      </c>
      <c r="C1277" s="19" t="s">
        <v>25</v>
      </c>
      <c r="D1277" s="41" t="s">
        <v>2086</v>
      </c>
      <c r="E1277" s="22" t="s">
        <v>671</v>
      </c>
      <c r="F1277" s="22" t="s">
        <v>672</v>
      </c>
      <c r="G1277" s="22">
        <v>40</v>
      </c>
      <c r="H1277" s="22">
        <v>2</v>
      </c>
      <c r="I1277" s="22" t="s">
        <v>11</v>
      </c>
      <c r="J1277" s="23"/>
    </row>
    <row r="1278" spans="1:10" hidden="1" outlineLevel="2">
      <c r="A1278" s="20">
        <v>62</v>
      </c>
      <c r="B1278" s="20" t="s">
        <v>838</v>
      </c>
      <c r="C1278" s="19" t="s">
        <v>25</v>
      </c>
      <c r="D1278" s="41" t="s">
        <v>2086</v>
      </c>
      <c r="E1278" s="22" t="s">
        <v>36</v>
      </c>
      <c r="F1278" s="22" t="s">
        <v>37</v>
      </c>
      <c r="G1278" s="22">
        <v>56</v>
      </c>
      <c r="H1278" s="22">
        <v>2</v>
      </c>
      <c r="I1278" s="22" t="s">
        <v>11</v>
      </c>
      <c r="J1278" s="23"/>
    </row>
    <row r="1279" spans="1:10" hidden="1" outlineLevel="2">
      <c r="A1279" s="20">
        <v>62</v>
      </c>
      <c r="B1279" s="20" t="s">
        <v>838</v>
      </c>
      <c r="C1279" s="19" t="s">
        <v>25</v>
      </c>
      <c r="D1279" s="41" t="s">
        <v>2086</v>
      </c>
      <c r="E1279" s="22" t="s">
        <v>38</v>
      </c>
      <c r="F1279" s="22" t="s">
        <v>39</v>
      </c>
      <c r="G1279" s="22">
        <v>40</v>
      </c>
      <c r="H1279" s="22">
        <v>2</v>
      </c>
      <c r="I1279" s="22" t="s">
        <v>11</v>
      </c>
      <c r="J1279" s="23"/>
    </row>
    <row r="1280" spans="1:10" hidden="1" outlineLevel="2">
      <c r="A1280" s="20">
        <v>62</v>
      </c>
      <c r="B1280" s="20" t="s">
        <v>838</v>
      </c>
      <c r="C1280" s="19" t="s">
        <v>25</v>
      </c>
      <c r="D1280" s="41" t="s">
        <v>2086</v>
      </c>
      <c r="E1280" s="22" t="s">
        <v>703</v>
      </c>
      <c r="F1280" s="22" t="s">
        <v>704</v>
      </c>
      <c r="G1280" s="22">
        <v>40</v>
      </c>
      <c r="H1280" s="22">
        <v>2</v>
      </c>
      <c r="I1280" s="22" t="s">
        <v>11</v>
      </c>
      <c r="J1280" s="23"/>
    </row>
    <row r="1281" spans="1:10" hidden="1" outlineLevel="2">
      <c r="A1281" s="20">
        <v>62</v>
      </c>
      <c r="B1281" s="20" t="s">
        <v>838</v>
      </c>
      <c r="C1281" s="19" t="s">
        <v>25</v>
      </c>
      <c r="D1281" s="41" t="s">
        <v>2086</v>
      </c>
      <c r="E1281" s="22" t="s">
        <v>42</v>
      </c>
      <c r="F1281" s="22" t="s">
        <v>43</v>
      </c>
      <c r="G1281" s="22">
        <v>47</v>
      </c>
      <c r="H1281" s="22">
        <v>2</v>
      </c>
      <c r="I1281" s="22" t="s">
        <v>11</v>
      </c>
      <c r="J1281" s="23"/>
    </row>
    <row r="1282" spans="1:10" hidden="1" outlineLevel="2">
      <c r="A1282" s="20">
        <v>62</v>
      </c>
      <c r="B1282" s="20" t="s">
        <v>838</v>
      </c>
      <c r="C1282" s="19" t="s">
        <v>25</v>
      </c>
      <c r="D1282" s="41" t="s">
        <v>2086</v>
      </c>
      <c r="E1282" s="22" t="s">
        <v>349</v>
      </c>
      <c r="F1282" s="22" t="s">
        <v>350</v>
      </c>
      <c r="G1282" s="22">
        <v>40</v>
      </c>
      <c r="H1282" s="22">
        <v>2</v>
      </c>
      <c r="I1282" s="22" t="s">
        <v>11</v>
      </c>
      <c r="J1282" s="23"/>
    </row>
    <row r="1283" spans="1:10" hidden="1" outlineLevel="2">
      <c r="A1283" s="20">
        <v>62</v>
      </c>
      <c r="B1283" s="20" t="s">
        <v>838</v>
      </c>
      <c r="C1283" s="19" t="s">
        <v>25</v>
      </c>
      <c r="D1283" s="41" t="s">
        <v>2086</v>
      </c>
      <c r="E1283" s="22" t="s">
        <v>351</v>
      </c>
      <c r="F1283" s="22" t="s">
        <v>352</v>
      </c>
      <c r="G1283" s="22">
        <v>41</v>
      </c>
      <c r="H1283" s="22">
        <v>2</v>
      </c>
      <c r="I1283" s="22" t="s">
        <v>11</v>
      </c>
      <c r="J1283" s="23"/>
    </row>
    <row r="1284" spans="1:10" outlineLevel="1" collapsed="1">
      <c r="D1284" s="51" t="s">
        <v>2259</v>
      </c>
      <c r="E1284" s="22">
        <f>SUBTOTAL(3,E1274:E1283)</f>
        <v>10</v>
      </c>
      <c r="F1284" s="22"/>
      <c r="G1284" s="22"/>
      <c r="H1284" s="22"/>
      <c r="I1284" s="22">
        <f>SUBTOTAL(3,I1274:I1283)</f>
        <v>10</v>
      </c>
      <c r="J1284" s="23">
        <f>E1284+E1273+E1262+E1260+E1253+E1249</f>
        <v>32</v>
      </c>
    </row>
    <row r="1285" spans="1:10" hidden="1" outlineLevel="2">
      <c r="A1285" s="69">
        <v>63</v>
      </c>
      <c r="B1285" s="69" t="s">
        <v>1692</v>
      </c>
      <c r="C1285" s="70" t="s">
        <v>1144</v>
      </c>
      <c r="D1285" s="71" t="str">
        <f>B1285&amp;"-"&amp;C1285</f>
        <v>汽車電學-汽車二乙</v>
      </c>
      <c r="E1285" s="72" t="s">
        <v>1163</v>
      </c>
      <c r="F1285" s="72" t="s">
        <v>1164</v>
      </c>
      <c r="G1285" s="72">
        <v>54</v>
      </c>
      <c r="H1285" s="72">
        <v>2</v>
      </c>
      <c r="I1285" s="72" t="s">
        <v>583</v>
      </c>
      <c r="J1285" s="73"/>
    </row>
    <row r="1286" spans="1:10" hidden="1" outlineLevel="2">
      <c r="A1286" s="69">
        <v>63</v>
      </c>
      <c r="B1286" s="69" t="s">
        <v>1692</v>
      </c>
      <c r="C1286" s="70" t="s">
        <v>1144</v>
      </c>
      <c r="D1286" s="71" t="str">
        <f>B1286&amp;"-"&amp;C1286</f>
        <v>汽車電學-汽車二乙</v>
      </c>
      <c r="E1286" s="72" t="s">
        <v>1165</v>
      </c>
      <c r="F1286" s="72" t="s">
        <v>1166</v>
      </c>
      <c r="G1286" s="72">
        <v>57</v>
      </c>
      <c r="H1286" s="72">
        <v>2</v>
      </c>
      <c r="I1286" s="72" t="s">
        <v>583</v>
      </c>
      <c r="J1286" s="73"/>
    </row>
    <row r="1287" spans="1:10" outlineLevel="1" collapsed="1">
      <c r="A1287" s="69"/>
      <c r="B1287" s="69"/>
      <c r="C1287" s="70"/>
      <c r="D1287" s="74" t="s">
        <v>1910</v>
      </c>
      <c r="E1287" s="72">
        <f>SUBTOTAL(3,E1285:E1286)</f>
        <v>2</v>
      </c>
      <c r="F1287" s="72"/>
      <c r="G1287" s="72"/>
      <c r="H1287" s="72"/>
      <c r="I1287" s="72">
        <f>SUBTOTAL(3,I1285:I1286)</f>
        <v>2</v>
      </c>
      <c r="J1287" s="73"/>
    </row>
    <row r="1288" spans="1:10" hidden="1" outlineLevel="2">
      <c r="A1288" s="69">
        <v>63</v>
      </c>
      <c r="B1288" s="69" t="s">
        <v>1692</v>
      </c>
      <c r="C1288" s="70" t="s">
        <v>1035</v>
      </c>
      <c r="D1288" s="71" t="str">
        <f>B1288&amp;"-"&amp;C1288</f>
        <v>汽車電學-汽車二甲</v>
      </c>
      <c r="E1288" s="72" t="s">
        <v>1690</v>
      </c>
      <c r="F1288" s="72" t="s">
        <v>1691</v>
      </c>
      <c r="G1288" s="72">
        <v>46</v>
      </c>
      <c r="H1288" s="72">
        <v>2</v>
      </c>
      <c r="I1288" s="72" t="s">
        <v>583</v>
      </c>
      <c r="J1288" s="73"/>
    </row>
    <row r="1289" spans="1:10" outlineLevel="1" collapsed="1">
      <c r="A1289" s="69"/>
      <c r="B1289" s="69"/>
      <c r="C1289" s="70"/>
      <c r="D1289" s="74" t="s">
        <v>1911</v>
      </c>
      <c r="E1289" s="72">
        <f>SUBTOTAL(3,E1288:E1288)</f>
        <v>1</v>
      </c>
      <c r="F1289" s="72"/>
      <c r="G1289" s="72"/>
      <c r="H1289" s="72"/>
      <c r="I1289" s="72">
        <f>SUBTOTAL(3,I1288:I1288)</f>
        <v>1</v>
      </c>
      <c r="J1289" s="73"/>
    </row>
    <row r="1290" spans="1:10" hidden="1" outlineLevel="2">
      <c r="A1290" s="69">
        <v>63</v>
      </c>
      <c r="B1290" s="69" t="s">
        <v>898</v>
      </c>
      <c r="C1290" s="70" t="s">
        <v>174</v>
      </c>
      <c r="D1290" s="71" t="s">
        <v>1975</v>
      </c>
      <c r="E1290" s="72" t="s">
        <v>831</v>
      </c>
      <c r="F1290" s="72" t="s">
        <v>832</v>
      </c>
      <c r="G1290" s="72">
        <v>52</v>
      </c>
      <c r="H1290" s="72">
        <v>3</v>
      </c>
      <c r="I1290" s="72" t="s">
        <v>11</v>
      </c>
      <c r="J1290" s="73"/>
    </row>
    <row r="1291" spans="1:10" outlineLevel="1" collapsed="1">
      <c r="A1291" s="69"/>
      <c r="B1291" s="69"/>
      <c r="C1291" s="70"/>
      <c r="D1291" s="74" t="s">
        <v>2099</v>
      </c>
      <c r="E1291" s="72">
        <f>SUBTOTAL(3,E1290:E1290)</f>
        <v>1</v>
      </c>
      <c r="F1291" s="72"/>
      <c r="G1291" s="72"/>
      <c r="H1291" s="72"/>
      <c r="I1291" s="72">
        <f>SUBTOTAL(3,I1290:I1290)</f>
        <v>1</v>
      </c>
      <c r="J1291" s="73"/>
    </row>
    <row r="1292" spans="1:10" hidden="1" outlineLevel="2">
      <c r="A1292" s="69">
        <v>63</v>
      </c>
      <c r="B1292" s="69" t="s">
        <v>898</v>
      </c>
      <c r="C1292" s="70" t="s">
        <v>279</v>
      </c>
      <c r="D1292" s="71" t="s">
        <v>1976</v>
      </c>
      <c r="E1292" s="72" t="s">
        <v>715</v>
      </c>
      <c r="F1292" s="72" t="s">
        <v>716</v>
      </c>
      <c r="G1292" s="72">
        <v>58</v>
      </c>
      <c r="H1292" s="72">
        <v>3</v>
      </c>
      <c r="I1292" s="72" t="s">
        <v>11</v>
      </c>
      <c r="J1292" s="73"/>
    </row>
    <row r="1293" spans="1:10" hidden="1" outlineLevel="2">
      <c r="A1293" s="69">
        <v>63</v>
      </c>
      <c r="B1293" s="69" t="s">
        <v>898</v>
      </c>
      <c r="C1293" s="70" t="s">
        <v>279</v>
      </c>
      <c r="D1293" s="71" t="s">
        <v>1976</v>
      </c>
      <c r="E1293" s="72" t="s">
        <v>353</v>
      </c>
      <c r="F1293" s="72" t="s">
        <v>354</v>
      </c>
      <c r="G1293" s="72">
        <v>48</v>
      </c>
      <c r="H1293" s="72">
        <v>3</v>
      </c>
      <c r="I1293" s="72" t="s">
        <v>11</v>
      </c>
      <c r="J1293" s="73"/>
    </row>
    <row r="1294" spans="1:10" hidden="1" outlineLevel="2">
      <c r="A1294" s="69">
        <v>63</v>
      </c>
      <c r="B1294" s="69" t="s">
        <v>898</v>
      </c>
      <c r="C1294" s="70" t="s">
        <v>279</v>
      </c>
      <c r="D1294" s="71" t="s">
        <v>1976</v>
      </c>
      <c r="E1294" s="72" t="s">
        <v>355</v>
      </c>
      <c r="F1294" s="72" t="s">
        <v>356</v>
      </c>
      <c r="G1294" s="72">
        <v>45</v>
      </c>
      <c r="H1294" s="72">
        <v>3</v>
      </c>
      <c r="I1294" s="72" t="s">
        <v>11</v>
      </c>
      <c r="J1294" s="73"/>
    </row>
    <row r="1295" spans="1:10" hidden="1" outlineLevel="2">
      <c r="A1295" s="69">
        <v>63</v>
      </c>
      <c r="B1295" s="69" t="s">
        <v>898</v>
      </c>
      <c r="C1295" s="70" t="s">
        <v>279</v>
      </c>
      <c r="D1295" s="71" t="s">
        <v>1976</v>
      </c>
      <c r="E1295" s="72" t="s">
        <v>286</v>
      </c>
      <c r="F1295" s="72" t="s">
        <v>287</v>
      </c>
      <c r="G1295" s="72">
        <v>54</v>
      </c>
      <c r="H1295" s="72">
        <v>3</v>
      </c>
      <c r="I1295" s="72" t="s">
        <v>11</v>
      </c>
      <c r="J1295" s="73"/>
    </row>
    <row r="1296" spans="1:10" hidden="1" outlineLevel="2">
      <c r="A1296" s="69">
        <v>63</v>
      </c>
      <c r="B1296" s="69" t="s">
        <v>898</v>
      </c>
      <c r="C1296" s="70" t="s">
        <v>279</v>
      </c>
      <c r="D1296" s="71" t="s">
        <v>1976</v>
      </c>
      <c r="E1296" s="72" t="s">
        <v>357</v>
      </c>
      <c r="F1296" s="72" t="s">
        <v>358</v>
      </c>
      <c r="G1296" s="72">
        <v>51</v>
      </c>
      <c r="H1296" s="72">
        <v>3</v>
      </c>
      <c r="I1296" s="72" t="s">
        <v>11</v>
      </c>
      <c r="J1296" s="73"/>
    </row>
    <row r="1297" spans="1:10" hidden="1" outlineLevel="2">
      <c r="A1297" s="69">
        <v>63</v>
      </c>
      <c r="B1297" s="69" t="s">
        <v>898</v>
      </c>
      <c r="C1297" s="70" t="s">
        <v>279</v>
      </c>
      <c r="D1297" s="71" t="s">
        <v>1976</v>
      </c>
      <c r="E1297" s="72" t="s">
        <v>359</v>
      </c>
      <c r="F1297" s="72" t="s">
        <v>360</v>
      </c>
      <c r="G1297" s="72">
        <v>58</v>
      </c>
      <c r="H1297" s="72">
        <v>3</v>
      </c>
      <c r="I1297" s="72" t="s">
        <v>11</v>
      </c>
      <c r="J1297" s="73"/>
    </row>
    <row r="1298" spans="1:10" hidden="1" outlineLevel="2">
      <c r="A1298" s="69">
        <v>63</v>
      </c>
      <c r="B1298" s="69" t="s">
        <v>898</v>
      </c>
      <c r="C1298" s="70" t="s">
        <v>279</v>
      </c>
      <c r="D1298" s="71" t="s">
        <v>1976</v>
      </c>
      <c r="E1298" s="72" t="s">
        <v>288</v>
      </c>
      <c r="F1298" s="72" t="s">
        <v>289</v>
      </c>
      <c r="G1298" s="72">
        <v>56</v>
      </c>
      <c r="H1298" s="72">
        <v>3</v>
      </c>
      <c r="I1298" s="72" t="s">
        <v>11</v>
      </c>
      <c r="J1298" s="73"/>
    </row>
    <row r="1299" spans="1:10" hidden="1" outlineLevel="2">
      <c r="A1299" s="69">
        <v>63</v>
      </c>
      <c r="B1299" s="69" t="s">
        <v>898</v>
      </c>
      <c r="C1299" s="70" t="s">
        <v>279</v>
      </c>
      <c r="D1299" s="71" t="s">
        <v>1976</v>
      </c>
      <c r="E1299" s="72" t="s">
        <v>361</v>
      </c>
      <c r="F1299" s="72" t="s">
        <v>362</v>
      </c>
      <c r="G1299" s="72">
        <v>58</v>
      </c>
      <c r="H1299" s="72">
        <v>3</v>
      </c>
      <c r="I1299" s="72" t="s">
        <v>11</v>
      </c>
      <c r="J1299" s="73"/>
    </row>
    <row r="1300" spans="1:10" hidden="1" outlineLevel="2">
      <c r="A1300" s="69">
        <v>63</v>
      </c>
      <c r="B1300" s="69" t="s">
        <v>898</v>
      </c>
      <c r="C1300" s="70" t="s">
        <v>279</v>
      </c>
      <c r="D1300" s="71" t="s">
        <v>1976</v>
      </c>
      <c r="E1300" s="72" t="s">
        <v>899</v>
      </c>
      <c r="F1300" s="72" t="s">
        <v>900</v>
      </c>
      <c r="G1300" s="72">
        <v>58</v>
      </c>
      <c r="H1300" s="72">
        <v>3</v>
      </c>
      <c r="I1300" s="72" t="s">
        <v>11</v>
      </c>
      <c r="J1300" s="73"/>
    </row>
    <row r="1301" spans="1:10" outlineLevel="1" collapsed="1">
      <c r="A1301" s="69"/>
      <c r="B1301" s="69"/>
      <c r="C1301" s="70"/>
      <c r="D1301" s="74" t="s">
        <v>2100</v>
      </c>
      <c r="E1301" s="72">
        <f>SUBTOTAL(3,E1292:E1300)</f>
        <v>9</v>
      </c>
      <c r="F1301" s="72"/>
      <c r="G1301" s="72"/>
      <c r="H1301" s="72"/>
      <c r="I1301" s="72">
        <f>SUBTOTAL(3,I1292:I1300)</f>
        <v>9</v>
      </c>
      <c r="J1301" s="73">
        <f>E1301+E1291+E1289+E1287</f>
        <v>13</v>
      </c>
    </row>
    <row r="1302" spans="1:10" hidden="1" outlineLevel="2">
      <c r="A1302" s="20">
        <v>64</v>
      </c>
      <c r="B1302" s="20" t="s">
        <v>866</v>
      </c>
      <c r="C1302" s="19" t="s">
        <v>301</v>
      </c>
      <c r="D1302" s="41" t="s">
        <v>1967</v>
      </c>
      <c r="E1302" s="22" t="s">
        <v>463</v>
      </c>
      <c r="F1302" s="22" t="s">
        <v>464</v>
      </c>
      <c r="G1302" s="22">
        <v>55</v>
      </c>
      <c r="H1302" s="22">
        <v>1</v>
      </c>
      <c r="I1302" s="22" t="s">
        <v>583</v>
      </c>
      <c r="J1302" s="23"/>
    </row>
    <row r="1303" spans="1:10" hidden="1" outlineLevel="2">
      <c r="A1303" s="20">
        <v>64</v>
      </c>
      <c r="B1303" s="20" t="s">
        <v>866</v>
      </c>
      <c r="C1303" s="19" t="s">
        <v>301</v>
      </c>
      <c r="D1303" s="41" t="s">
        <v>1967</v>
      </c>
      <c r="E1303" s="22" t="s">
        <v>304</v>
      </c>
      <c r="F1303" s="22" t="s">
        <v>305</v>
      </c>
      <c r="G1303" s="22">
        <v>51</v>
      </c>
      <c r="H1303" s="22">
        <v>1</v>
      </c>
      <c r="I1303" s="22" t="s">
        <v>583</v>
      </c>
      <c r="J1303" s="23"/>
    </row>
    <row r="1304" spans="1:10" hidden="1" outlineLevel="2">
      <c r="A1304" s="20">
        <v>64</v>
      </c>
      <c r="B1304" s="20" t="s">
        <v>866</v>
      </c>
      <c r="C1304" s="19" t="s">
        <v>301</v>
      </c>
      <c r="D1304" s="41" t="s">
        <v>1967</v>
      </c>
      <c r="E1304" s="22" t="s">
        <v>306</v>
      </c>
      <c r="F1304" s="22" t="s">
        <v>307</v>
      </c>
      <c r="G1304" s="22">
        <v>55</v>
      </c>
      <c r="H1304" s="22">
        <v>1</v>
      </c>
      <c r="I1304" s="22" t="s">
        <v>583</v>
      </c>
      <c r="J1304" s="23"/>
    </row>
    <row r="1305" spans="1:10" hidden="1" outlineLevel="2">
      <c r="A1305" s="20">
        <v>64</v>
      </c>
      <c r="B1305" s="20" t="s">
        <v>866</v>
      </c>
      <c r="C1305" s="19" t="s">
        <v>301</v>
      </c>
      <c r="D1305" s="41" t="s">
        <v>1967</v>
      </c>
      <c r="E1305" s="22" t="s">
        <v>308</v>
      </c>
      <c r="F1305" s="22" t="s">
        <v>309</v>
      </c>
      <c r="G1305" s="22">
        <v>54</v>
      </c>
      <c r="H1305" s="22">
        <v>1</v>
      </c>
      <c r="I1305" s="22" t="s">
        <v>583</v>
      </c>
      <c r="J1305" s="23"/>
    </row>
    <row r="1306" spans="1:10" hidden="1" outlineLevel="2">
      <c r="A1306" s="20">
        <v>64</v>
      </c>
      <c r="B1306" s="20" t="s">
        <v>866</v>
      </c>
      <c r="C1306" s="19" t="s">
        <v>301</v>
      </c>
      <c r="D1306" s="41" t="s">
        <v>1967</v>
      </c>
      <c r="E1306" s="22" t="s">
        <v>314</v>
      </c>
      <c r="F1306" s="22" t="s">
        <v>315</v>
      </c>
      <c r="G1306" s="22">
        <v>51</v>
      </c>
      <c r="H1306" s="22">
        <v>1</v>
      </c>
      <c r="I1306" s="22" t="s">
        <v>583</v>
      </c>
      <c r="J1306" s="23"/>
    </row>
    <row r="1307" spans="1:10" hidden="1" outlineLevel="2">
      <c r="A1307" s="20">
        <v>64</v>
      </c>
      <c r="B1307" s="20" t="s">
        <v>866</v>
      </c>
      <c r="C1307" s="19" t="s">
        <v>301</v>
      </c>
      <c r="D1307" s="41" t="s">
        <v>1967</v>
      </c>
      <c r="E1307" s="22" t="s">
        <v>705</v>
      </c>
      <c r="F1307" s="22" t="s">
        <v>706</v>
      </c>
      <c r="G1307" s="22">
        <v>56</v>
      </c>
      <c r="H1307" s="22">
        <v>1</v>
      </c>
      <c r="I1307" s="22" t="s">
        <v>583</v>
      </c>
      <c r="J1307" s="23"/>
    </row>
    <row r="1308" spans="1:10" hidden="1" outlineLevel="2">
      <c r="A1308" s="20">
        <v>64</v>
      </c>
      <c r="B1308" s="20" t="s">
        <v>866</v>
      </c>
      <c r="C1308" s="19" t="s">
        <v>301</v>
      </c>
      <c r="D1308" s="41" t="s">
        <v>1967</v>
      </c>
      <c r="E1308" s="22" t="s">
        <v>867</v>
      </c>
      <c r="F1308" s="22" t="s">
        <v>868</v>
      </c>
      <c r="G1308" s="22">
        <v>49</v>
      </c>
      <c r="H1308" s="22">
        <v>1</v>
      </c>
      <c r="I1308" s="22" t="s">
        <v>583</v>
      </c>
      <c r="J1308" s="23"/>
    </row>
    <row r="1309" spans="1:10" hidden="1" outlineLevel="2">
      <c r="A1309" s="20">
        <v>64</v>
      </c>
      <c r="B1309" s="20" t="s">
        <v>866</v>
      </c>
      <c r="C1309" s="19" t="s">
        <v>301</v>
      </c>
      <c r="D1309" s="41" t="s">
        <v>1967</v>
      </c>
      <c r="E1309" s="22" t="s">
        <v>316</v>
      </c>
      <c r="F1309" s="22" t="s">
        <v>317</v>
      </c>
      <c r="G1309" s="22">
        <v>51</v>
      </c>
      <c r="H1309" s="22">
        <v>1</v>
      </c>
      <c r="I1309" s="22" t="s">
        <v>583</v>
      </c>
      <c r="J1309" s="23"/>
    </row>
    <row r="1310" spans="1:10" hidden="1" outlineLevel="2">
      <c r="A1310" s="20">
        <v>64</v>
      </c>
      <c r="B1310" s="20" t="s">
        <v>866</v>
      </c>
      <c r="C1310" s="19" t="s">
        <v>301</v>
      </c>
      <c r="D1310" s="41" t="s">
        <v>1967</v>
      </c>
      <c r="E1310" s="22" t="s">
        <v>467</v>
      </c>
      <c r="F1310" s="22" t="s">
        <v>468</v>
      </c>
      <c r="G1310" s="22">
        <v>58</v>
      </c>
      <c r="H1310" s="22">
        <v>1</v>
      </c>
      <c r="I1310" s="22" t="s">
        <v>583</v>
      </c>
      <c r="J1310" s="23"/>
    </row>
    <row r="1311" spans="1:10" hidden="1" outlineLevel="2">
      <c r="A1311" s="20">
        <v>64</v>
      </c>
      <c r="B1311" s="20" t="s">
        <v>866</v>
      </c>
      <c r="C1311" s="19" t="s">
        <v>301</v>
      </c>
      <c r="D1311" s="41" t="s">
        <v>1967</v>
      </c>
      <c r="E1311" s="22" t="s">
        <v>318</v>
      </c>
      <c r="F1311" s="22" t="s">
        <v>319</v>
      </c>
      <c r="G1311" s="22">
        <v>46</v>
      </c>
      <c r="H1311" s="22">
        <v>1</v>
      </c>
      <c r="I1311" s="22" t="s">
        <v>583</v>
      </c>
      <c r="J1311" s="23"/>
    </row>
    <row r="1312" spans="1:10" hidden="1" outlineLevel="2">
      <c r="A1312" s="20">
        <v>64</v>
      </c>
      <c r="B1312" s="20" t="s">
        <v>866</v>
      </c>
      <c r="C1312" s="19" t="s">
        <v>301</v>
      </c>
      <c r="D1312" s="41" t="s">
        <v>1967</v>
      </c>
      <c r="E1312" s="22" t="s">
        <v>869</v>
      </c>
      <c r="F1312" s="22" t="s">
        <v>870</v>
      </c>
      <c r="G1312" s="22">
        <v>43</v>
      </c>
      <c r="H1312" s="22">
        <v>1</v>
      </c>
      <c r="I1312" s="22" t="s">
        <v>583</v>
      </c>
      <c r="J1312" s="23"/>
    </row>
    <row r="1313" spans="1:10" hidden="1" outlineLevel="2">
      <c r="A1313" s="20">
        <v>64</v>
      </c>
      <c r="B1313" s="20" t="s">
        <v>866</v>
      </c>
      <c r="C1313" s="19" t="s">
        <v>301</v>
      </c>
      <c r="D1313" s="41" t="s">
        <v>1967</v>
      </c>
      <c r="E1313" s="22" t="s">
        <v>471</v>
      </c>
      <c r="F1313" s="22" t="s">
        <v>472</v>
      </c>
      <c r="G1313" s="22">
        <v>53</v>
      </c>
      <c r="H1313" s="22">
        <v>1</v>
      </c>
      <c r="I1313" s="22" t="s">
        <v>583</v>
      </c>
      <c r="J1313" s="23"/>
    </row>
    <row r="1314" spans="1:10" hidden="1" outlineLevel="2">
      <c r="A1314" s="20">
        <v>64</v>
      </c>
      <c r="B1314" s="20" t="s">
        <v>866</v>
      </c>
      <c r="C1314" s="19" t="s">
        <v>301</v>
      </c>
      <c r="D1314" s="41" t="s">
        <v>1967</v>
      </c>
      <c r="E1314" s="22" t="s">
        <v>320</v>
      </c>
      <c r="F1314" s="22" t="s">
        <v>321</v>
      </c>
      <c r="G1314" s="22">
        <v>51</v>
      </c>
      <c r="H1314" s="22">
        <v>1</v>
      </c>
      <c r="I1314" s="22" t="s">
        <v>583</v>
      </c>
      <c r="J1314" s="23"/>
    </row>
    <row r="1315" spans="1:10" hidden="1" outlineLevel="2">
      <c r="A1315" s="20">
        <v>64</v>
      </c>
      <c r="B1315" s="20" t="s">
        <v>866</v>
      </c>
      <c r="C1315" s="19" t="s">
        <v>301</v>
      </c>
      <c r="D1315" s="41" t="s">
        <v>1967</v>
      </c>
      <c r="E1315" s="22" t="s">
        <v>677</v>
      </c>
      <c r="F1315" s="22" t="s">
        <v>678</v>
      </c>
      <c r="G1315" s="22">
        <v>57</v>
      </c>
      <c r="H1315" s="22">
        <v>1</v>
      </c>
      <c r="I1315" s="22" t="s">
        <v>583</v>
      </c>
      <c r="J1315" s="23"/>
    </row>
    <row r="1316" spans="1:10" hidden="1" outlineLevel="2">
      <c r="A1316" s="20">
        <v>64</v>
      </c>
      <c r="B1316" s="20" t="s">
        <v>866</v>
      </c>
      <c r="C1316" s="19" t="s">
        <v>301</v>
      </c>
      <c r="D1316" s="41" t="s">
        <v>1967</v>
      </c>
      <c r="E1316" s="22" t="s">
        <v>473</v>
      </c>
      <c r="F1316" s="22" t="s">
        <v>474</v>
      </c>
      <c r="G1316" s="22">
        <v>44</v>
      </c>
      <c r="H1316" s="22">
        <v>1</v>
      </c>
      <c r="I1316" s="22" t="s">
        <v>583</v>
      </c>
      <c r="J1316" s="23"/>
    </row>
    <row r="1317" spans="1:10" outlineLevel="1" collapsed="1">
      <c r="D1317" s="51" t="s">
        <v>2090</v>
      </c>
      <c r="E1317" s="22">
        <f>SUBTOTAL(3,E1302:E1316)</f>
        <v>15</v>
      </c>
      <c r="F1317" s="22"/>
      <c r="G1317" s="22"/>
      <c r="H1317" s="22"/>
      <c r="I1317" s="22">
        <f>SUBTOTAL(3,I1302:I1316)</f>
        <v>15</v>
      </c>
      <c r="J1317" s="23"/>
    </row>
    <row r="1318" spans="1:10" hidden="1" outlineLevel="2">
      <c r="A1318" s="20">
        <v>64</v>
      </c>
      <c r="B1318" s="20" t="s">
        <v>1627</v>
      </c>
      <c r="C1318" s="19" t="s">
        <v>1217</v>
      </c>
      <c r="D1318" s="41" t="str">
        <f>B1318&amp;"-"&amp;C1318</f>
        <v>機件原理-模具二甲</v>
      </c>
      <c r="E1318" s="22" t="s">
        <v>1632</v>
      </c>
      <c r="F1318" s="22" t="s">
        <v>1633</v>
      </c>
      <c r="G1318" s="22">
        <v>48</v>
      </c>
      <c r="H1318" s="22">
        <v>2</v>
      </c>
      <c r="I1318" s="22" t="s">
        <v>11</v>
      </c>
      <c r="J1318" s="23"/>
    </row>
    <row r="1319" spans="1:10" outlineLevel="1" collapsed="1">
      <c r="D1319" s="51" t="s">
        <v>1922</v>
      </c>
      <c r="E1319" s="22">
        <f>SUBTOTAL(3,E1318:E1318)</f>
        <v>1</v>
      </c>
      <c r="F1319" s="22"/>
      <c r="G1319" s="22"/>
      <c r="H1319" s="22"/>
      <c r="I1319" s="22">
        <f>SUBTOTAL(3,I1318:I1318)</f>
        <v>1</v>
      </c>
      <c r="J1319" s="23"/>
    </row>
    <row r="1320" spans="1:10" hidden="1" outlineLevel="2">
      <c r="A1320" s="20">
        <v>64</v>
      </c>
      <c r="B1320" s="20" t="s">
        <v>1640</v>
      </c>
      <c r="C1320" s="19" t="s">
        <v>998</v>
      </c>
      <c r="D1320" s="41" t="str">
        <f>B1320&amp;"-"&amp;C1320</f>
        <v>機械力學-模具二乙</v>
      </c>
      <c r="E1320" s="22" t="s">
        <v>1657</v>
      </c>
      <c r="F1320" s="22" t="s">
        <v>1658</v>
      </c>
      <c r="G1320" s="22">
        <v>49</v>
      </c>
      <c r="H1320" s="22">
        <v>2</v>
      </c>
      <c r="I1320" s="22" t="s">
        <v>11</v>
      </c>
      <c r="J1320" s="23"/>
    </row>
    <row r="1321" spans="1:10" hidden="1" outlineLevel="2">
      <c r="A1321" s="20">
        <v>64</v>
      </c>
      <c r="B1321" s="20" t="s">
        <v>1640</v>
      </c>
      <c r="C1321" s="19" t="s">
        <v>998</v>
      </c>
      <c r="D1321" s="41" t="str">
        <f>B1321&amp;"-"&amp;C1321</f>
        <v>機械力學-模具二乙</v>
      </c>
      <c r="E1321" s="22" t="s">
        <v>1659</v>
      </c>
      <c r="F1321" s="22" t="s">
        <v>1660</v>
      </c>
      <c r="G1321" s="22">
        <v>40</v>
      </c>
      <c r="H1321" s="22">
        <v>2</v>
      </c>
      <c r="I1321" s="22" t="s">
        <v>11</v>
      </c>
      <c r="J1321" s="23"/>
    </row>
    <row r="1322" spans="1:10" hidden="1" outlineLevel="2">
      <c r="A1322" s="20">
        <v>64</v>
      </c>
      <c r="B1322" s="20" t="s">
        <v>1640</v>
      </c>
      <c r="C1322" s="19" t="s">
        <v>998</v>
      </c>
      <c r="D1322" s="41" t="str">
        <f>B1322&amp;"-"&amp;C1322</f>
        <v>機械力學-模具二乙</v>
      </c>
      <c r="E1322" s="22" t="s">
        <v>1003</v>
      </c>
      <c r="F1322" s="22" t="s">
        <v>1004</v>
      </c>
      <c r="G1322" s="22">
        <v>40</v>
      </c>
      <c r="H1322" s="22">
        <v>2</v>
      </c>
      <c r="I1322" s="22" t="s">
        <v>11</v>
      </c>
      <c r="J1322" s="23"/>
    </row>
    <row r="1323" spans="1:10" hidden="1" outlineLevel="2">
      <c r="A1323" s="20">
        <v>64</v>
      </c>
      <c r="B1323" s="20" t="s">
        <v>1640</v>
      </c>
      <c r="C1323" s="19" t="s">
        <v>998</v>
      </c>
      <c r="D1323" s="41" t="str">
        <f>B1323&amp;"-"&amp;C1323</f>
        <v>機械力學-模具二乙</v>
      </c>
      <c r="E1323" s="22" t="s">
        <v>1661</v>
      </c>
      <c r="F1323" s="22" t="s">
        <v>1662</v>
      </c>
      <c r="G1323" s="22">
        <v>43</v>
      </c>
      <c r="H1323" s="22">
        <v>2</v>
      </c>
      <c r="I1323" s="22" t="s">
        <v>11</v>
      </c>
      <c r="J1323" s="23"/>
    </row>
    <row r="1324" spans="1:10" hidden="1" outlineLevel="2">
      <c r="A1324" s="20">
        <v>64</v>
      </c>
      <c r="B1324" s="20" t="s">
        <v>1640</v>
      </c>
      <c r="C1324" s="19" t="s">
        <v>998</v>
      </c>
      <c r="D1324" s="41" t="str">
        <f>B1324&amp;"-"&amp;C1324</f>
        <v>機械力學-模具二乙</v>
      </c>
      <c r="E1324" s="22" t="s">
        <v>1576</v>
      </c>
      <c r="F1324" s="22" t="s">
        <v>1577</v>
      </c>
      <c r="G1324" s="22">
        <v>50</v>
      </c>
      <c r="H1324" s="22">
        <v>2</v>
      </c>
      <c r="I1324" s="22" t="s">
        <v>11</v>
      </c>
      <c r="J1324" s="23"/>
    </row>
    <row r="1325" spans="1:10" outlineLevel="1" collapsed="1">
      <c r="D1325" s="51" t="s">
        <v>1930</v>
      </c>
      <c r="E1325" s="22">
        <f>SUBTOTAL(3,E1320:E1324)</f>
        <v>5</v>
      </c>
      <c r="F1325" s="22"/>
      <c r="G1325" s="22"/>
      <c r="H1325" s="22"/>
      <c r="I1325" s="22">
        <f>SUBTOTAL(3,I1320:I1324)</f>
        <v>5</v>
      </c>
      <c r="J1325" s="23"/>
    </row>
    <row r="1326" spans="1:10" hidden="1" outlineLevel="2">
      <c r="A1326" s="20">
        <v>64</v>
      </c>
      <c r="B1326" s="20" t="s">
        <v>1640</v>
      </c>
      <c r="C1326" s="19" t="s">
        <v>1217</v>
      </c>
      <c r="D1326" s="41" t="str">
        <f t="shared" ref="D1326:D1336" si="39">B1326&amp;"-"&amp;C1326</f>
        <v>機械力學-模具二甲</v>
      </c>
      <c r="E1326" s="22" t="s">
        <v>1643</v>
      </c>
      <c r="F1326" s="22" t="s">
        <v>1644</v>
      </c>
      <c r="G1326" s="22">
        <v>53</v>
      </c>
      <c r="H1326" s="22">
        <v>2</v>
      </c>
      <c r="I1326" s="22" t="s">
        <v>11</v>
      </c>
      <c r="J1326" s="23"/>
    </row>
    <row r="1327" spans="1:10" hidden="1" outlineLevel="2">
      <c r="A1327" s="20">
        <v>64</v>
      </c>
      <c r="B1327" s="20" t="s">
        <v>1640</v>
      </c>
      <c r="C1327" s="19" t="s">
        <v>1217</v>
      </c>
      <c r="D1327" s="41" t="str">
        <f t="shared" si="39"/>
        <v>機械力學-模具二甲</v>
      </c>
      <c r="E1327" s="22" t="s">
        <v>1645</v>
      </c>
      <c r="F1327" s="22" t="s">
        <v>1646</v>
      </c>
      <c r="G1327" s="22">
        <v>48</v>
      </c>
      <c r="H1327" s="22">
        <v>2</v>
      </c>
      <c r="I1327" s="22" t="s">
        <v>11</v>
      </c>
      <c r="J1327" s="23"/>
    </row>
    <row r="1328" spans="1:10" hidden="1" outlineLevel="2">
      <c r="A1328" s="20">
        <v>64</v>
      </c>
      <c r="B1328" s="20" t="s">
        <v>1640</v>
      </c>
      <c r="C1328" s="19" t="s">
        <v>1217</v>
      </c>
      <c r="D1328" s="41" t="str">
        <f t="shared" si="39"/>
        <v>機械力學-模具二甲</v>
      </c>
      <c r="E1328" s="22" t="s">
        <v>1647</v>
      </c>
      <c r="F1328" s="22" t="s">
        <v>1648</v>
      </c>
      <c r="G1328" s="22">
        <v>55</v>
      </c>
      <c r="H1328" s="22">
        <v>2</v>
      </c>
      <c r="I1328" s="22" t="s">
        <v>11</v>
      </c>
      <c r="J1328" s="23"/>
    </row>
    <row r="1329" spans="1:10" hidden="1" outlineLevel="2">
      <c r="A1329" s="20">
        <v>64</v>
      </c>
      <c r="B1329" s="20" t="s">
        <v>1640</v>
      </c>
      <c r="C1329" s="19" t="s">
        <v>1217</v>
      </c>
      <c r="D1329" s="41" t="str">
        <f t="shared" si="39"/>
        <v>機械力學-模具二甲</v>
      </c>
      <c r="E1329" s="22" t="s">
        <v>1220</v>
      </c>
      <c r="F1329" s="22" t="s">
        <v>1221</v>
      </c>
      <c r="G1329" s="22">
        <v>47</v>
      </c>
      <c r="H1329" s="22">
        <v>2</v>
      </c>
      <c r="I1329" s="22" t="s">
        <v>11</v>
      </c>
      <c r="J1329" s="23"/>
    </row>
    <row r="1330" spans="1:10" hidden="1" outlineLevel="2">
      <c r="A1330" s="20">
        <v>64</v>
      </c>
      <c r="B1330" s="20" t="s">
        <v>1640</v>
      </c>
      <c r="C1330" s="19" t="s">
        <v>1217</v>
      </c>
      <c r="D1330" s="41" t="str">
        <f t="shared" si="39"/>
        <v>機械力學-模具二甲</v>
      </c>
      <c r="E1330" s="22" t="s">
        <v>1561</v>
      </c>
      <c r="F1330" s="22" t="s">
        <v>1562</v>
      </c>
      <c r="G1330" s="22">
        <v>45</v>
      </c>
      <c r="H1330" s="22">
        <v>2</v>
      </c>
      <c r="I1330" s="22" t="s">
        <v>11</v>
      </c>
      <c r="J1330" s="23"/>
    </row>
    <row r="1331" spans="1:10" hidden="1" outlineLevel="2">
      <c r="A1331" s="20">
        <v>64</v>
      </c>
      <c r="B1331" s="20" t="s">
        <v>1640</v>
      </c>
      <c r="C1331" s="19" t="s">
        <v>1217</v>
      </c>
      <c r="D1331" s="41" t="str">
        <f t="shared" si="39"/>
        <v>機械力學-模具二甲</v>
      </c>
      <c r="E1331" s="22" t="s">
        <v>1649</v>
      </c>
      <c r="F1331" s="22" t="s">
        <v>1650</v>
      </c>
      <c r="G1331" s="22">
        <v>46</v>
      </c>
      <c r="H1331" s="22">
        <v>2</v>
      </c>
      <c r="I1331" s="22" t="s">
        <v>11</v>
      </c>
      <c r="J1331" s="23"/>
    </row>
    <row r="1332" spans="1:10" hidden="1" outlineLevel="2">
      <c r="A1332" s="20">
        <v>64</v>
      </c>
      <c r="B1332" s="20" t="s">
        <v>1640</v>
      </c>
      <c r="C1332" s="19" t="s">
        <v>1217</v>
      </c>
      <c r="D1332" s="41" t="str">
        <f t="shared" si="39"/>
        <v>機械力學-模具二甲</v>
      </c>
      <c r="E1332" s="22" t="s">
        <v>1651</v>
      </c>
      <c r="F1332" s="22" t="s">
        <v>1652</v>
      </c>
      <c r="G1332" s="22">
        <v>52</v>
      </c>
      <c r="H1332" s="22">
        <v>2</v>
      </c>
      <c r="I1332" s="22" t="s">
        <v>11</v>
      </c>
      <c r="J1332" s="23"/>
    </row>
    <row r="1333" spans="1:10" hidden="1" outlineLevel="2">
      <c r="A1333" s="20">
        <v>64</v>
      </c>
      <c r="B1333" s="20" t="s">
        <v>1640</v>
      </c>
      <c r="C1333" s="19" t="s">
        <v>1217</v>
      </c>
      <c r="D1333" s="41" t="str">
        <f t="shared" si="39"/>
        <v>機械力學-模具二甲</v>
      </c>
      <c r="E1333" s="22" t="s">
        <v>1653</v>
      </c>
      <c r="F1333" s="22" t="s">
        <v>1654</v>
      </c>
      <c r="G1333" s="22">
        <v>53</v>
      </c>
      <c r="H1333" s="22">
        <v>2</v>
      </c>
      <c r="I1333" s="22" t="s">
        <v>11</v>
      </c>
      <c r="J1333" s="23"/>
    </row>
    <row r="1334" spans="1:10" hidden="1" outlineLevel="2">
      <c r="A1334" s="20">
        <v>64</v>
      </c>
      <c r="B1334" s="20" t="s">
        <v>1640</v>
      </c>
      <c r="C1334" s="19" t="s">
        <v>1217</v>
      </c>
      <c r="D1334" s="41" t="str">
        <f t="shared" si="39"/>
        <v>機械力學-模具二甲</v>
      </c>
      <c r="E1334" s="22" t="s">
        <v>1655</v>
      </c>
      <c r="F1334" s="22" t="s">
        <v>1656</v>
      </c>
      <c r="G1334" s="22">
        <v>48</v>
      </c>
      <c r="H1334" s="22">
        <v>2</v>
      </c>
      <c r="I1334" s="22" t="s">
        <v>11</v>
      </c>
      <c r="J1334" s="23"/>
    </row>
    <row r="1335" spans="1:10" hidden="1" outlineLevel="2">
      <c r="A1335" s="20">
        <v>64</v>
      </c>
      <c r="B1335" s="20" t="s">
        <v>1640</v>
      </c>
      <c r="C1335" s="19" t="s">
        <v>1217</v>
      </c>
      <c r="D1335" s="41" t="str">
        <f t="shared" si="39"/>
        <v>機械力學-模具二甲</v>
      </c>
      <c r="E1335" s="22" t="s">
        <v>1224</v>
      </c>
      <c r="F1335" s="22" t="s">
        <v>1225</v>
      </c>
      <c r="G1335" s="22">
        <v>43</v>
      </c>
      <c r="H1335" s="22">
        <v>2</v>
      </c>
      <c r="I1335" s="22" t="s">
        <v>11</v>
      </c>
      <c r="J1335" s="23"/>
    </row>
    <row r="1336" spans="1:10" hidden="1" outlineLevel="2">
      <c r="A1336" s="20">
        <v>64</v>
      </c>
      <c r="B1336" s="20" t="s">
        <v>1640</v>
      </c>
      <c r="C1336" s="19" t="s">
        <v>1217</v>
      </c>
      <c r="D1336" s="41" t="str">
        <f t="shared" si="39"/>
        <v>機械力學-模具二甲</v>
      </c>
      <c r="E1336" s="22" t="s">
        <v>1632</v>
      </c>
      <c r="F1336" s="22" t="s">
        <v>1633</v>
      </c>
      <c r="G1336" s="22">
        <v>55</v>
      </c>
      <c r="H1336" s="22">
        <v>2</v>
      </c>
      <c r="I1336" s="22" t="s">
        <v>11</v>
      </c>
      <c r="J1336" s="23"/>
    </row>
    <row r="1337" spans="1:10" outlineLevel="1" collapsed="1">
      <c r="D1337" s="51" t="s">
        <v>1931</v>
      </c>
      <c r="E1337" s="22">
        <f>SUBTOTAL(3,E1326:E1336)</f>
        <v>11</v>
      </c>
      <c r="F1337" s="22"/>
      <c r="G1337" s="22"/>
      <c r="H1337" s="22"/>
      <c r="I1337" s="22">
        <f>SUBTOTAL(3,I1326:I1336)</f>
        <v>11</v>
      </c>
      <c r="J1337" s="23"/>
    </row>
    <row r="1338" spans="1:10" hidden="1" outlineLevel="2">
      <c r="A1338" s="20">
        <v>64</v>
      </c>
      <c r="B1338" s="20" t="s">
        <v>838</v>
      </c>
      <c r="C1338" s="19" t="s">
        <v>301</v>
      </c>
      <c r="D1338" s="41" t="s">
        <v>2082</v>
      </c>
      <c r="E1338" s="22" t="s">
        <v>306</v>
      </c>
      <c r="F1338" s="22" t="s">
        <v>307</v>
      </c>
      <c r="G1338" s="22">
        <v>49</v>
      </c>
      <c r="H1338" s="22">
        <v>2</v>
      </c>
      <c r="I1338" s="22" t="s">
        <v>11</v>
      </c>
      <c r="J1338" s="23"/>
    </row>
    <row r="1339" spans="1:10" hidden="1" outlineLevel="2">
      <c r="A1339" s="20">
        <v>64</v>
      </c>
      <c r="B1339" s="20" t="s">
        <v>838</v>
      </c>
      <c r="C1339" s="19" t="s">
        <v>301</v>
      </c>
      <c r="D1339" s="41" t="s">
        <v>2082</v>
      </c>
      <c r="E1339" s="22" t="s">
        <v>312</v>
      </c>
      <c r="F1339" s="22" t="s">
        <v>313</v>
      </c>
      <c r="G1339" s="22">
        <v>45</v>
      </c>
      <c r="H1339" s="22">
        <v>2</v>
      </c>
      <c r="I1339" s="22" t="s">
        <v>11</v>
      </c>
      <c r="J1339" s="23"/>
    </row>
    <row r="1340" spans="1:10" hidden="1" outlineLevel="2">
      <c r="A1340" s="20">
        <v>64</v>
      </c>
      <c r="B1340" s="20" t="s">
        <v>838</v>
      </c>
      <c r="C1340" s="19" t="s">
        <v>301</v>
      </c>
      <c r="D1340" s="41" t="s">
        <v>2082</v>
      </c>
      <c r="E1340" s="22" t="s">
        <v>314</v>
      </c>
      <c r="F1340" s="22" t="s">
        <v>315</v>
      </c>
      <c r="G1340" s="22">
        <v>42</v>
      </c>
      <c r="H1340" s="22">
        <v>2</v>
      </c>
      <c r="I1340" s="22" t="s">
        <v>11</v>
      </c>
      <c r="J1340" s="23"/>
    </row>
    <row r="1341" spans="1:10" hidden="1" outlineLevel="2">
      <c r="A1341" s="20">
        <v>64</v>
      </c>
      <c r="B1341" s="20" t="s">
        <v>838</v>
      </c>
      <c r="C1341" s="19" t="s">
        <v>301</v>
      </c>
      <c r="D1341" s="41" t="s">
        <v>2082</v>
      </c>
      <c r="E1341" s="22" t="s">
        <v>320</v>
      </c>
      <c r="F1341" s="22" t="s">
        <v>321</v>
      </c>
      <c r="G1341" s="22">
        <v>48</v>
      </c>
      <c r="H1341" s="22">
        <v>2</v>
      </c>
      <c r="I1341" s="22" t="s">
        <v>11</v>
      </c>
      <c r="J1341" s="23"/>
    </row>
    <row r="1342" spans="1:10" hidden="1" outlineLevel="2">
      <c r="A1342" s="20">
        <v>64</v>
      </c>
      <c r="B1342" s="20" t="s">
        <v>838</v>
      </c>
      <c r="C1342" s="19" t="s">
        <v>301</v>
      </c>
      <c r="D1342" s="41" t="s">
        <v>2082</v>
      </c>
      <c r="E1342" s="22" t="s">
        <v>473</v>
      </c>
      <c r="F1342" s="22" t="s">
        <v>474</v>
      </c>
      <c r="G1342" s="22">
        <v>47</v>
      </c>
      <c r="H1342" s="22">
        <v>2</v>
      </c>
      <c r="I1342" s="22" t="s">
        <v>11</v>
      </c>
      <c r="J1342" s="23"/>
    </row>
    <row r="1343" spans="1:10" outlineLevel="1" collapsed="1">
      <c r="D1343" s="51" t="s">
        <v>2255</v>
      </c>
      <c r="E1343" s="22">
        <f>SUBTOTAL(3,E1338:E1342)</f>
        <v>5</v>
      </c>
      <c r="F1343" s="22"/>
      <c r="G1343" s="22"/>
      <c r="H1343" s="22"/>
      <c r="I1343" s="22">
        <f>SUBTOTAL(3,I1338:I1342)</f>
        <v>5</v>
      </c>
      <c r="J1343" s="23">
        <f>E1343+E1337+E1325+E1319+E1317</f>
        <v>37</v>
      </c>
    </row>
    <row r="1344" spans="1:10" hidden="1" outlineLevel="2">
      <c r="A1344" s="69">
        <v>65</v>
      </c>
      <c r="B1344" s="69" t="s">
        <v>1627</v>
      </c>
      <c r="C1344" s="70" t="s">
        <v>1231</v>
      </c>
      <c r="D1344" s="71" t="str">
        <f>B1344&amp;"-"&amp;C1344</f>
        <v>機件原理-製圖二乙</v>
      </c>
      <c r="E1344" s="72" t="s">
        <v>1426</v>
      </c>
      <c r="F1344" s="72" t="s">
        <v>1427</v>
      </c>
      <c r="G1344" s="72">
        <v>50</v>
      </c>
      <c r="H1344" s="72">
        <v>2</v>
      </c>
      <c r="I1344" s="72" t="s">
        <v>11</v>
      </c>
      <c r="J1344" s="73"/>
    </row>
    <row r="1345" spans="1:10" outlineLevel="1" collapsed="1">
      <c r="A1345" s="69"/>
      <c r="B1345" s="69"/>
      <c r="C1345" s="70"/>
      <c r="D1345" s="74" t="s">
        <v>1919</v>
      </c>
      <c r="E1345" s="72">
        <f>SUBTOTAL(3,E1344:E1344)</f>
        <v>1</v>
      </c>
      <c r="F1345" s="72"/>
      <c r="G1345" s="72"/>
      <c r="H1345" s="72"/>
      <c r="I1345" s="72">
        <f>SUBTOTAL(3,I1344:I1344)</f>
        <v>1</v>
      </c>
      <c r="J1345" s="73"/>
    </row>
    <row r="1346" spans="1:10" hidden="1" outlineLevel="2">
      <c r="A1346" s="69">
        <v>65</v>
      </c>
      <c r="B1346" s="69" t="s">
        <v>1627</v>
      </c>
      <c r="C1346" s="70" t="s">
        <v>1102</v>
      </c>
      <c r="D1346" s="71" t="str">
        <f t="shared" ref="D1346:D1354" si="40">B1346&amp;"-"&amp;C1346</f>
        <v>機件原理-製圖二丙</v>
      </c>
      <c r="E1346" s="72" t="s">
        <v>1105</v>
      </c>
      <c r="F1346" s="72" t="s">
        <v>1106</v>
      </c>
      <c r="G1346" s="72">
        <v>53</v>
      </c>
      <c r="H1346" s="72">
        <v>2</v>
      </c>
      <c r="I1346" s="72" t="s">
        <v>11</v>
      </c>
      <c r="J1346" s="73"/>
    </row>
    <row r="1347" spans="1:10" hidden="1" outlineLevel="2">
      <c r="A1347" s="69">
        <v>65</v>
      </c>
      <c r="B1347" s="69" t="s">
        <v>1627</v>
      </c>
      <c r="C1347" s="70" t="s">
        <v>1102</v>
      </c>
      <c r="D1347" s="71" t="str">
        <f t="shared" si="40"/>
        <v>機件原理-製圖二丙</v>
      </c>
      <c r="E1347" s="72" t="s">
        <v>1111</v>
      </c>
      <c r="F1347" s="72" t="s">
        <v>1112</v>
      </c>
      <c r="G1347" s="72">
        <v>58</v>
      </c>
      <c r="H1347" s="72">
        <v>2</v>
      </c>
      <c r="I1347" s="72" t="s">
        <v>11</v>
      </c>
      <c r="J1347" s="73"/>
    </row>
    <row r="1348" spans="1:10" hidden="1" outlineLevel="2">
      <c r="A1348" s="69">
        <v>65</v>
      </c>
      <c r="B1348" s="69" t="s">
        <v>1627</v>
      </c>
      <c r="C1348" s="70" t="s">
        <v>1102</v>
      </c>
      <c r="D1348" s="71" t="str">
        <f t="shared" si="40"/>
        <v>機件原理-製圖二丙</v>
      </c>
      <c r="E1348" s="72" t="s">
        <v>1445</v>
      </c>
      <c r="F1348" s="72" t="s">
        <v>1446</v>
      </c>
      <c r="G1348" s="72">
        <v>49</v>
      </c>
      <c r="H1348" s="72">
        <v>2</v>
      </c>
      <c r="I1348" s="72" t="s">
        <v>11</v>
      </c>
      <c r="J1348" s="73"/>
    </row>
    <row r="1349" spans="1:10" hidden="1" outlineLevel="2">
      <c r="A1349" s="69">
        <v>65</v>
      </c>
      <c r="B1349" s="69" t="s">
        <v>1627</v>
      </c>
      <c r="C1349" s="70" t="s">
        <v>1102</v>
      </c>
      <c r="D1349" s="71" t="str">
        <f t="shared" si="40"/>
        <v>機件原理-製圖二丙</v>
      </c>
      <c r="E1349" s="72" t="s">
        <v>1638</v>
      </c>
      <c r="F1349" s="72" t="s">
        <v>1639</v>
      </c>
      <c r="G1349" s="72">
        <v>54</v>
      </c>
      <c r="H1349" s="72">
        <v>2</v>
      </c>
      <c r="I1349" s="72" t="s">
        <v>11</v>
      </c>
      <c r="J1349" s="73"/>
    </row>
    <row r="1350" spans="1:10" hidden="1" outlineLevel="2">
      <c r="A1350" s="69">
        <v>65</v>
      </c>
      <c r="B1350" s="69" t="s">
        <v>1627</v>
      </c>
      <c r="C1350" s="70" t="s">
        <v>1102</v>
      </c>
      <c r="D1350" s="71" t="str">
        <f t="shared" si="40"/>
        <v>機件原理-製圖二丙</v>
      </c>
      <c r="E1350" s="72" t="s">
        <v>1113</v>
      </c>
      <c r="F1350" s="72" t="s">
        <v>1114</v>
      </c>
      <c r="G1350" s="72">
        <v>56</v>
      </c>
      <c r="H1350" s="72">
        <v>2</v>
      </c>
      <c r="I1350" s="72" t="s">
        <v>11</v>
      </c>
      <c r="J1350" s="73"/>
    </row>
    <row r="1351" spans="1:10" hidden="1" outlineLevel="2">
      <c r="A1351" s="69">
        <v>65</v>
      </c>
      <c r="B1351" s="69" t="s">
        <v>1627</v>
      </c>
      <c r="C1351" s="70" t="s">
        <v>1102</v>
      </c>
      <c r="D1351" s="71" t="str">
        <f t="shared" si="40"/>
        <v>機件原理-製圖二丙</v>
      </c>
      <c r="E1351" s="72" t="s">
        <v>1119</v>
      </c>
      <c r="F1351" s="72" t="s">
        <v>1120</v>
      </c>
      <c r="G1351" s="72">
        <v>59</v>
      </c>
      <c r="H1351" s="72">
        <v>2</v>
      </c>
      <c r="I1351" s="72" t="s">
        <v>11</v>
      </c>
      <c r="J1351" s="73"/>
    </row>
    <row r="1352" spans="1:10" hidden="1" outlineLevel="2">
      <c r="A1352" s="69">
        <v>65</v>
      </c>
      <c r="B1352" s="69" t="s">
        <v>1627</v>
      </c>
      <c r="C1352" s="70" t="s">
        <v>1102</v>
      </c>
      <c r="D1352" s="71" t="str">
        <f t="shared" si="40"/>
        <v>機件原理-製圖二丙</v>
      </c>
      <c r="E1352" s="72" t="s">
        <v>1123</v>
      </c>
      <c r="F1352" s="72" t="s">
        <v>1124</v>
      </c>
      <c r="G1352" s="72">
        <v>57</v>
      </c>
      <c r="H1352" s="72">
        <v>2</v>
      </c>
      <c r="I1352" s="72" t="s">
        <v>11</v>
      </c>
      <c r="J1352" s="73"/>
    </row>
    <row r="1353" spans="1:10" hidden="1" outlineLevel="2">
      <c r="A1353" s="69">
        <v>65</v>
      </c>
      <c r="B1353" s="69" t="s">
        <v>1627</v>
      </c>
      <c r="C1353" s="70" t="s">
        <v>1102</v>
      </c>
      <c r="D1353" s="71" t="str">
        <f t="shared" si="40"/>
        <v>機件原理-製圖二丙</v>
      </c>
      <c r="E1353" s="72" t="s">
        <v>1129</v>
      </c>
      <c r="F1353" s="72" t="s">
        <v>1130</v>
      </c>
      <c r="G1353" s="72">
        <v>53</v>
      </c>
      <c r="H1353" s="72">
        <v>2</v>
      </c>
      <c r="I1353" s="72" t="s">
        <v>11</v>
      </c>
      <c r="J1353" s="73"/>
    </row>
    <row r="1354" spans="1:10" hidden="1" outlineLevel="2">
      <c r="A1354" s="69">
        <v>65</v>
      </c>
      <c r="B1354" s="69" t="s">
        <v>1627</v>
      </c>
      <c r="C1354" s="70" t="s">
        <v>1102</v>
      </c>
      <c r="D1354" s="71" t="str">
        <f t="shared" si="40"/>
        <v>機件原理-製圖二丙</v>
      </c>
      <c r="E1354" s="72" t="s">
        <v>1131</v>
      </c>
      <c r="F1354" s="72" t="s">
        <v>1132</v>
      </c>
      <c r="G1354" s="72">
        <v>59</v>
      </c>
      <c r="H1354" s="72">
        <v>2</v>
      </c>
      <c r="I1354" s="72" t="s">
        <v>11</v>
      </c>
      <c r="J1354" s="73"/>
    </row>
    <row r="1355" spans="1:10" outlineLevel="1" collapsed="1">
      <c r="A1355" s="69"/>
      <c r="B1355" s="69"/>
      <c r="C1355" s="70"/>
      <c r="D1355" s="74" t="s">
        <v>1920</v>
      </c>
      <c r="E1355" s="72">
        <f>SUBTOTAL(3,E1346:E1354)</f>
        <v>9</v>
      </c>
      <c r="F1355" s="72"/>
      <c r="G1355" s="72"/>
      <c r="H1355" s="72"/>
      <c r="I1355" s="72">
        <f>SUBTOTAL(3,I1346:I1354)</f>
        <v>9</v>
      </c>
      <c r="J1355" s="73"/>
    </row>
    <row r="1356" spans="1:10" hidden="1" outlineLevel="2">
      <c r="A1356" s="69">
        <v>65</v>
      </c>
      <c r="B1356" s="69" t="s">
        <v>1627</v>
      </c>
      <c r="C1356" s="70" t="s">
        <v>1191</v>
      </c>
      <c r="D1356" s="71" t="str">
        <f t="shared" ref="D1356:D1368" si="41">B1356&amp;"-"&amp;C1356</f>
        <v>機件原理-製圖二甲</v>
      </c>
      <c r="E1356" s="72" t="s">
        <v>1501</v>
      </c>
      <c r="F1356" s="72" t="s">
        <v>1502</v>
      </c>
      <c r="G1356" s="72">
        <v>54</v>
      </c>
      <c r="H1356" s="72">
        <v>2</v>
      </c>
      <c r="I1356" s="72" t="s">
        <v>11</v>
      </c>
      <c r="J1356" s="73"/>
    </row>
    <row r="1357" spans="1:10" hidden="1" outlineLevel="2">
      <c r="A1357" s="69">
        <v>65</v>
      </c>
      <c r="B1357" s="69" t="s">
        <v>1627</v>
      </c>
      <c r="C1357" s="70" t="s">
        <v>1191</v>
      </c>
      <c r="D1357" s="71" t="str">
        <f t="shared" si="41"/>
        <v>機件原理-製圖二甲</v>
      </c>
      <c r="E1357" s="72" t="s">
        <v>1319</v>
      </c>
      <c r="F1357" s="72" t="s">
        <v>1320</v>
      </c>
      <c r="G1357" s="72">
        <v>55</v>
      </c>
      <c r="H1357" s="72">
        <v>2</v>
      </c>
      <c r="I1357" s="72" t="s">
        <v>11</v>
      </c>
      <c r="J1357" s="73"/>
    </row>
    <row r="1358" spans="1:10" hidden="1" outlineLevel="2">
      <c r="A1358" s="69">
        <v>65</v>
      </c>
      <c r="B1358" s="69" t="s">
        <v>1627</v>
      </c>
      <c r="C1358" s="70" t="s">
        <v>1191</v>
      </c>
      <c r="D1358" s="71" t="str">
        <f t="shared" si="41"/>
        <v>機件原理-製圖二甲</v>
      </c>
      <c r="E1358" s="72" t="s">
        <v>1323</v>
      </c>
      <c r="F1358" s="72" t="s">
        <v>1324</v>
      </c>
      <c r="G1358" s="72">
        <v>57</v>
      </c>
      <c r="H1358" s="72">
        <v>2</v>
      </c>
      <c r="I1358" s="72" t="s">
        <v>11</v>
      </c>
      <c r="J1358" s="73"/>
    </row>
    <row r="1359" spans="1:10" hidden="1" outlineLevel="2">
      <c r="A1359" s="69">
        <v>65</v>
      </c>
      <c r="B1359" s="69" t="s">
        <v>1627</v>
      </c>
      <c r="C1359" s="70" t="s">
        <v>1191</v>
      </c>
      <c r="D1359" s="71" t="str">
        <f t="shared" si="41"/>
        <v>機件原理-製圖二甲</v>
      </c>
      <c r="E1359" s="72" t="s">
        <v>1634</v>
      </c>
      <c r="F1359" s="72" t="s">
        <v>1635</v>
      </c>
      <c r="G1359" s="72">
        <v>53</v>
      </c>
      <c r="H1359" s="72">
        <v>2</v>
      </c>
      <c r="I1359" s="72" t="s">
        <v>11</v>
      </c>
      <c r="J1359" s="73"/>
    </row>
    <row r="1360" spans="1:10" hidden="1" outlineLevel="2">
      <c r="A1360" s="69">
        <v>65</v>
      </c>
      <c r="B1360" s="69" t="s">
        <v>1627</v>
      </c>
      <c r="C1360" s="70" t="s">
        <v>1191</v>
      </c>
      <c r="D1360" s="71" t="str">
        <f t="shared" si="41"/>
        <v>機件原理-製圖二甲</v>
      </c>
      <c r="E1360" s="72" t="s">
        <v>1192</v>
      </c>
      <c r="F1360" s="72" t="s">
        <v>1193</v>
      </c>
      <c r="G1360" s="72">
        <v>51</v>
      </c>
      <c r="H1360" s="72">
        <v>2</v>
      </c>
      <c r="I1360" s="72" t="s">
        <v>11</v>
      </c>
      <c r="J1360" s="73"/>
    </row>
    <row r="1361" spans="1:10" hidden="1" outlineLevel="2">
      <c r="A1361" s="69">
        <v>65</v>
      </c>
      <c r="B1361" s="69" t="s">
        <v>1627</v>
      </c>
      <c r="C1361" s="70" t="s">
        <v>1191</v>
      </c>
      <c r="D1361" s="71" t="str">
        <f t="shared" si="41"/>
        <v>機件原理-製圖二甲</v>
      </c>
      <c r="E1361" s="72" t="s">
        <v>1327</v>
      </c>
      <c r="F1361" s="72" t="s">
        <v>1328</v>
      </c>
      <c r="G1361" s="72">
        <v>58</v>
      </c>
      <c r="H1361" s="72">
        <v>2</v>
      </c>
      <c r="I1361" s="72" t="s">
        <v>11</v>
      </c>
      <c r="J1361" s="73"/>
    </row>
    <row r="1362" spans="1:10" hidden="1" outlineLevel="2">
      <c r="A1362" s="69">
        <v>65</v>
      </c>
      <c r="B1362" s="69" t="s">
        <v>1627</v>
      </c>
      <c r="C1362" s="70" t="s">
        <v>1191</v>
      </c>
      <c r="D1362" s="71" t="str">
        <f t="shared" si="41"/>
        <v>機件原理-製圖二甲</v>
      </c>
      <c r="E1362" s="72" t="s">
        <v>1333</v>
      </c>
      <c r="F1362" s="72" t="s">
        <v>1334</v>
      </c>
      <c r="G1362" s="72">
        <v>57</v>
      </c>
      <c r="H1362" s="72">
        <v>2</v>
      </c>
      <c r="I1362" s="72" t="s">
        <v>11</v>
      </c>
      <c r="J1362" s="73"/>
    </row>
    <row r="1363" spans="1:10" hidden="1" outlineLevel="2">
      <c r="A1363" s="69">
        <v>65</v>
      </c>
      <c r="B1363" s="69" t="s">
        <v>1627</v>
      </c>
      <c r="C1363" s="70" t="s">
        <v>1191</v>
      </c>
      <c r="D1363" s="71" t="str">
        <f t="shared" si="41"/>
        <v>機件原理-製圖二甲</v>
      </c>
      <c r="E1363" s="72" t="s">
        <v>1503</v>
      </c>
      <c r="F1363" s="72" t="s">
        <v>1504</v>
      </c>
      <c r="G1363" s="72">
        <v>56</v>
      </c>
      <c r="H1363" s="72">
        <v>2</v>
      </c>
      <c r="I1363" s="72" t="s">
        <v>11</v>
      </c>
      <c r="J1363" s="73"/>
    </row>
    <row r="1364" spans="1:10" hidden="1" outlineLevel="2">
      <c r="A1364" s="69">
        <v>65</v>
      </c>
      <c r="B1364" s="69" t="s">
        <v>1627</v>
      </c>
      <c r="C1364" s="70" t="s">
        <v>1191</v>
      </c>
      <c r="D1364" s="71" t="str">
        <f t="shared" si="41"/>
        <v>機件原理-製圖二甲</v>
      </c>
      <c r="E1364" s="72" t="s">
        <v>1636</v>
      </c>
      <c r="F1364" s="72" t="s">
        <v>1637</v>
      </c>
      <c r="G1364" s="72">
        <v>51</v>
      </c>
      <c r="H1364" s="72">
        <v>2</v>
      </c>
      <c r="I1364" s="72" t="s">
        <v>11</v>
      </c>
      <c r="J1364" s="73"/>
    </row>
    <row r="1365" spans="1:10" hidden="1" outlineLevel="2">
      <c r="A1365" s="69">
        <v>65</v>
      </c>
      <c r="B1365" s="69" t="s">
        <v>1627</v>
      </c>
      <c r="C1365" s="70" t="s">
        <v>1191</v>
      </c>
      <c r="D1365" s="71" t="str">
        <f t="shared" si="41"/>
        <v>機件原理-製圖二甲</v>
      </c>
      <c r="E1365" s="72" t="s">
        <v>1196</v>
      </c>
      <c r="F1365" s="72" t="s">
        <v>1197</v>
      </c>
      <c r="G1365" s="72">
        <v>50</v>
      </c>
      <c r="H1365" s="72">
        <v>2</v>
      </c>
      <c r="I1365" s="72" t="s">
        <v>11</v>
      </c>
      <c r="J1365" s="73"/>
    </row>
    <row r="1366" spans="1:10" hidden="1" outlineLevel="2">
      <c r="A1366" s="69">
        <v>65</v>
      </c>
      <c r="B1366" s="69" t="s">
        <v>1627</v>
      </c>
      <c r="C1366" s="70" t="s">
        <v>1191</v>
      </c>
      <c r="D1366" s="71" t="str">
        <f t="shared" si="41"/>
        <v>機件原理-製圖二甲</v>
      </c>
      <c r="E1366" s="72" t="s">
        <v>1335</v>
      </c>
      <c r="F1366" s="72" t="s">
        <v>1336</v>
      </c>
      <c r="G1366" s="72">
        <v>53</v>
      </c>
      <c r="H1366" s="72">
        <v>2</v>
      </c>
      <c r="I1366" s="72" t="s">
        <v>11</v>
      </c>
      <c r="J1366" s="73"/>
    </row>
    <row r="1367" spans="1:10" hidden="1" outlineLevel="2">
      <c r="A1367" s="69">
        <v>65</v>
      </c>
      <c r="B1367" s="69" t="s">
        <v>1627</v>
      </c>
      <c r="C1367" s="70" t="s">
        <v>1191</v>
      </c>
      <c r="D1367" s="71" t="str">
        <f t="shared" si="41"/>
        <v>機件原理-製圖二甲</v>
      </c>
      <c r="E1367" s="72" t="s">
        <v>1505</v>
      </c>
      <c r="F1367" s="72" t="s">
        <v>1506</v>
      </c>
      <c r="G1367" s="72">
        <v>55</v>
      </c>
      <c r="H1367" s="72">
        <v>2</v>
      </c>
      <c r="I1367" s="72" t="s">
        <v>11</v>
      </c>
      <c r="J1367" s="73"/>
    </row>
    <row r="1368" spans="1:10" hidden="1" outlineLevel="2">
      <c r="A1368" s="69">
        <v>65</v>
      </c>
      <c r="B1368" s="69" t="s">
        <v>1627</v>
      </c>
      <c r="C1368" s="70" t="s">
        <v>1191</v>
      </c>
      <c r="D1368" s="71" t="str">
        <f t="shared" si="41"/>
        <v>機件原理-製圖二甲</v>
      </c>
      <c r="E1368" s="72" t="s">
        <v>1198</v>
      </c>
      <c r="F1368" s="72" t="s">
        <v>1199</v>
      </c>
      <c r="G1368" s="72">
        <v>56</v>
      </c>
      <c r="H1368" s="72">
        <v>2</v>
      </c>
      <c r="I1368" s="72" t="s">
        <v>11</v>
      </c>
      <c r="J1368" s="73"/>
    </row>
    <row r="1369" spans="1:10" outlineLevel="1" collapsed="1">
      <c r="A1369" s="69"/>
      <c r="B1369" s="69"/>
      <c r="C1369" s="70"/>
      <c r="D1369" s="74" t="s">
        <v>1921</v>
      </c>
      <c r="E1369" s="72">
        <f>SUBTOTAL(3,E1356:E1368)</f>
        <v>13</v>
      </c>
      <c r="F1369" s="72"/>
      <c r="G1369" s="72"/>
      <c r="H1369" s="72"/>
      <c r="I1369" s="72">
        <f>SUBTOTAL(3,I1356:I1368)</f>
        <v>13</v>
      </c>
      <c r="J1369" s="73"/>
    </row>
    <row r="1370" spans="1:10" hidden="1" outlineLevel="2">
      <c r="A1370" s="69">
        <v>65</v>
      </c>
      <c r="B1370" s="69" t="s">
        <v>1640</v>
      </c>
      <c r="C1370" s="70" t="s">
        <v>1231</v>
      </c>
      <c r="D1370" s="71" t="str">
        <f>B1370&amp;"-"&amp;C1370</f>
        <v>機械力學-製圖二乙</v>
      </c>
      <c r="E1370" s="72" t="s">
        <v>1240</v>
      </c>
      <c r="F1370" s="72" t="s">
        <v>157</v>
      </c>
      <c r="G1370" s="72">
        <v>49</v>
      </c>
      <c r="H1370" s="72">
        <v>2</v>
      </c>
      <c r="I1370" s="72" t="s">
        <v>11</v>
      </c>
      <c r="J1370" s="73"/>
    </row>
    <row r="1371" spans="1:10" hidden="1" outlineLevel="2">
      <c r="A1371" s="69">
        <v>65</v>
      </c>
      <c r="B1371" s="69" t="s">
        <v>1640</v>
      </c>
      <c r="C1371" s="70" t="s">
        <v>1231</v>
      </c>
      <c r="D1371" s="71" t="str">
        <f>B1371&amp;"-"&amp;C1371</f>
        <v>機械力學-製圖二乙</v>
      </c>
      <c r="E1371" s="72" t="s">
        <v>1426</v>
      </c>
      <c r="F1371" s="72" t="s">
        <v>1427</v>
      </c>
      <c r="G1371" s="72">
        <v>45</v>
      </c>
      <c r="H1371" s="72">
        <v>2</v>
      </c>
      <c r="I1371" s="72" t="s">
        <v>11</v>
      </c>
      <c r="J1371" s="73"/>
    </row>
    <row r="1372" spans="1:10" outlineLevel="1" collapsed="1">
      <c r="A1372" s="69"/>
      <c r="B1372" s="69"/>
      <c r="C1372" s="70"/>
      <c r="D1372" s="74" t="s">
        <v>1927</v>
      </c>
      <c r="E1372" s="72">
        <f>SUBTOTAL(3,E1370:E1371)</f>
        <v>2</v>
      </c>
      <c r="F1372" s="72"/>
      <c r="G1372" s="72"/>
      <c r="H1372" s="72"/>
      <c r="I1372" s="72">
        <f>SUBTOTAL(3,I1370:I1371)</f>
        <v>2</v>
      </c>
      <c r="J1372" s="73">
        <f>E1372+E1369+E1355+E1345</f>
        <v>25</v>
      </c>
    </row>
    <row r="1373" spans="1:10" hidden="1" outlineLevel="2">
      <c r="A1373" s="69">
        <v>65</v>
      </c>
      <c r="B1373" s="69" t="s">
        <v>1640</v>
      </c>
      <c r="C1373" s="70" t="s">
        <v>1102</v>
      </c>
      <c r="D1373" s="71" t="str">
        <f t="shared" ref="D1373:D1380" si="42">B1373&amp;"-"&amp;C1373</f>
        <v>機械力學-製圖二丙</v>
      </c>
      <c r="E1373" s="72" t="s">
        <v>1107</v>
      </c>
      <c r="F1373" s="72" t="s">
        <v>1108</v>
      </c>
      <c r="G1373" s="72">
        <v>46</v>
      </c>
      <c r="H1373" s="72">
        <v>2</v>
      </c>
      <c r="I1373" s="72" t="s">
        <v>11</v>
      </c>
      <c r="J1373" s="73"/>
    </row>
    <row r="1374" spans="1:10" hidden="1" outlineLevel="2">
      <c r="A1374" s="69">
        <v>65</v>
      </c>
      <c r="B1374" s="69" t="s">
        <v>1640</v>
      </c>
      <c r="C1374" s="70" t="s">
        <v>1102</v>
      </c>
      <c r="D1374" s="71" t="str">
        <f t="shared" si="42"/>
        <v>機械力學-製圖二丙</v>
      </c>
      <c r="E1374" s="72" t="s">
        <v>1663</v>
      </c>
      <c r="F1374" s="72" t="s">
        <v>1664</v>
      </c>
      <c r="G1374" s="72">
        <v>41</v>
      </c>
      <c r="H1374" s="72">
        <v>2</v>
      </c>
      <c r="I1374" s="72" t="s">
        <v>11</v>
      </c>
      <c r="J1374" s="73"/>
    </row>
    <row r="1375" spans="1:10" hidden="1" outlineLevel="2">
      <c r="A1375" s="69">
        <v>65</v>
      </c>
      <c r="B1375" s="69" t="s">
        <v>1640</v>
      </c>
      <c r="C1375" s="70" t="s">
        <v>1102</v>
      </c>
      <c r="D1375" s="71" t="str">
        <f t="shared" si="42"/>
        <v>機械力學-製圖二丙</v>
      </c>
      <c r="E1375" s="72" t="s">
        <v>1638</v>
      </c>
      <c r="F1375" s="72" t="s">
        <v>1639</v>
      </c>
      <c r="G1375" s="72">
        <v>51</v>
      </c>
      <c r="H1375" s="72">
        <v>2</v>
      </c>
      <c r="I1375" s="72" t="s">
        <v>11</v>
      </c>
      <c r="J1375" s="73"/>
    </row>
    <row r="1376" spans="1:10" hidden="1" outlineLevel="2">
      <c r="A1376" s="69">
        <v>65</v>
      </c>
      <c r="B1376" s="69" t="s">
        <v>1640</v>
      </c>
      <c r="C1376" s="70" t="s">
        <v>1102</v>
      </c>
      <c r="D1376" s="71" t="str">
        <f t="shared" si="42"/>
        <v>機械力學-製圖二丙</v>
      </c>
      <c r="E1376" s="72" t="s">
        <v>1113</v>
      </c>
      <c r="F1376" s="72" t="s">
        <v>1114</v>
      </c>
      <c r="G1376" s="72">
        <v>58</v>
      </c>
      <c r="H1376" s="72">
        <v>2</v>
      </c>
      <c r="I1376" s="72" t="s">
        <v>11</v>
      </c>
      <c r="J1376" s="73"/>
    </row>
    <row r="1377" spans="1:10" hidden="1" outlineLevel="2">
      <c r="A1377" s="69">
        <v>65</v>
      </c>
      <c r="B1377" s="69" t="s">
        <v>1640</v>
      </c>
      <c r="C1377" s="70" t="s">
        <v>1102</v>
      </c>
      <c r="D1377" s="71" t="str">
        <f t="shared" si="42"/>
        <v>機械力學-製圖二丙</v>
      </c>
      <c r="E1377" s="72" t="s">
        <v>1115</v>
      </c>
      <c r="F1377" s="72" t="s">
        <v>1116</v>
      </c>
      <c r="G1377" s="72">
        <v>50</v>
      </c>
      <c r="H1377" s="72">
        <v>2</v>
      </c>
      <c r="I1377" s="72" t="s">
        <v>11</v>
      </c>
      <c r="J1377" s="73"/>
    </row>
    <row r="1378" spans="1:10" hidden="1" outlineLevel="2">
      <c r="A1378" s="69">
        <v>65</v>
      </c>
      <c r="B1378" s="69" t="s">
        <v>1640</v>
      </c>
      <c r="C1378" s="70" t="s">
        <v>1102</v>
      </c>
      <c r="D1378" s="71" t="str">
        <f t="shared" si="42"/>
        <v>機械力學-製圖二丙</v>
      </c>
      <c r="E1378" s="72" t="s">
        <v>1119</v>
      </c>
      <c r="F1378" s="72" t="s">
        <v>1120</v>
      </c>
      <c r="G1378" s="72">
        <v>53</v>
      </c>
      <c r="H1378" s="72">
        <v>2</v>
      </c>
      <c r="I1378" s="72" t="s">
        <v>11</v>
      </c>
      <c r="J1378" s="73"/>
    </row>
    <row r="1379" spans="1:10" hidden="1" outlineLevel="2">
      <c r="A1379" s="69">
        <v>65</v>
      </c>
      <c r="B1379" s="69" t="s">
        <v>1640</v>
      </c>
      <c r="C1379" s="70" t="s">
        <v>1102</v>
      </c>
      <c r="D1379" s="71" t="str">
        <f t="shared" si="42"/>
        <v>機械力學-製圖二丙</v>
      </c>
      <c r="E1379" s="72" t="s">
        <v>1447</v>
      </c>
      <c r="F1379" s="72" t="s">
        <v>1448</v>
      </c>
      <c r="G1379" s="72">
        <v>52</v>
      </c>
      <c r="H1379" s="72">
        <v>2</v>
      </c>
      <c r="I1379" s="72" t="s">
        <v>11</v>
      </c>
      <c r="J1379" s="73"/>
    </row>
    <row r="1380" spans="1:10" hidden="1" outlineLevel="2">
      <c r="A1380" s="69">
        <v>65</v>
      </c>
      <c r="B1380" s="69" t="s">
        <v>1640</v>
      </c>
      <c r="C1380" s="70" t="s">
        <v>1102</v>
      </c>
      <c r="D1380" s="71" t="str">
        <f t="shared" si="42"/>
        <v>機械力學-製圖二丙</v>
      </c>
      <c r="E1380" s="72" t="s">
        <v>1133</v>
      </c>
      <c r="F1380" s="72" t="s">
        <v>1134</v>
      </c>
      <c r="G1380" s="72">
        <v>56</v>
      </c>
      <c r="H1380" s="72">
        <v>2</v>
      </c>
      <c r="I1380" s="72" t="s">
        <v>11</v>
      </c>
      <c r="J1380" s="73"/>
    </row>
    <row r="1381" spans="1:10" outlineLevel="1" collapsed="1">
      <c r="A1381" s="69"/>
      <c r="B1381" s="69"/>
      <c r="C1381" s="70"/>
      <c r="D1381" s="74" t="s">
        <v>1928</v>
      </c>
      <c r="E1381" s="72">
        <f>SUBTOTAL(3,E1373:E1380)</f>
        <v>8</v>
      </c>
      <c r="F1381" s="72"/>
      <c r="G1381" s="72"/>
      <c r="H1381" s="72"/>
      <c r="I1381" s="72">
        <f>SUBTOTAL(3,I1373:I1380)</f>
        <v>8</v>
      </c>
      <c r="J1381" s="73"/>
    </row>
    <row r="1382" spans="1:10" hidden="1" outlineLevel="2">
      <c r="A1382" s="69">
        <v>65</v>
      </c>
      <c r="B1382" s="69" t="s">
        <v>1640</v>
      </c>
      <c r="C1382" s="70" t="s">
        <v>1191</v>
      </c>
      <c r="D1382" s="71" t="str">
        <f t="shared" ref="D1382:D1388" si="43">B1382&amp;"-"&amp;C1382</f>
        <v>機械力學-製圖二甲</v>
      </c>
      <c r="E1382" s="72" t="s">
        <v>1501</v>
      </c>
      <c r="F1382" s="72" t="s">
        <v>1502</v>
      </c>
      <c r="G1382" s="72">
        <v>56</v>
      </c>
      <c r="H1382" s="72">
        <v>2</v>
      </c>
      <c r="I1382" s="72" t="s">
        <v>11</v>
      </c>
      <c r="J1382" s="73"/>
    </row>
    <row r="1383" spans="1:10" hidden="1" outlineLevel="2">
      <c r="A1383" s="69">
        <v>65</v>
      </c>
      <c r="B1383" s="69" t="s">
        <v>1640</v>
      </c>
      <c r="C1383" s="70" t="s">
        <v>1191</v>
      </c>
      <c r="D1383" s="71" t="str">
        <f t="shared" si="43"/>
        <v>機械力學-製圖二甲</v>
      </c>
      <c r="E1383" s="72" t="s">
        <v>1634</v>
      </c>
      <c r="F1383" s="72" t="s">
        <v>1635</v>
      </c>
      <c r="G1383" s="72">
        <v>50</v>
      </c>
      <c r="H1383" s="72">
        <v>2</v>
      </c>
      <c r="I1383" s="72" t="s">
        <v>11</v>
      </c>
      <c r="J1383" s="73"/>
    </row>
    <row r="1384" spans="1:10" hidden="1" outlineLevel="2">
      <c r="A1384" s="69">
        <v>65</v>
      </c>
      <c r="B1384" s="69" t="s">
        <v>1640</v>
      </c>
      <c r="C1384" s="70" t="s">
        <v>1191</v>
      </c>
      <c r="D1384" s="71" t="str">
        <f t="shared" si="43"/>
        <v>機械力學-製圖二甲</v>
      </c>
      <c r="E1384" s="72" t="s">
        <v>1192</v>
      </c>
      <c r="F1384" s="72" t="s">
        <v>1193</v>
      </c>
      <c r="G1384" s="72">
        <v>45</v>
      </c>
      <c r="H1384" s="72">
        <v>2</v>
      </c>
      <c r="I1384" s="72" t="s">
        <v>11</v>
      </c>
      <c r="J1384" s="73"/>
    </row>
    <row r="1385" spans="1:10" hidden="1" outlineLevel="2">
      <c r="A1385" s="69">
        <v>65</v>
      </c>
      <c r="B1385" s="69" t="s">
        <v>1640</v>
      </c>
      <c r="C1385" s="70" t="s">
        <v>1191</v>
      </c>
      <c r="D1385" s="71" t="str">
        <f t="shared" si="43"/>
        <v>機械力學-製圖二甲</v>
      </c>
      <c r="E1385" s="72" t="s">
        <v>1587</v>
      </c>
      <c r="F1385" s="72" t="s">
        <v>1588</v>
      </c>
      <c r="G1385" s="72">
        <v>57</v>
      </c>
      <c r="H1385" s="72">
        <v>2</v>
      </c>
      <c r="I1385" s="72" t="s">
        <v>11</v>
      </c>
      <c r="J1385" s="73"/>
    </row>
    <row r="1386" spans="1:10" hidden="1" outlineLevel="2">
      <c r="A1386" s="69">
        <v>65</v>
      </c>
      <c r="B1386" s="69" t="s">
        <v>1640</v>
      </c>
      <c r="C1386" s="70" t="s">
        <v>1191</v>
      </c>
      <c r="D1386" s="71" t="str">
        <f t="shared" si="43"/>
        <v>機械力學-製圖二甲</v>
      </c>
      <c r="E1386" s="72" t="s">
        <v>1194</v>
      </c>
      <c r="F1386" s="72" t="s">
        <v>1195</v>
      </c>
      <c r="G1386" s="72">
        <v>46</v>
      </c>
      <c r="H1386" s="72">
        <v>2</v>
      </c>
      <c r="I1386" s="72" t="s">
        <v>11</v>
      </c>
      <c r="J1386" s="73"/>
    </row>
    <row r="1387" spans="1:10" hidden="1" outlineLevel="2">
      <c r="A1387" s="69">
        <v>65</v>
      </c>
      <c r="B1387" s="69" t="s">
        <v>1640</v>
      </c>
      <c r="C1387" s="70" t="s">
        <v>1191</v>
      </c>
      <c r="D1387" s="71" t="str">
        <f t="shared" si="43"/>
        <v>機械力學-製圖二甲</v>
      </c>
      <c r="E1387" s="72" t="s">
        <v>1503</v>
      </c>
      <c r="F1387" s="72" t="s">
        <v>1504</v>
      </c>
      <c r="G1387" s="72">
        <v>57</v>
      </c>
      <c r="H1387" s="72">
        <v>2</v>
      </c>
      <c r="I1387" s="72" t="s">
        <v>11</v>
      </c>
      <c r="J1387" s="73"/>
    </row>
    <row r="1388" spans="1:10" hidden="1" outlineLevel="2">
      <c r="A1388" s="69">
        <v>65</v>
      </c>
      <c r="B1388" s="69" t="s">
        <v>1640</v>
      </c>
      <c r="C1388" s="70" t="s">
        <v>1191</v>
      </c>
      <c r="D1388" s="71" t="str">
        <f t="shared" si="43"/>
        <v>機械力學-製圖二甲</v>
      </c>
      <c r="E1388" s="72" t="s">
        <v>1505</v>
      </c>
      <c r="F1388" s="72" t="s">
        <v>1506</v>
      </c>
      <c r="G1388" s="72">
        <v>55</v>
      </c>
      <c r="H1388" s="72">
        <v>2</v>
      </c>
      <c r="I1388" s="72" t="s">
        <v>11</v>
      </c>
      <c r="J1388" s="73"/>
    </row>
    <row r="1389" spans="1:10" outlineLevel="1" collapsed="1">
      <c r="A1389" s="69"/>
      <c r="B1389" s="69"/>
      <c r="C1389" s="70"/>
      <c r="D1389" s="74" t="s">
        <v>1929</v>
      </c>
      <c r="E1389" s="72">
        <f>SUBTOTAL(3,E1382:E1388)</f>
        <v>7</v>
      </c>
      <c r="F1389" s="72"/>
      <c r="G1389" s="72"/>
      <c r="H1389" s="72"/>
      <c r="I1389" s="72">
        <f>SUBTOTAL(3,I1382:I1388)</f>
        <v>7</v>
      </c>
      <c r="J1389" s="73"/>
    </row>
    <row r="1390" spans="1:10" hidden="1" outlineLevel="2">
      <c r="A1390" s="69">
        <v>65</v>
      </c>
      <c r="B1390" s="69" t="s">
        <v>838</v>
      </c>
      <c r="C1390" s="70" t="s">
        <v>217</v>
      </c>
      <c r="D1390" s="71" t="s">
        <v>2079</v>
      </c>
      <c r="E1390" s="72" t="s">
        <v>220</v>
      </c>
      <c r="F1390" s="72" t="s">
        <v>221</v>
      </c>
      <c r="G1390" s="72">
        <v>40</v>
      </c>
      <c r="H1390" s="72">
        <v>2</v>
      </c>
      <c r="I1390" s="72" t="s">
        <v>11</v>
      </c>
      <c r="J1390" s="73"/>
    </row>
    <row r="1391" spans="1:10" hidden="1" outlineLevel="2">
      <c r="A1391" s="69">
        <v>65</v>
      </c>
      <c r="B1391" s="69" t="s">
        <v>838</v>
      </c>
      <c r="C1391" s="70" t="s">
        <v>217</v>
      </c>
      <c r="D1391" s="71" t="s">
        <v>2079</v>
      </c>
      <c r="E1391" s="72" t="s">
        <v>848</v>
      </c>
      <c r="F1391" s="72" t="s">
        <v>849</v>
      </c>
      <c r="G1391" s="72">
        <v>43</v>
      </c>
      <c r="H1391" s="72">
        <v>2</v>
      </c>
      <c r="I1391" s="72" t="s">
        <v>11</v>
      </c>
      <c r="J1391" s="73"/>
    </row>
    <row r="1392" spans="1:10" hidden="1" outlineLevel="2">
      <c r="A1392" s="69">
        <v>65</v>
      </c>
      <c r="B1392" s="69" t="s">
        <v>838</v>
      </c>
      <c r="C1392" s="70" t="s">
        <v>217</v>
      </c>
      <c r="D1392" s="71" t="s">
        <v>2079</v>
      </c>
      <c r="E1392" s="72" t="s">
        <v>381</v>
      </c>
      <c r="F1392" s="72" t="s">
        <v>382</v>
      </c>
      <c r="G1392" s="72">
        <v>40</v>
      </c>
      <c r="H1392" s="72">
        <v>2</v>
      </c>
      <c r="I1392" s="72" t="s">
        <v>11</v>
      </c>
      <c r="J1392" s="73"/>
    </row>
    <row r="1393" spans="1:10" hidden="1" outlineLevel="2">
      <c r="A1393" s="69">
        <v>65</v>
      </c>
      <c r="B1393" s="69" t="s">
        <v>838</v>
      </c>
      <c r="C1393" s="70" t="s">
        <v>217</v>
      </c>
      <c r="D1393" s="71" t="s">
        <v>2079</v>
      </c>
      <c r="E1393" s="72" t="s">
        <v>801</v>
      </c>
      <c r="F1393" s="72" t="s">
        <v>802</v>
      </c>
      <c r="G1393" s="72">
        <v>48</v>
      </c>
      <c r="H1393" s="72">
        <v>2</v>
      </c>
      <c r="I1393" s="72" t="s">
        <v>11</v>
      </c>
      <c r="J1393" s="73"/>
    </row>
    <row r="1394" spans="1:10" outlineLevel="1" collapsed="1">
      <c r="A1394" s="69"/>
      <c r="B1394" s="69"/>
      <c r="C1394" s="70"/>
      <c r="D1394" s="74" t="s">
        <v>2252</v>
      </c>
      <c r="E1394" s="72">
        <f>SUBTOTAL(3,E1390:E1393)</f>
        <v>4</v>
      </c>
      <c r="F1394" s="72"/>
      <c r="G1394" s="72"/>
      <c r="H1394" s="72"/>
      <c r="I1394" s="72">
        <f>SUBTOTAL(3,I1390:I1393)</f>
        <v>4</v>
      </c>
      <c r="J1394" s="73"/>
    </row>
    <row r="1395" spans="1:10" hidden="1" outlineLevel="2">
      <c r="A1395" s="69">
        <v>65</v>
      </c>
      <c r="B1395" s="69" t="s">
        <v>838</v>
      </c>
      <c r="C1395" s="70" t="s">
        <v>122</v>
      </c>
      <c r="D1395" s="71" t="s">
        <v>2080</v>
      </c>
      <c r="E1395" s="72" t="s">
        <v>123</v>
      </c>
      <c r="F1395" s="72" t="s">
        <v>124</v>
      </c>
      <c r="G1395" s="72">
        <v>50</v>
      </c>
      <c r="H1395" s="72">
        <v>2</v>
      </c>
      <c r="I1395" s="72" t="s">
        <v>11</v>
      </c>
      <c r="J1395" s="73"/>
    </row>
    <row r="1396" spans="1:10" hidden="1" outlineLevel="2">
      <c r="A1396" s="69">
        <v>65</v>
      </c>
      <c r="B1396" s="69" t="s">
        <v>838</v>
      </c>
      <c r="C1396" s="70" t="s">
        <v>122</v>
      </c>
      <c r="D1396" s="71" t="s">
        <v>2080</v>
      </c>
      <c r="E1396" s="72" t="s">
        <v>779</v>
      </c>
      <c r="F1396" s="72" t="s">
        <v>780</v>
      </c>
      <c r="G1396" s="72">
        <v>50</v>
      </c>
      <c r="H1396" s="72">
        <v>2</v>
      </c>
      <c r="I1396" s="72" t="s">
        <v>11</v>
      </c>
      <c r="J1396" s="73"/>
    </row>
    <row r="1397" spans="1:10" hidden="1" outlineLevel="2">
      <c r="A1397" s="69">
        <v>65</v>
      </c>
      <c r="B1397" s="69" t="s">
        <v>838</v>
      </c>
      <c r="C1397" s="70" t="s">
        <v>122</v>
      </c>
      <c r="D1397" s="71" t="s">
        <v>2080</v>
      </c>
      <c r="E1397" s="72" t="s">
        <v>125</v>
      </c>
      <c r="F1397" s="72" t="s">
        <v>126</v>
      </c>
      <c r="G1397" s="72">
        <v>50</v>
      </c>
      <c r="H1397" s="72">
        <v>2</v>
      </c>
      <c r="I1397" s="72" t="s">
        <v>11</v>
      </c>
      <c r="J1397" s="73"/>
    </row>
    <row r="1398" spans="1:10" hidden="1" outlineLevel="2">
      <c r="A1398" s="69">
        <v>65</v>
      </c>
      <c r="B1398" s="69" t="s">
        <v>838</v>
      </c>
      <c r="C1398" s="70" t="s">
        <v>122</v>
      </c>
      <c r="D1398" s="71" t="s">
        <v>2080</v>
      </c>
      <c r="E1398" s="72" t="s">
        <v>822</v>
      </c>
      <c r="F1398" s="72" t="s">
        <v>823</v>
      </c>
      <c r="G1398" s="72">
        <v>55</v>
      </c>
      <c r="H1398" s="72">
        <v>2</v>
      </c>
      <c r="I1398" s="72" t="s">
        <v>11</v>
      </c>
      <c r="J1398" s="73"/>
    </row>
    <row r="1399" spans="1:10" hidden="1" outlineLevel="2">
      <c r="A1399" s="69">
        <v>65</v>
      </c>
      <c r="B1399" s="69" t="s">
        <v>838</v>
      </c>
      <c r="C1399" s="70" t="s">
        <v>122</v>
      </c>
      <c r="D1399" s="71" t="s">
        <v>2080</v>
      </c>
      <c r="E1399" s="72" t="s">
        <v>433</v>
      </c>
      <c r="F1399" s="72" t="s">
        <v>434</v>
      </c>
      <c r="G1399" s="72">
        <v>50</v>
      </c>
      <c r="H1399" s="72">
        <v>2</v>
      </c>
      <c r="I1399" s="72" t="s">
        <v>11</v>
      </c>
      <c r="J1399" s="73"/>
    </row>
    <row r="1400" spans="1:10" hidden="1" outlineLevel="2">
      <c r="A1400" s="69">
        <v>65</v>
      </c>
      <c r="B1400" s="69" t="s">
        <v>838</v>
      </c>
      <c r="C1400" s="70" t="s">
        <v>122</v>
      </c>
      <c r="D1400" s="71" t="s">
        <v>2080</v>
      </c>
      <c r="E1400" s="72" t="s">
        <v>127</v>
      </c>
      <c r="F1400" s="72" t="s">
        <v>128</v>
      </c>
      <c r="G1400" s="72">
        <v>40</v>
      </c>
      <c r="H1400" s="72">
        <v>2</v>
      </c>
      <c r="I1400" s="72" t="s">
        <v>11</v>
      </c>
      <c r="J1400" s="73"/>
    </row>
    <row r="1401" spans="1:10" hidden="1" outlineLevel="2">
      <c r="A1401" s="69">
        <v>65</v>
      </c>
      <c r="B1401" s="69" t="s">
        <v>838</v>
      </c>
      <c r="C1401" s="70" t="s">
        <v>122</v>
      </c>
      <c r="D1401" s="71" t="s">
        <v>2080</v>
      </c>
      <c r="E1401" s="72" t="s">
        <v>435</v>
      </c>
      <c r="F1401" s="72" t="s">
        <v>436</v>
      </c>
      <c r="G1401" s="72">
        <v>40</v>
      </c>
      <c r="H1401" s="72">
        <v>2</v>
      </c>
      <c r="I1401" s="72" t="s">
        <v>11</v>
      </c>
      <c r="J1401" s="73"/>
    </row>
    <row r="1402" spans="1:10" hidden="1" outlineLevel="2">
      <c r="A1402" s="69">
        <v>65</v>
      </c>
      <c r="B1402" s="69" t="s">
        <v>838</v>
      </c>
      <c r="C1402" s="70" t="s">
        <v>122</v>
      </c>
      <c r="D1402" s="71" t="s">
        <v>2080</v>
      </c>
      <c r="E1402" s="72" t="s">
        <v>789</v>
      </c>
      <c r="F1402" s="72" t="s">
        <v>790</v>
      </c>
      <c r="G1402" s="72">
        <v>52</v>
      </c>
      <c r="H1402" s="72">
        <v>2</v>
      </c>
      <c r="I1402" s="72" t="s">
        <v>11</v>
      </c>
      <c r="J1402" s="73"/>
    </row>
    <row r="1403" spans="1:10" hidden="1" outlineLevel="2">
      <c r="A1403" s="69">
        <v>65</v>
      </c>
      <c r="B1403" s="69" t="s">
        <v>838</v>
      </c>
      <c r="C1403" s="70" t="s">
        <v>122</v>
      </c>
      <c r="D1403" s="71" t="s">
        <v>2080</v>
      </c>
      <c r="E1403" s="72" t="s">
        <v>133</v>
      </c>
      <c r="F1403" s="72" t="s">
        <v>134</v>
      </c>
      <c r="G1403" s="72">
        <v>40</v>
      </c>
      <c r="H1403" s="72">
        <v>2</v>
      </c>
      <c r="I1403" s="72" t="s">
        <v>11</v>
      </c>
      <c r="J1403" s="73"/>
    </row>
    <row r="1404" spans="1:10" hidden="1" outlineLevel="2">
      <c r="A1404" s="69">
        <v>65</v>
      </c>
      <c r="B1404" s="69" t="s">
        <v>838</v>
      </c>
      <c r="C1404" s="70" t="s">
        <v>122</v>
      </c>
      <c r="D1404" s="71" t="s">
        <v>2080</v>
      </c>
      <c r="E1404" s="72" t="s">
        <v>135</v>
      </c>
      <c r="F1404" s="72" t="s">
        <v>136</v>
      </c>
      <c r="G1404" s="72">
        <v>53</v>
      </c>
      <c r="H1404" s="72">
        <v>2</v>
      </c>
      <c r="I1404" s="72" t="s">
        <v>11</v>
      </c>
      <c r="J1404" s="73"/>
    </row>
    <row r="1405" spans="1:10" hidden="1" outlineLevel="2">
      <c r="A1405" s="69">
        <v>65</v>
      </c>
      <c r="B1405" s="69" t="s">
        <v>838</v>
      </c>
      <c r="C1405" s="70" t="s">
        <v>122</v>
      </c>
      <c r="D1405" s="71" t="s">
        <v>2080</v>
      </c>
      <c r="E1405" s="72" t="s">
        <v>137</v>
      </c>
      <c r="F1405" s="72" t="s">
        <v>138</v>
      </c>
      <c r="G1405" s="72">
        <v>40</v>
      </c>
      <c r="H1405" s="72">
        <v>2</v>
      </c>
      <c r="I1405" s="72" t="s">
        <v>11</v>
      </c>
      <c r="J1405" s="73"/>
    </row>
    <row r="1406" spans="1:10" hidden="1" outlineLevel="2">
      <c r="A1406" s="69">
        <v>65</v>
      </c>
      <c r="B1406" s="69" t="s">
        <v>838</v>
      </c>
      <c r="C1406" s="70" t="s">
        <v>122</v>
      </c>
      <c r="D1406" s="71" t="s">
        <v>2080</v>
      </c>
      <c r="E1406" s="72" t="s">
        <v>139</v>
      </c>
      <c r="F1406" s="72" t="s">
        <v>140</v>
      </c>
      <c r="G1406" s="72">
        <v>51</v>
      </c>
      <c r="H1406" s="72">
        <v>2</v>
      </c>
      <c r="I1406" s="72" t="s">
        <v>11</v>
      </c>
      <c r="J1406" s="73"/>
    </row>
    <row r="1407" spans="1:10" outlineLevel="1" collapsed="1">
      <c r="A1407" s="69"/>
      <c r="B1407" s="69"/>
      <c r="C1407" s="70"/>
      <c r="D1407" s="74" t="s">
        <v>2253</v>
      </c>
      <c r="E1407" s="72">
        <f>SUBTOTAL(3,E1395:E1406)</f>
        <v>12</v>
      </c>
      <c r="F1407" s="72"/>
      <c r="G1407" s="72"/>
      <c r="H1407" s="72"/>
      <c r="I1407" s="72">
        <f>SUBTOTAL(3,I1395:I1406)</f>
        <v>12</v>
      </c>
      <c r="J1407" s="73"/>
    </row>
    <row r="1408" spans="1:10" hidden="1" outlineLevel="2">
      <c r="A1408" s="69">
        <v>65</v>
      </c>
      <c r="B1408" s="69" t="s">
        <v>838</v>
      </c>
      <c r="C1408" s="70" t="s">
        <v>322</v>
      </c>
      <c r="D1408" s="71" t="s">
        <v>2081</v>
      </c>
      <c r="E1408" s="72" t="s">
        <v>773</v>
      </c>
      <c r="F1408" s="72" t="s">
        <v>774</v>
      </c>
      <c r="G1408" s="72">
        <v>50</v>
      </c>
      <c r="H1408" s="72">
        <v>2</v>
      </c>
      <c r="I1408" s="72" t="s">
        <v>11</v>
      </c>
      <c r="J1408" s="73"/>
    </row>
    <row r="1409" spans="1:10" hidden="1" outlineLevel="2">
      <c r="A1409" s="69">
        <v>65</v>
      </c>
      <c r="B1409" s="69" t="s">
        <v>838</v>
      </c>
      <c r="C1409" s="70" t="s">
        <v>322</v>
      </c>
      <c r="D1409" s="71" t="s">
        <v>2081</v>
      </c>
      <c r="E1409" s="72" t="s">
        <v>323</v>
      </c>
      <c r="F1409" s="72" t="s">
        <v>324</v>
      </c>
      <c r="G1409" s="72">
        <v>51</v>
      </c>
      <c r="H1409" s="72">
        <v>2</v>
      </c>
      <c r="I1409" s="72" t="s">
        <v>11</v>
      </c>
      <c r="J1409" s="73"/>
    </row>
    <row r="1410" spans="1:10" hidden="1" outlineLevel="2">
      <c r="A1410" s="69">
        <v>65</v>
      </c>
      <c r="B1410" s="69" t="s">
        <v>838</v>
      </c>
      <c r="C1410" s="70" t="s">
        <v>322</v>
      </c>
      <c r="D1410" s="71" t="s">
        <v>2081</v>
      </c>
      <c r="E1410" s="72" t="s">
        <v>842</v>
      </c>
      <c r="F1410" s="72" t="s">
        <v>843</v>
      </c>
      <c r="G1410" s="72">
        <v>55</v>
      </c>
      <c r="H1410" s="72">
        <v>2</v>
      </c>
      <c r="I1410" s="72" t="s">
        <v>11</v>
      </c>
      <c r="J1410" s="73"/>
    </row>
    <row r="1411" spans="1:10" hidden="1" outlineLevel="2">
      <c r="A1411" s="69">
        <v>65</v>
      </c>
      <c r="B1411" s="69" t="s">
        <v>838</v>
      </c>
      <c r="C1411" s="70" t="s">
        <v>322</v>
      </c>
      <c r="D1411" s="71" t="s">
        <v>2081</v>
      </c>
      <c r="E1411" s="72" t="s">
        <v>844</v>
      </c>
      <c r="F1411" s="72" t="s">
        <v>845</v>
      </c>
      <c r="G1411" s="72">
        <v>52</v>
      </c>
      <c r="H1411" s="72">
        <v>2</v>
      </c>
      <c r="I1411" s="72" t="s">
        <v>11</v>
      </c>
      <c r="J1411" s="73"/>
    </row>
    <row r="1412" spans="1:10" hidden="1" outlineLevel="2">
      <c r="A1412" s="69">
        <v>65</v>
      </c>
      <c r="B1412" s="69" t="s">
        <v>838</v>
      </c>
      <c r="C1412" s="70" t="s">
        <v>322</v>
      </c>
      <c r="D1412" s="71" t="s">
        <v>2081</v>
      </c>
      <c r="E1412" s="72" t="s">
        <v>325</v>
      </c>
      <c r="F1412" s="72" t="s">
        <v>326</v>
      </c>
      <c r="G1412" s="72">
        <v>40</v>
      </c>
      <c r="H1412" s="72">
        <v>2</v>
      </c>
      <c r="I1412" s="72" t="s">
        <v>11</v>
      </c>
      <c r="J1412" s="73"/>
    </row>
    <row r="1413" spans="1:10" hidden="1" outlineLevel="2">
      <c r="A1413" s="69">
        <v>65</v>
      </c>
      <c r="B1413" s="69" t="s">
        <v>838</v>
      </c>
      <c r="C1413" s="70" t="s">
        <v>322</v>
      </c>
      <c r="D1413" s="71" t="s">
        <v>2081</v>
      </c>
      <c r="E1413" s="72" t="s">
        <v>327</v>
      </c>
      <c r="F1413" s="72" t="s">
        <v>328</v>
      </c>
      <c r="G1413" s="72">
        <v>40</v>
      </c>
      <c r="H1413" s="72">
        <v>2</v>
      </c>
      <c r="I1413" s="72" t="s">
        <v>11</v>
      </c>
      <c r="J1413" s="73"/>
    </row>
    <row r="1414" spans="1:10" hidden="1" outlineLevel="2">
      <c r="A1414" s="69">
        <v>65</v>
      </c>
      <c r="B1414" s="69" t="s">
        <v>838</v>
      </c>
      <c r="C1414" s="70" t="s">
        <v>322</v>
      </c>
      <c r="D1414" s="71" t="s">
        <v>2081</v>
      </c>
      <c r="E1414" s="72" t="s">
        <v>329</v>
      </c>
      <c r="F1414" s="72" t="s">
        <v>330</v>
      </c>
      <c r="G1414" s="72">
        <v>53</v>
      </c>
      <c r="H1414" s="72">
        <v>2</v>
      </c>
      <c r="I1414" s="72" t="s">
        <v>11</v>
      </c>
      <c r="J1414" s="73"/>
    </row>
    <row r="1415" spans="1:10" hidden="1" outlineLevel="2">
      <c r="A1415" s="69">
        <v>65</v>
      </c>
      <c r="B1415" s="69" t="s">
        <v>838</v>
      </c>
      <c r="C1415" s="70" t="s">
        <v>322</v>
      </c>
      <c r="D1415" s="71" t="s">
        <v>2081</v>
      </c>
      <c r="E1415" s="72" t="s">
        <v>846</v>
      </c>
      <c r="F1415" s="72" t="s">
        <v>847</v>
      </c>
      <c r="G1415" s="72">
        <v>50</v>
      </c>
      <c r="H1415" s="72">
        <v>2</v>
      </c>
      <c r="I1415" s="72" t="s">
        <v>11</v>
      </c>
      <c r="J1415" s="73"/>
    </row>
    <row r="1416" spans="1:10" outlineLevel="1" collapsed="1">
      <c r="A1416" s="69"/>
      <c r="B1416" s="69"/>
      <c r="C1416" s="70"/>
      <c r="D1416" s="74" t="s">
        <v>2254</v>
      </c>
      <c r="E1416" s="72">
        <f>SUBTOTAL(3,E1408:E1415)</f>
        <v>8</v>
      </c>
      <c r="F1416" s="72"/>
      <c r="G1416" s="72"/>
      <c r="H1416" s="72"/>
      <c r="I1416" s="72">
        <f>SUBTOTAL(3,I1408:I1415)</f>
        <v>8</v>
      </c>
      <c r="J1416" s="69">
        <f>E1416+E1407+E1394+E1389+E1381</f>
        <v>39</v>
      </c>
    </row>
    <row r="1417" spans="1:10" hidden="1" outlineLevel="2">
      <c r="A1417" s="20">
        <v>66</v>
      </c>
      <c r="B1417" s="20" t="s">
        <v>871</v>
      </c>
      <c r="C1417" s="19" t="s">
        <v>158</v>
      </c>
      <c r="D1417" s="41" t="s">
        <v>2051</v>
      </c>
      <c r="E1417" s="22" t="s">
        <v>876</v>
      </c>
      <c r="F1417" s="22" t="s">
        <v>877</v>
      </c>
      <c r="G1417" s="22">
        <v>49</v>
      </c>
      <c r="H1417" s="22">
        <v>3</v>
      </c>
      <c r="I1417" s="22" t="s">
        <v>11</v>
      </c>
      <c r="J1417" s="75"/>
    </row>
    <row r="1418" spans="1:10" hidden="1" outlineLevel="2">
      <c r="A1418" s="20">
        <v>66</v>
      </c>
      <c r="B1418" s="20" t="s">
        <v>871</v>
      </c>
      <c r="C1418" s="19" t="s">
        <v>158</v>
      </c>
      <c r="D1418" s="41" t="s">
        <v>2051</v>
      </c>
      <c r="E1418" s="22" t="s">
        <v>878</v>
      </c>
      <c r="F1418" s="22" t="s">
        <v>879</v>
      </c>
      <c r="G1418" s="22">
        <v>44</v>
      </c>
      <c r="H1418" s="22">
        <v>3</v>
      </c>
      <c r="I1418" s="22" t="s">
        <v>11</v>
      </c>
      <c r="J1418" s="23"/>
    </row>
    <row r="1419" spans="1:10" hidden="1" outlineLevel="2">
      <c r="A1419" s="20">
        <v>66</v>
      </c>
      <c r="B1419" s="20" t="s">
        <v>871</v>
      </c>
      <c r="C1419" s="19" t="s">
        <v>158</v>
      </c>
      <c r="D1419" s="41" t="s">
        <v>2051</v>
      </c>
      <c r="E1419" s="22" t="s">
        <v>880</v>
      </c>
      <c r="F1419" s="22" t="s">
        <v>881</v>
      </c>
      <c r="G1419" s="22">
        <v>53</v>
      </c>
      <c r="H1419" s="22">
        <v>3</v>
      </c>
      <c r="I1419" s="22" t="s">
        <v>11</v>
      </c>
      <c r="J1419" s="23"/>
    </row>
    <row r="1420" spans="1:10" hidden="1" outlineLevel="2">
      <c r="A1420" s="20">
        <v>66</v>
      </c>
      <c r="B1420" s="20" t="s">
        <v>871</v>
      </c>
      <c r="C1420" s="19" t="s">
        <v>158</v>
      </c>
      <c r="D1420" s="41" t="s">
        <v>2051</v>
      </c>
      <c r="E1420" s="22" t="s">
        <v>637</v>
      </c>
      <c r="F1420" s="22" t="s">
        <v>638</v>
      </c>
      <c r="G1420" s="22">
        <v>56</v>
      </c>
      <c r="H1420" s="22">
        <v>3</v>
      </c>
      <c r="I1420" s="22" t="s">
        <v>11</v>
      </c>
      <c r="J1420" s="23"/>
    </row>
    <row r="1421" spans="1:10" hidden="1" outlineLevel="2">
      <c r="A1421" s="20">
        <v>66</v>
      </c>
      <c r="B1421" s="20" t="s">
        <v>871</v>
      </c>
      <c r="C1421" s="19" t="s">
        <v>158</v>
      </c>
      <c r="D1421" s="41" t="s">
        <v>2051</v>
      </c>
      <c r="E1421" s="22" t="s">
        <v>626</v>
      </c>
      <c r="F1421" s="22" t="s">
        <v>627</v>
      </c>
      <c r="G1421" s="22">
        <v>43</v>
      </c>
      <c r="H1421" s="22">
        <v>3</v>
      </c>
      <c r="I1421" s="22" t="s">
        <v>11</v>
      </c>
      <c r="J1421" s="23"/>
    </row>
    <row r="1422" spans="1:10" hidden="1" outlineLevel="2">
      <c r="A1422" s="20">
        <v>66</v>
      </c>
      <c r="B1422" s="20" t="s">
        <v>871</v>
      </c>
      <c r="C1422" s="19" t="s">
        <v>158</v>
      </c>
      <c r="D1422" s="41" t="s">
        <v>2051</v>
      </c>
      <c r="E1422" s="22" t="s">
        <v>159</v>
      </c>
      <c r="F1422" s="22" t="s">
        <v>160</v>
      </c>
      <c r="G1422" s="22">
        <v>42</v>
      </c>
      <c r="H1422" s="22">
        <v>3</v>
      </c>
      <c r="I1422" s="22" t="s">
        <v>11</v>
      </c>
      <c r="J1422" s="23"/>
    </row>
    <row r="1423" spans="1:10" hidden="1" outlineLevel="2">
      <c r="A1423" s="20">
        <v>66</v>
      </c>
      <c r="B1423" s="20" t="s">
        <v>871</v>
      </c>
      <c r="C1423" s="19" t="s">
        <v>158</v>
      </c>
      <c r="D1423" s="41" t="s">
        <v>2051</v>
      </c>
      <c r="E1423" s="22" t="s">
        <v>641</v>
      </c>
      <c r="F1423" s="22" t="s">
        <v>642</v>
      </c>
      <c r="G1423" s="22">
        <v>49</v>
      </c>
      <c r="H1423" s="22">
        <v>3</v>
      </c>
      <c r="I1423" s="22" t="s">
        <v>11</v>
      </c>
      <c r="J1423" s="23"/>
    </row>
    <row r="1424" spans="1:10" hidden="1" outlineLevel="2">
      <c r="A1424" s="20">
        <v>66</v>
      </c>
      <c r="B1424" s="20" t="s">
        <v>871</v>
      </c>
      <c r="C1424" s="19" t="s">
        <v>158</v>
      </c>
      <c r="D1424" s="41" t="s">
        <v>2051</v>
      </c>
      <c r="E1424" s="22" t="s">
        <v>882</v>
      </c>
      <c r="F1424" s="22" t="s">
        <v>883</v>
      </c>
      <c r="G1424" s="22">
        <v>57</v>
      </c>
      <c r="H1424" s="22">
        <v>3</v>
      </c>
      <c r="I1424" s="22" t="s">
        <v>11</v>
      </c>
      <c r="J1424" s="23"/>
    </row>
    <row r="1425" spans="1:10" hidden="1" outlineLevel="2">
      <c r="A1425" s="20">
        <v>66</v>
      </c>
      <c r="B1425" s="20" t="s">
        <v>871</v>
      </c>
      <c r="C1425" s="19" t="s">
        <v>158</v>
      </c>
      <c r="D1425" s="41" t="s">
        <v>2051</v>
      </c>
      <c r="E1425" s="22" t="s">
        <v>161</v>
      </c>
      <c r="F1425" s="22" t="s">
        <v>162</v>
      </c>
      <c r="G1425" s="22">
        <v>42</v>
      </c>
      <c r="H1425" s="22">
        <v>3</v>
      </c>
      <c r="I1425" s="22" t="s">
        <v>11</v>
      </c>
      <c r="J1425" s="23"/>
    </row>
    <row r="1426" spans="1:10" hidden="1" outlineLevel="2">
      <c r="A1426" s="20">
        <v>66</v>
      </c>
      <c r="B1426" s="20" t="s">
        <v>871</v>
      </c>
      <c r="C1426" s="19" t="s">
        <v>158</v>
      </c>
      <c r="D1426" s="41" t="s">
        <v>2051</v>
      </c>
      <c r="E1426" s="22" t="s">
        <v>884</v>
      </c>
      <c r="F1426" s="22" t="s">
        <v>885</v>
      </c>
      <c r="G1426" s="22">
        <v>49</v>
      </c>
      <c r="H1426" s="22">
        <v>3</v>
      </c>
      <c r="I1426" s="22" t="s">
        <v>11</v>
      </c>
      <c r="J1426" s="23"/>
    </row>
    <row r="1427" spans="1:10" hidden="1" outlineLevel="2">
      <c r="A1427" s="20">
        <v>66</v>
      </c>
      <c r="B1427" s="20" t="s">
        <v>871</v>
      </c>
      <c r="C1427" s="19" t="s">
        <v>158</v>
      </c>
      <c r="D1427" s="41" t="s">
        <v>2051</v>
      </c>
      <c r="E1427" s="22" t="s">
        <v>165</v>
      </c>
      <c r="F1427" s="22" t="s">
        <v>166</v>
      </c>
      <c r="G1427" s="22">
        <v>42</v>
      </c>
      <c r="H1427" s="22">
        <v>3</v>
      </c>
      <c r="I1427" s="22" t="s">
        <v>11</v>
      </c>
      <c r="J1427" s="23"/>
    </row>
    <row r="1428" spans="1:10" hidden="1" outlineLevel="2">
      <c r="A1428" s="20">
        <v>66</v>
      </c>
      <c r="B1428" s="20" t="s">
        <v>871</v>
      </c>
      <c r="C1428" s="19" t="s">
        <v>158</v>
      </c>
      <c r="D1428" s="41" t="s">
        <v>2051</v>
      </c>
      <c r="E1428" s="22" t="s">
        <v>886</v>
      </c>
      <c r="F1428" s="22" t="s">
        <v>887</v>
      </c>
      <c r="G1428" s="22">
        <v>41</v>
      </c>
      <c r="H1428" s="22">
        <v>3</v>
      </c>
      <c r="I1428" s="22" t="s">
        <v>11</v>
      </c>
      <c r="J1428" s="23"/>
    </row>
    <row r="1429" spans="1:10" hidden="1" outlineLevel="2">
      <c r="A1429" s="20">
        <v>66</v>
      </c>
      <c r="B1429" s="20" t="s">
        <v>871</v>
      </c>
      <c r="C1429" s="19" t="s">
        <v>158</v>
      </c>
      <c r="D1429" s="41" t="s">
        <v>2051</v>
      </c>
      <c r="E1429" s="22" t="s">
        <v>167</v>
      </c>
      <c r="F1429" s="22" t="s">
        <v>168</v>
      </c>
      <c r="G1429" s="22">
        <v>49</v>
      </c>
      <c r="H1429" s="22">
        <v>3</v>
      </c>
      <c r="I1429" s="22" t="s">
        <v>11</v>
      </c>
      <c r="J1429" s="23"/>
    </row>
    <row r="1430" spans="1:10" hidden="1" outlineLevel="2">
      <c r="A1430" s="20">
        <v>66</v>
      </c>
      <c r="B1430" s="20" t="s">
        <v>871</v>
      </c>
      <c r="C1430" s="19" t="s">
        <v>158</v>
      </c>
      <c r="D1430" s="41" t="s">
        <v>2051</v>
      </c>
      <c r="E1430" s="22" t="s">
        <v>888</v>
      </c>
      <c r="F1430" s="22" t="s">
        <v>889</v>
      </c>
      <c r="G1430" s="22">
        <v>45</v>
      </c>
      <c r="H1430" s="22">
        <v>3</v>
      </c>
      <c r="I1430" s="22" t="s">
        <v>11</v>
      </c>
      <c r="J1430" s="23"/>
    </row>
    <row r="1431" spans="1:10" hidden="1" outlineLevel="2">
      <c r="A1431" s="20">
        <v>66</v>
      </c>
      <c r="B1431" s="20" t="s">
        <v>871</v>
      </c>
      <c r="C1431" s="19" t="s">
        <v>158</v>
      </c>
      <c r="D1431" s="41" t="s">
        <v>2051</v>
      </c>
      <c r="E1431" s="22" t="s">
        <v>515</v>
      </c>
      <c r="F1431" s="22" t="s">
        <v>516</v>
      </c>
      <c r="G1431" s="22">
        <v>51</v>
      </c>
      <c r="H1431" s="22">
        <v>3</v>
      </c>
      <c r="I1431" s="22" t="s">
        <v>11</v>
      </c>
      <c r="J1431" s="23"/>
    </row>
    <row r="1432" spans="1:10" hidden="1" outlineLevel="2">
      <c r="A1432" s="20">
        <v>66</v>
      </c>
      <c r="B1432" s="20" t="s">
        <v>871</v>
      </c>
      <c r="C1432" s="19" t="s">
        <v>158</v>
      </c>
      <c r="D1432" s="41" t="s">
        <v>2051</v>
      </c>
      <c r="E1432" s="22" t="s">
        <v>169</v>
      </c>
      <c r="F1432" s="22" t="s">
        <v>170</v>
      </c>
      <c r="G1432" s="22">
        <v>40</v>
      </c>
      <c r="H1432" s="22">
        <v>3</v>
      </c>
      <c r="I1432" s="22" t="s">
        <v>11</v>
      </c>
      <c r="J1432" s="23"/>
    </row>
    <row r="1433" spans="1:10" outlineLevel="1" collapsed="1">
      <c r="D1433" s="51" t="s">
        <v>2207</v>
      </c>
      <c r="E1433" s="22">
        <f>SUBTOTAL(3,E1417:E1432)</f>
        <v>16</v>
      </c>
      <c r="F1433" s="22"/>
      <c r="G1433" s="22"/>
      <c r="H1433" s="22"/>
      <c r="I1433" s="22">
        <f>SUBTOTAL(3,I1417:I1432)</f>
        <v>16</v>
      </c>
      <c r="J1433" s="23"/>
    </row>
    <row r="1434" spans="1:10" hidden="1" outlineLevel="2">
      <c r="A1434" s="20">
        <v>66</v>
      </c>
      <c r="B1434" s="20" t="s">
        <v>871</v>
      </c>
      <c r="C1434" s="19" t="s">
        <v>97</v>
      </c>
      <c r="D1434" s="41" t="s">
        <v>2052</v>
      </c>
      <c r="E1434" s="22" t="s">
        <v>892</v>
      </c>
      <c r="F1434" s="22" t="s">
        <v>893</v>
      </c>
      <c r="G1434" s="22">
        <v>42</v>
      </c>
      <c r="H1434" s="22">
        <v>3</v>
      </c>
      <c r="I1434" s="22" t="s">
        <v>11</v>
      </c>
      <c r="J1434" s="23"/>
    </row>
    <row r="1435" spans="1:10" hidden="1" outlineLevel="2">
      <c r="A1435" s="20">
        <v>66</v>
      </c>
      <c r="B1435" s="20" t="s">
        <v>871</v>
      </c>
      <c r="C1435" s="19" t="s">
        <v>97</v>
      </c>
      <c r="D1435" s="41" t="s">
        <v>2052</v>
      </c>
      <c r="E1435" s="22" t="s">
        <v>100</v>
      </c>
      <c r="F1435" s="22" t="s">
        <v>101</v>
      </c>
      <c r="G1435" s="22">
        <v>55</v>
      </c>
      <c r="H1435" s="22">
        <v>3</v>
      </c>
      <c r="I1435" s="22" t="s">
        <v>11</v>
      </c>
      <c r="J1435" s="23"/>
    </row>
    <row r="1436" spans="1:10" hidden="1" outlineLevel="2">
      <c r="A1436" s="20">
        <v>66</v>
      </c>
      <c r="B1436" s="20" t="s">
        <v>871</v>
      </c>
      <c r="C1436" s="19" t="s">
        <v>97</v>
      </c>
      <c r="D1436" s="41" t="s">
        <v>2052</v>
      </c>
      <c r="E1436" s="22" t="s">
        <v>102</v>
      </c>
      <c r="F1436" s="22" t="s">
        <v>103</v>
      </c>
      <c r="G1436" s="22">
        <v>47</v>
      </c>
      <c r="H1436" s="22">
        <v>3</v>
      </c>
      <c r="I1436" s="22" t="s">
        <v>11</v>
      </c>
      <c r="J1436" s="23"/>
    </row>
    <row r="1437" spans="1:10" hidden="1" outlineLevel="2">
      <c r="A1437" s="20">
        <v>66</v>
      </c>
      <c r="B1437" s="20" t="s">
        <v>871</v>
      </c>
      <c r="C1437" s="19" t="s">
        <v>97</v>
      </c>
      <c r="D1437" s="41" t="s">
        <v>2052</v>
      </c>
      <c r="E1437" s="22" t="s">
        <v>894</v>
      </c>
      <c r="F1437" s="22" t="s">
        <v>895</v>
      </c>
      <c r="G1437" s="22">
        <v>59</v>
      </c>
      <c r="H1437" s="22">
        <v>3</v>
      </c>
      <c r="I1437" s="22" t="s">
        <v>11</v>
      </c>
      <c r="J1437" s="23"/>
    </row>
    <row r="1438" spans="1:10" hidden="1" outlineLevel="2">
      <c r="A1438" s="20">
        <v>66</v>
      </c>
      <c r="B1438" s="20" t="s">
        <v>871</v>
      </c>
      <c r="C1438" s="19" t="s">
        <v>97</v>
      </c>
      <c r="D1438" s="41" t="s">
        <v>2052</v>
      </c>
      <c r="E1438" s="22" t="s">
        <v>114</v>
      </c>
      <c r="F1438" s="22" t="s">
        <v>115</v>
      </c>
      <c r="G1438" s="22">
        <v>40</v>
      </c>
      <c r="H1438" s="22">
        <v>3</v>
      </c>
      <c r="I1438" s="22" t="s">
        <v>11</v>
      </c>
      <c r="J1438" s="23"/>
    </row>
    <row r="1439" spans="1:10" hidden="1" outlineLevel="2">
      <c r="A1439" s="20">
        <v>66</v>
      </c>
      <c r="B1439" s="20" t="s">
        <v>871</v>
      </c>
      <c r="C1439" s="19" t="s">
        <v>97</v>
      </c>
      <c r="D1439" s="41" t="s">
        <v>2052</v>
      </c>
      <c r="E1439" s="22" t="s">
        <v>519</v>
      </c>
      <c r="F1439" s="22" t="s">
        <v>520</v>
      </c>
      <c r="G1439" s="22">
        <v>40</v>
      </c>
      <c r="H1439" s="22">
        <v>3</v>
      </c>
      <c r="I1439" s="22" t="s">
        <v>11</v>
      </c>
      <c r="J1439" s="23"/>
    </row>
    <row r="1440" spans="1:10" hidden="1" outlineLevel="2">
      <c r="A1440" s="20">
        <v>66</v>
      </c>
      <c r="B1440" s="20" t="s">
        <v>871</v>
      </c>
      <c r="C1440" s="19" t="s">
        <v>97</v>
      </c>
      <c r="D1440" s="41" t="s">
        <v>2052</v>
      </c>
      <c r="E1440" s="22" t="s">
        <v>632</v>
      </c>
      <c r="F1440" s="22" t="s">
        <v>633</v>
      </c>
      <c r="G1440" s="22">
        <v>47</v>
      </c>
      <c r="H1440" s="22">
        <v>3</v>
      </c>
      <c r="I1440" s="22" t="s">
        <v>11</v>
      </c>
      <c r="J1440" s="23"/>
    </row>
    <row r="1441" spans="1:10" hidden="1" outlineLevel="2">
      <c r="A1441" s="20">
        <v>66</v>
      </c>
      <c r="B1441" s="20" t="s">
        <v>871</v>
      </c>
      <c r="C1441" s="19" t="s">
        <v>97</v>
      </c>
      <c r="D1441" s="41" t="s">
        <v>2052</v>
      </c>
      <c r="E1441" s="22" t="s">
        <v>896</v>
      </c>
      <c r="F1441" s="22" t="s">
        <v>897</v>
      </c>
      <c r="G1441" s="22">
        <v>34</v>
      </c>
      <c r="H1441" s="22">
        <v>3</v>
      </c>
      <c r="I1441" s="22" t="s">
        <v>11</v>
      </c>
      <c r="J1441" s="23"/>
    </row>
    <row r="1442" spans="1:10" outlineLevel="1" collapsed="1">
      <c r="D1442" s="51" t="s">
        <v>2208</v>
      </c>
      <c r="E1442" s="22">
        <f>SUBTOTAL(3,E1434:E1441)</f>
        <v>8</v>
      </c>
      <c r="F1442" s="22"/>
      <c r="G1442" s="22"/>
      <c r="H1442" s="22"/>
      <c r="I1442" s="22">
        <f>SUBTOTAL(3,I1434:I1441)</f>
        <v>8</v>
      </c>
      <c r="J1442" s="23"/>
    </row>
    <row r="1443" spans="1:10" hidden="1" outlineLevel="2">
      <c r="A1443" s="20">
        <v>66</v>
      </c>
      <c r="B1443" s="20" t="s">
        <v>871</v>
      </c>
      <c r="C1443" s="19" t="s">
        <v>44</v>
      </c>
      <c r="D1443" s="41" t="s">
        <v>2053</v>
      </c>
      <c r="E1443" s="22" t="s">
        <v>45</v>
      </c>
      <c r="F1443" s="22" t="s">
        <v>46</v>
      </c>
      <c r="G1443" s="22">
        <v>49</v>
      </c>
      <c r="H1443" s="22">
        <v>3</v>
      </c>
      <c r="I1443" s="22" t="s">
        <v>11</v>
      </c>
      <c r="J1443" s="23"/>
    </row>
    <row r="1444" spans="1:10" hidden="1" outlineLevel="2">
      <c r="A1444" s="20">
        <v>66</v>
      </c>
      <c r="B1444" s="20" t="s">
        <v>871</v>
      </c>
      <c r="C1444" s="19" t="s">
        <v>44</v>
      </c>
      <c r="D1444" s="41" t="s">
        <v>2053</v>
      </c>
      <c r="E1444" s="22" t="s">
        <v>608</v>
      </c>
      <c r="F1444" s="22" t="s">
        <v>609</v>
      </c>
      <c r="G1444" s="22">
        <v>40</v>
      </c>
      <c r="H1444" s="22">
        <v>3</v>
      </c>
      <c r="I1444" s="22" t="s">
        <v>11</v>
      </c>
      <c r="J1444" s="23"/>
    </row>
    <row r="1445" spans="1:10" hidden="1" outlineLevel="2">
      <c r="A1445" s="20">
        <v>66</v>
      </c>
      <c r="B1445" s="20" t="s">
        <v>871</v>
      </c>
      <c r="C1445" s="19" t="s">
        <v>44</v>
      </c>
      <c r="D1445" s="41" t="s">
        <v>2053</v>
      </c>
      <c r="E1445" s="22" t="s">
        <v>890</v>
      </c>
      <c r="F1445" s="22" t="s">
        <v>891</v>
      </c>
      <c r="G1445" s="22">
        <v>39</v>
      </c>
      <c r="H1445" s="22">
        <v>3</v>
      </c>
      <c r="I1445" s="22" t="s">
        <v>11</v>
      </c>
      <c r="J1445" s="23"/>
    </row>
    <row r="1446" spans="1:10" hidden="1" outlineLevel="2">
      <c r="A1446" s="20">
        <v>66</v>
      </c>
      <c r="B1446" s="20" t="s">
        <v>871</v>
      </c>
      <c r="C1446" s="19" t="s">
        <v>44</v>
      </c>
      <c r="D1446" s="41" t="s">
        <v>2053</v>
      </c>
      <c r="E1446" s="22" t="s">
        <v>610</v>
      </c>
      <c r="F1446" s="22" t="s">
        <v>611</v>
      </c>
      <c r="G1446" s="22">
        <v>54</v>
      </c>
      <c r="H1446" s="22">
        <v>3</v>
      </c>
      <c r="I1446" s="22" t="s">
        <v>11</v>
      </c>
      <c r="J1446" s="23"/>
    </row>
    <row r="1447" spans="1:10" hidden="1" outlineLevel="2">
      <c r="A1447" s="20">
        <v>66</v>
      </c>
      <c r="B1447" s="20" t="s">
        <v>871</v>
      </c>
      <c r="C1447" s="19" t="s">
        <v>44</v>
      </c>
      <c r="D1447" s="41" t="s">
        <v>2053</v>
      </c>
      <c r="E1447" s="22" t="s">
        <v>51</v>
      </c>
      <c r="F1447" s="22" t="s">
        <v>52</v>
      </c>
      <c r="G1447" s="22">
        <v>43</v>
      </c>
      <c r="H1447" s="22">
        <v>3</v>
      </c>
      <c r="I1447" s="22" t="s">
        <v>11</v>
      </c>
      <c r="J1447" s="23"/>
    </row>
    <row r="1448" spans="1:10" hidden="1" outlineLevel="2">
      <c r="A1448" s="20">
        <v>66</v>
      </c>
      <c r="B1448" s="20" t="s">
        <v>871</v>
      </c>
      <c r="C1448" s="19" t="s">
        <v>44</v>
      </c>
      <c r="D1448" s="41" t="s">
        <v>2053</v>
      </c>
      <c r="E1448" s="22" t="s">
        <v>681</v>
      </c>
      <c r="F1448" s="22" t="s">
        <v>682</v>
      </c>
      <c r="G1448" s="22">
        <v>41</v>
      </c>
      <c r="H1448" s="22">
        <v>3</v>
      </c>
      <c r="I1448" s="22" t="s">
        <v>11</v>
      </c>
      <c r="J1448" s="23"/>
    </row>
    <row r="1449" spans="1:10" hidden="1" outlineLevel="2">
      <c r="A1449" s="20">
        <v>66</v>
      </c>
      <c r="B1449" s="20" t="s">
        <v>871</v>
      </c>
      <c r="C1449" s="19" t="s">
        <v>44</v>
      </c>
      <c r="D1449" s="41" t="s">
        <v>2053</v>
      </c>
      <c r="E1449" s="22" t="s">
        <v>455</v>
      </c>
      <c r="F1449" s="22" t="s">
        <v>456</v>
      </c>
      <c r="G1449" s="22">
        <v>55</v>
      </c>
      <c r="H1449" s="22">
        <v>3</v>
      </c>
      <c r="I1449" s="22" t="s">
        <v>11</v>
      </c>
      <c r="J1449" s="23"/>
    </row>
    <row r="1450" spans="1:10" hidden="1" outlineLevel="2">
      <c r="A1450" s="20">
        <v>66</v>
      </c>
      <c r="B1450" s="20" t="s">
        <v>871</v>
      </c>
      <c r="C1450" s="19" t="s">
        <v>44</v>
      </c>
      <c r="D1450" s="41" t="s">
        <v>2053</v>
      </c>
      <c r="E1450" s="22" t="s">
        <v>457</v>
      </c>
      <c r="F1450" s="22" t="s">
        <v>458</v>
      </c>
      <c r="G1450" s="22">
        <v>44</v>
      </c>
      <c r="H1450" s="22">
        <v>3</v>
      </c>
      <c r="I1450" s="22" t="s">
        <v>11</v>
      </c>
      <c r="J1450" s="23"/>
    </row>
    <row r="1451" spans="1:10" hidden="1" outlineLevel="2">
      <c r="A1451" s="20">
        <v>66</v>
      </c>
      <c r="B1451" s="20" t="s">
        <v>871</v>
      </c>
      <c r="C1451" s="19" t="s">
        <v>44</v>
      </c>
      <c r="D1451" s="41" t="s">
        <v>2053</v>
      </c>
      <c r="E1451" s="22" t="s">
        <v>459</v>
      </c>
      <c r="F1451" s="22" t="s">
        <v>460</v>
      </c>
      <c r="G1451" s="22">
        <v>52</v>
      </c>
      <c r="H1451" s="22">
        <v>3</v>
      </c>
      <c r="I1451" s="22" t="s">
        <v>11</v>
      </c>
      <c r="J1451" s="23"/>
    </row>
    <row r="1452" spans="1:10" hidden="1" outlineLevel="2">
      <c r="A1452" s="20">
        <v>66</v>
      </c>
      <c r="B1452" s="20" t="s">
        <v>871</v>
      </c>
      <c r="C1452" s="19" t="s">
        <v>44</v>
      </c>
      <c r="D1452" s="41" t="s">
        <v>2053</v>
      </c>
      <c r="E1452" s="22" t="s">
        <v>685</v>
      </c>
      <c r="F1452" s="22" t="s">
        <v>686</v>
      </c>
      <c r="G1452" s="22">
        <v>48</v>
      </c>
      <c r="H1452" s="22">
        <v>3</v>
      </c>
      <c r="I1452" s="22" t="s">
        <v>11</v>
      </c>
      <c r="J1452" s="23"/>
    </row>
    <row r="1453" spans="1:10" hidden="1" outlineLevel="2">
      <c r="A1453" s="20">
        <v>66</v>
      </c>
      <c r="B1453" s="20" t="s">
        <v>871</v>
      </c>
      <c r="C1453" s="19" t="s">
        <v>44</v>
      </c>
      <c r="D1453" s="41" t="s">
        <v>2053</v>
      </c>
      <c r="E1453" s="22" t="s">
        <v>59</v>
      </c>
      <c r="F1453" s="22" t="s">
        <v>60</v>
      </c>
      <c r="G1453" s="22">
        <v>56</v>
      </c>
      <c r="H1453" s="22">
        <v>3</v>
      </c>
      <c r="I1453" s="22" t="s">
        <v>11</v>
      </c>
      <c r="J1453" s="23"/>
    </row>
    <row r="1454" spans="1:10" hidden="1" outlineLevel="2">
      <c r="A1454" s="20">
        <v>66</v>
      </c>
      <c r="B1454" s="20" t="s">
        <v>871</v>
      </c>
      <c r="C1454" s="19" t="s">
        <v>44</v>
      </c>
      <c r="D1454" s="41" t="s">
        <v>2053</v>
      </c>
      <c r="E1454" s="22" t="s">
        <v>63</v>
      </c>
      <c r="F1454" s="22" t="s">
        <v>64</v>
      </c>
      <c r="G1454" s="22">
        <v>43</v>
      </c>
      <c r="H1454" s="22">
        <v>3</v>
      </c>
      <c r="I1454" s="22" t="s">
        <v>11</v>
      </c>
      <c r="J1454" s="23"/>
    </row>
    <row r="1455" spans="1:10" hidden="1" outlineLevel="2">
      <c r="A1455" s="20">
        <v>66</v>
      </c>
      <c r="B1455" s="20" t="s">
        <v>871</v>
      </c>
      <c r="C1455" s="19" t="s">
        <v>44</v>
      </c>
      <c r="D1455" s="41" t="s">
        <v>2053</v>
      </c>
      <c r="E1455" s="22" t="s">
        <v>461</v>
      </c>
      <c r="F1455" s="22" t="s">
        <v>462</v>
      </c>
      <c r="G1455" s="22">
        <v>51</v>
      </c>
      <c r="H1455" s="22">
        <v>3</v>
      </c>
      <c r="I1455" s="22" t="s">
        <v>11</v>
      </c>
      <c r="J1455" s="23"/>
    </row>
    <row r="1456" spans="1:10" outlineLevel="1" collapsed="1">
      <c r="D1456" s="51" t="s">
        <v>2209</v>
      </c>
      <c r="E1456" s="22">
        <f>SUBTOTAL(3,E1443:E1455)</f>
        <v>13</v>
      </c>
      <c r="F1456" s="22"/>
      <c r="G1456" s="22"/>
      <c r="H1456" s="22"/>
      <c r="I1456" s="22">
        <f>SUBTOTAL(3,I1443:I1455)</f>
        <v>13</v>
      </c>
      <c r="J1456" s="23">
        <f>E1456+E1442+E1433</f>
        <v>37</v>
      </c>
    </row>
    <row r="1457" spans="1:10" hidden="1" outlineLevel="2">
      <c r="A1457" s="20">
        <v>66</v>
      </c>
      <c r="B1457" s="20" t="s">
        <v>1695</v>
      </c>
      <c r="C1457" s="19" t="s">
        <v>1200</v>
      </c>
      <c r="D1457" s="41" t="str">
        <f t="shared" ref="D1457:D1462" si="44">B1457&amp;"-"&amp;C1457</f>
        <v>電子學-電機二乙</v>
      </c>
      <c r="E1457" s="22" t="s">
        <v>1595</v>
      </c>
      <c r="F1457" s="22" t="s">
        <v>1596</v>
      </c>
      <c r="G1457" s="22">
        <v>52</v>
      </c>
      <c r="H1457" s="22">
        <v>3</v>
      </c>
      <c r="I1457" s="22" t="s">
        <v>11</v>
      </c>
      <c r="J1457" s="23"/>
    </row>
    <row r="1458" spans="1:10" hidden="1" outlineLevel="2">
      <c r="A1458" s="20">
        <v>66</v>
      </c>
      <c r="B1458" s="20" t="s">
        <v>1695</v>
      </c>
      <c r="C1458" s="19" t="s">
        <v>1200</v>
      </c>
      <c r="D1458" s="41" t="str">
        <f t="shared" si="44"/>
        <v>電子學-電機二乙</v>
      </c>
      <c r="E1458" s="22" t="s">
        <v>1441</v>
      </c>
      <c r="F1458" s="22" t="s">
        <v>1442</v>
      </c>
      <c r="G1458" s="22">
        <v>56</v>
      </c>
      <c r="H1458" s="22">
        <v>3</v>
      </c>
      <c r="I1458" s="22" t="s">
        <v>11</v>
      </c>
      <c r="J1458" s="23"/>
    </row>
    <row r="1459" spans="1:10" hidden="1" outlineLevel="2">
      <c r="A1459" s="20">
        <v>66</v>
      </c>
      <c r="B1459" s="20" t="s">
        <v>1695</v>
      </c>
      <c r="C1459" s="19" t="s">
        <v>1200</v>
      </c>
      <c r="D1459" s="41" t="str">
        <f t="shared" si="44"/>
        <v>電子學-電機二乙</v>
      </c>
      <c r="E1459" s="22" t="s">
        <v>1201</v>
      </c>
      <c r="F1459" s="22" t="s">
        <v>1202</v>
      </c>
      <c r="G1459" s="22">
        <v>46</v>
      </c>
      <c r="H1459" s="22">
        <v>3</v>
      </c>
      <c r="I1459" s="22" t="s">
        <v>11</v>
      </c>
      <c r="J1459" s="23"/>
    </row>
    <row r="1460" spans="1:10" hidden="1" outlineLevel="2">
      <c r="A1460" s="20">
        <v>66</v>
      </c>
      <c r="B1460" s="20" t="s">
        <v>1695</v>
      </c>
      <c r="C1460" s="19" t="s">
        <v>1200</v>
      </c>
      <c r="D1460" s="41" t="str">
        <f t="shared" si="44"/>
        <v>電子學-電機二乙</v>
      </c>
      <c r="E1460" s="22" t="s">
        <v>1203</v>
      </c>
      <c r="F1460" s="22" t="s">
        <v>1204</v>
      </c>
      <c r="G1460" s="22">
        <v>49</v>
      </c>
      <c r="H1460" s="22">
        <v>3</v>
      </c>
      <c r="I1460" s="22" t="s">
        <v>11</v>
      </c>
      <c r="J1460" s="23"/>
    </row>
    <row r="1461" spans="1:10" hidden="1" outlineLevel="2">
      <c r="A1461" s="20">
        <v>66</v>
      </c>
      <c r="B1461" s="20" t="s">
        <v>1695</v>
      </c>
      <c r="C1461" s="19" t="s">
        <v>1200</v>
      </c>
      <c r="D1461" s="41" t="str">
        <f t="shared" si="44"/>
        <v>電子學-電機二乙</v>
      </c>
      <c r="E1461" s="22" t="s">
        <v>1211</v>
      </c>
      <c r="F1461" s="22" t="s">
        <v>1212</v>
      </c>
      <c r="G1461" s="22">
        <v>50</v>
      </c>
      <c r="H1461" s="22">
        <v>3</v>
      </c>
      <c r="I1461" s="22" t="s">
        <v>11</v>
      </c>
      <c r="J1461" s="23"/>
    </row>
    <row r="1462" spans="1:10" hidden="1" outlineLevel="2">
      <c r="A1462" s="20">
        <v>66</v>
      </c>
      <c r="B1462" s="20" t="s">
        <v>1695</v>
      </c>
      <c r="C1462" s="19" t="s">
        <v>1200</v>
      </c>
      <c r="D1462" s="41" t="str">
        <f t="shared" si="44"/>
        <v>電子學-電機二乙</v>
      </c>
      <c r="E1462" s="22" t="s">
        <v>1301</v>
      </c>
      <c r="F1462" s="22" t="s">
        <v>1302</v>
      </c>
      <c r="G1462" s="22">
        <v>55</v>
      </c>
      <c r="H1462" s="22">
        <v>3</v>
      </c>
      <c r="I1462" s="22" t="s">
        <v>11</v>
      </c>
      <c r="J1462" s="23"/>
    </row>
    <row r="1463" spans="1:10" outlineLevel="1" collapsed="1">
      <c r="D1463" s="51" t="s">
        <v>1913</v>
      </c>
      <c r="E1463" s="22">
        <f>SUBTOTAL(3,E1457:E1462)</f>
        <v>6</v>
      </c>
      <c r="F1463" s="22"/>
      <c r="G1463" s="22"/>
      <c r="H1463" s="22"/>
      <c r="I1463" s="22">
        <f>SUBTOTAL(3,I1457:I1462)</f>
        <v>6</v>
      </c>
      <c r="J1463" s="23"/>
    </row>
    <row r="1464" spans="1:10" hidden="1" outlineLevel="2">
      <c r="A1464" s="20">
        <v>66</v>
      </c>
      <c r="B1464" s="20" t="s">
        <v>1695</v>
      </c>
      <c r="C1464" s="19" t="s">
        <v>1184</v>
      </c>
      <c r="D1464" s="41" t="str">
        <f t="shared" ref="D1464:D1475" si="45">B1464&amp;"-"&amp;C1464</f>
        <v>電子學-電機二丙</v>
      </c>
      <c r="E1464" s="22" t="s">
        <v>1704</v>
      </c>
      <c r="F1464" s="22" t="s">
        <v>1705</v>
      </c>
      <c r="G1464" s="22">
        <v>50</v>
      </c>
      <c r="H1464" s="22">
        <v>3</v>
      </c>
      <c r="I1464" s="22" t="s">
        <v>11</v>
      </c>
      <c r="J1464" s="23"/>
    </row>
    <row r="1465" spans="1:10" hidden="1" outlineLevel="2">
      <c r="A1465" s="20">
        <v>66</v>
      </c>
      <c r="B1465" s="20" t="s">
        <v>1695</v>
      </c>
      <c r="C1465" s="19" t="s">
        <v>1184</v>
      </c>
      <c r="D1465" s="41" t="str">
        <f t="shared" si="45"/>
        <v>電子學-電機二丙</v>
      </c>
      <c r="E1465" s="22" t="s">
        <v>1570</v>
      </c>
      <c r="F1465" s="22" t="s">
        <v>1571</v>
      </c>
      <c r="G1465" s="22">
        <v>45</v>
      </c>
      <c r="H1465" s="22">
        <v>3</v>
      </c>
      <c r="I1465" s="22" t="s">
        <v>11</v>
      </c>
      <c r="J1465" s="23"/>
    </row>
    <row r="1466" spans="1:10" hidden="1" outlineLevel="2">
      <c r="A1466" s="20">
        <v>66</v>
      </c>
      <c r="B1466" s="20" t="s">
        <v>1695</v>
      </c>
      <c r="C1466" s="19" t="s">
        <v>1184</v>
      </c>
      <c r="D1466" s="41" t="str">
        <f t="shared" si="45"/>
        <v>電子學-電機二丙</v>
      </c>
      <c r="E1466" s="22" t="s">
        <v>1185</v>
      </c>
      <c r="F1466" s="22" t="s">
        <v>1186</v>
      </c>
      <c r="G1466" s="22">
        <v>44</v>
      </c>
      <c r="H1466" s="22">
        <v>3</v>
      </c>
      <c r="I1466" s="22" t="s">
        <v>11</v>
      </c>
      <c r="J1466" s="23"/>
    </row>
    <row r="1467" spans="1:10" hidden="1" outlineLevel="2">
      <c r="A1467" s="20">
        <v>66</v>
      </c>
      <c r="B1467" s="20" t="s">
        <v>1695</v>
      </c>
      <c r="C1467" s="19" t="s">
        <v>1184</v>
      </c>
      <c r="D1467" s="41" t="str">
        <f t="shared" si="45"/>
        <v>電子學-電機二丙</v>
      </c>
      <c r="E1467" s="22" t="s">
        <v>1521</v>
      </c>
      <c r="F1467" s="22" t="s">
        <v>1522</v>
      </c>
      <c r="G1467" s="22">
        <v>55</v>
      </c>
      <c r="H1467" s="22">
        <v>3</v>
      </c>
      <c r="I1467" s="22" t="s">
        <v>11</v>
      </c>
      <c r="J1467" s="23"/>
    </row>
    <row r="1468" spans="1:10" hidden="1" outlineLevel="2">
      <c r="A1468" s="20">
        <v>66</v>
      </c>
      <c r="B1468" s="20" t="s">
        <v>1695</v>
      </c>
      <c r="C1468" s="19" t="s">
        <v>1184</v>
      </c>
      <c r="D1468" s="41" t="str">
        <f t="shared" si="45"/>
        <v>電子學-電機二丙</v>
      </c>
      <c r="E1468" s="22" t="s">
        <v>1706</v>
      </c>
      <c r="F1468" s="22" t="s">
        <v>1707</v>
      </c>
      <c r="G1468" s="22">
        <v>41</v>
      </c>
      <c r="H1468" s="22">
        <v>3</v>
      </c>
      <c r="I1468" s="22" t="s">
        <v>11</v>
      </c>
      <c r="J1468" s="23"/>
    </row>
    <row r="1469" spans="1:10" hidden="1" outlineLevel="2">
      <c r="A1469" s="20">
        <v>66</v>
      </c>
      <c r="B1469" s="20" t="s">
        <v>1695</v>
      </c>
      <c r="C1469" s="19" t="s">
        <v>1184</v>
      </c>
      <c r="D1469" s="41" t="str">
        <f t="shared" si="45"/>
        <v>電子學-電機二丙</v>
      </c>
      <c r="E1469" s="22" t="s">
        <v>1189</v>
      </c>
      <c r="F1469" s="22" t="s">
        <v>1190</v>
      </c>
      <c r="G1469" s="22">
        <v>44</v>
      </c>
      <c r="H1469" s="22">
        <v>3</v>
      </c>
      <c r="I1469" s="22" t="s">
        <v>11</v>
      </c>
      <c r="J1469" s="23"/>
    </row>
    <row r="1470" spans="1:10" hidden="1" outlineLevel="2">
      <c r="A1470" s="20">
        <v>66</v>
      </c>
      <c r="B1470" s="20" t="s">
        <v>1695</v>
      </c>
      <c r="C1470" s="19" t="s">
        <v>1184</v>
      </c>
      <c r="D1470" s="41" t="str">
        <f t="shared" si="45"/>
        <v>電子學-電機二丙</v>
      </c>
      <c r="E1470" s="22" t="s">
        <v>1708</v>
      </c>
      <c r="F1470" s="22" t="s">
        <v>1709</v>
      </c>
      <c r="G1470" s="22">
        <v>55</v>
      </c>
      <c r="H1470" s="22">
        <v>3</v>
      </c>
      <c r="I1470" s="22" t="s">
        <v>11</v>
      </c>
      <c r="J1470" s="23"/>
    </row>
    <row r="1471" spans="1:10" hidden="1" outlineLevel="2">
      <c r="A1471" s="20">
        <v>66</v>
      </c>
      <c r="B1471" s="20" t="s">
        <v>1695</v>
      </c>
      <c r="C1471" s="19" t="s">
        <v>1184</v>
      </c>
      <c r="D1471" s="41" t="str">
        <f t="shared" si="45"/>
        <v>電子學-電機二丙</v>
      </c>
      <c r="E1471" s="22" t="s">
        <v>1710</v>
      </c>
      <c r="F1471" s="22" t="s">
        <v>1711</v>
      </c>
      <c r="G1471" s="22">
        <v>58</v>
      </c>
      <c r="H1471" s="22">
        <v>3</v>
      </c>
      <c r="I1471" s="22" t="s">
        <v>11</v>
      </c>
      <c r="J1471" s="23"/>
    </row>
    <row r="1472" spans="1:10" hidden="1" outlineLevel="2">
      <c r="A1472" s="20">
        <v>66</v>
      </c>
      <c r="B1472" s="20" t="s">
        <v>1695</v>
      </c>
      <c r="C1472" s="19" t="s">
        <v>1184</v>
      </c>
      <c r="D1472" s="41" t="str">
        <f t="shared" si="45"/>
        <v>電子學-電機二丙</v>
      </c>
      <c r="E1472" s="22" t="s">
        <v>1712</v>
      </c>
      <c r="F1472" s="22" t="s">
        <v>1713</v>
      </c>
      <c r="G1472" s="22">
        <v>50</v>
      </c>
      <c r="H1472" s="22">
        <v>3</v>
      </c>
      <c r="I1472" s="22" t="s">
        <v>11</v>
      </c>
      <c r="J1472" s="23"/>
    </row>
    <row r="1473" spans="1:10" hidden="1" outlineLevel="2">
      <c r="A1473" s="20">
        <v>66</v>
      </c>
      <c r="B1473" s="20" t="s">
        <v>1695</v>
      </c>
      <c r="C1473" s="19" t="s">
        <v>1184</v>
      </c>
      <c r="D1473" s="41" t="str">
        <f t="shared" si="45"/>
        <v>電子學-電機二丙</v>
      </c>
      <c r="E1473" s="22" t="s">
        <v>1714</v>
      </c>
      <c r="F1473" s="22" t="s">
        <v>1715</v>
      </c>
      <c r="G1473" s="22">
        <v>49</v>
      </c>
      <c r="H1473" s="22">
        <v>3</v>
      </c>
      <c r="I1473" s="22" t="s">
        <v>11</v>
      </c>
      <c r="J1473" s="23"/>
    </row>
    <row r="1474" spans="1:10" hidden="1" outlineLevel="2">
      <c r="A1474" s="20">
        <v>66</v>
      </c>
      <c r="B1474" s="20" t="s">
        <v>1695</v>
      </c>
      <c r="C1474" s="19" t="s">
        <v>1184</v>
      </c>
      <c r="D1474" s="41" t="str">
        <f t="shared" si="45"/>
        <v>電子學-電機二丙</v>
      </c>
      <c r="E1474" s="22" t="s">
        <v>1716</v>
      </c>
      <c r="F1474" s="22" t="s">
        <v>1717</v>
      </c>
      <c r="G1474" s="22">
        <v>50</v>
      </c>
      <c r="H1474" s="22">
        <v>3</v>
      </c>
      <c r="I1474" s="22" t="s">
        <v>11</v>
      </c>
      <c r="J1474" s="23"/>
    </row>
    <row r="1475" spans="1:10" hidden="1" outlineLevel="2">
      <c r="A1475" s="20">
        <v>66</v>
      </c>
      <c r="B1475" s="20" t="s">
        <v>1695</v>
      </c>
      <c r="C1475" s="19" t="s">
        <v>1184</v>
      </c>
      <c r="D1475" s="41" t="str">
        <f t="shared" si="45"/>
        <v>電子學-電機二丙</v>
      </c>
      <c r="E1475" s="22" t="s">
        <v>1393</v>
      </c>
      <c r="F1475" s="22" t="s">
        <v>1394</v>
      </c>
      <c r="G1475" s="22">
        <v>48</v>
      </c>
      <c r="H1475" s="22">
        <v>3</v>
      </c>
      <c r="I1475" s="22" t="s">
        <v>11</v>
      </c>
      <c r="J1475" s="23"/>
    </row>
    <row r="1476" spans="1:10" outlineLevel="1" collapsed="1">
      <c r="D1476" s="51" t="s">
        <v>1914</v>
      </c>
      <c r="E1476" s="22">
        <f>SUBTOTAL(3,E1464:E1475)</f>
        <v>12</v>
      </c>
      <c r="F1476" s="22"/>
      <c r="G1476" s="22"/>
      <c r="H1476" s="22"/>
      <c r="I1476" s="22">
        <f>SUBTOTAL(3,I1464:I1475)</f>
        <v>12</v>
      </c>
      <c r="J1476" s="23"/>
    </row>
    <row r="1477" spans="1:10" hidden="1" outlineLevel="2">
      <c r="A1477" s="20">
        <v>66</v>
      </c>
      <c r="B1477" s="20" t="s">
        <v>1695</v>
      </c>
      <c r="C1477" s="19" t="s">
        <v>1054</v>
      </c>
      <c r="D1477" s="41" t="str">
        <f t="shared" ref="D1477:D1490" si="46">B1477&amp;"-"&amp;C1477</f>
        <v>電子學-電機二甲</v>
      </c>
      <c r="E1477" s="22" t="s">
        <v>1483</v>
      </c>
      <c r="F1477" s="22" t="s">
        <v>1484</v>
      </c>
      <c r="G1477" s="22">
        <v>40</v>
      </c>
      <c r="H1477" s="22">
        <v>3</v>
      </c>
      <c r="I1477" s="22" t="s">
        <v>11</v>
      </c>
      <c r="J1477" s="23"/>
    </row>
    <row r="1478" spans="1:10" hidden="1" outlineLevel="2">
      <c r="A1478" s="20">
        <v>66</v>
      </c>
      <c r="B1478" s="20" t="s">
        <v>1695</v>
      </c>
      <c r="C1478" s="19" t="s">
        <v>1054</v>
      </c>
      <c r="D1478" s="41" t="str">
        <f t="shared" si="46"/>
        <v>電子學-電機二甲</v>
      </c>
      <c r="E1478" s="22" t="s">
        <v>1718</v>
      </c>
      <c r="F1478" s="22" t="s">
        <v>1719</v>
      </c>
      <c r="G1478" s="22">
        <v>40</v>
      </c>
      <c r="H1478" s="22">
        <v>3</v>
      </c>
      <c r="I1478" s="22" t="s">
        <v>11</v>
      </c>
      <c r="J1478" s="23"/>
    </row>
    <row r="1479" spans="1:10" hidden="1" outlineLevel="2">
      <c r="A1479" s="20">
        <v>66</v>
      </c>
      <c r="B1479" s="20" t="s">
        <v>1695</v>
      </c>
      <c r="C1479" s="19" t="s">
        <v>1054</v>
      </c>
      <c r="D1479" s="41" t="str">
        <f t="shared" si="46"/>
        <v>電子學-電機二甲</v>
      </c>
      <c r="E1479" s="22" t="s">
        <v>1369</v>
      </c>
      <c r="F1479" s="22" t="s">
        <v>1370</v>
      </c>
      <c r="G1479" s="22">
        <v>58</v>
      </c>
      <c r="H1479" s="22">
        <v>3</v>
      </c>
      <c r="I1479" s="22" t="s">
        <v>11</v>
      </c>
      <c r="J1479" s="23"/>
    </row>
    <row r="1480" spans="1:10" hidden="1" outlineLevel="2">
      <c r="A1480" s="20">
        <v>66</v>
      </c>
      <c r="B1480" s="20" t="s">
        <v>1695</v>
      </c>
      <c r="C1480" s="19" t="s">
        <v>1054</v>
      </c>
      <c r="D1480" s="41" t="str">
        <f t="shared" si="46"/>
        <v>電子學-電機二甲</v>
      </c>
      <c r="E1480" s="22" t="s">
        <v>1371</v>
      </c>
      <c r="F1480" s="22" t="s">
        <v>1372</v>
      </c>
      <c r="G1480" s="22">
        <v>41</v>
      </c>
      <c r="H1480" s="22">
        <v>3</v>
      </c>
      <c r="I1480" s="22" t="s">
        <v>11</v>
      </c>
      <c r="J1480" s="23"/>
    </row>
    <row r="1481" spans="1:10" hidden="1" outlineLevel="2">
      <c r="A1481" s="20">
        <v>66</v>
      </c>
      <c r="B1481" s="20" t="s">
        <v>1695</v>
      </c>
      <c r="C1481" s="19" t="s">
        <v>1054</v>
      </c>
      <c r="D1481" s="41" t="str">
        <f t="shared" si="46"/>
        <v>電子學-電機二甲</v>
      </c>
      <c r="E1481" s="22" t="s">
        <v>1720</v>
      </c>
      <c r="F1481" s="22" t="s">
        <v>1600</v>
      </c>
      <c r="G1481" s="22">
        <v>56</v>
      </c>
      <c r="H1481" s="22">
        <v>3</v>
      </c>
      <c r="I1481" s="22" t="s">
        <v>11</v>
      </c>
      <c r="J1481" s="23"/>
    </row>
    <row r="1482" spans="1:10" hidden="1" outlineLevel="2">
      <c r="A1482" s="20">
        <v>66</v>
      </c>
      <c r="B1482" s="20" t="s">
        <v>1695</v>
      </c>
      <c r="C1482" s="19" t="s">
        <v>1054</v>
      </c>
      <c r="D1482" s="41" t="str">
        <f t="shared" si="46"/>
        <v>電子學-電機二甲</v>
      </c>
      <c r="E1482" s="22" t="s">
        <v>1375</v>
      </c>
      <c r="F1482" s="22" t="s">
        <v>1376</v>
      </c>
      <c r="G1482" s="22">
        <v>53</v>
      </c>
      <c r="H1482" s="22">
        <v>3</v>
      </c>
      <c r="I1482" s="22" t="s">
        <v>11</v>
      </c>
      <c r="J1482" s="23"/>
    </row>
    <row r="1483" spans="1:10" hidden="1" outlineLevel="2">
      <c r="A1483" s="20">
        <v>66</v>
      </c>
      <c r="B1483" s="20" t="s">
        <v>1695</v>
      </c>
      <c r="C1483" s="19" t="s">
        <v>1054</v>
      </c>
      <c r="D1483" s="41" t="str">
        <f t="shared" si="46"/>
        <v>電子學-電機二甲</v>
      </c>
      <c r="E1483" s="22" t="s">
        <v>1721</v>
      </c>
      <c r="F1483" s="22" t="s">
        <v>1722</v>
      </c>
      <c r="G1483" s="22">
        <v>47</v>
      </c>
      <c r="H1483" s="22">
        <v>3</v>
      </c>
      <c r="I1483" s="22" t="s">
        <v>11</v>
      </c>
      <c r="J1483" s="23"/>
    </row>
    <row r="1484" spans="1:10" hidden="1" outlineLevel="2">
      <c r="A1484" s="20">
        <v>66</v>
      </c>
      <c r="B1484" s="20" t="s">
        <v>1695</v>
      </c>
      <c r="C1484" s="19" t="s">
        <v>1054</v>
      </c>
      <c r="D1484" s="41" t="str">
        <f t="shared" si="46"/>
        <v>電子學-電機二甲</v>
      </c>
      <c r="E1484" s="22" t="s">
        <v>1377</v>
      </c>
      <c r="F1484" s="22" t="s">
        <v>1378</v>
      </c>
      <c r="G1484" s="22">
        <v>56</v>
      </c>
      <c r="H1484" s="22">
        <v>3</v>
      </c>
      <c r="I1484" s="22" t="s">
        <v>11</v>
      </c>
      <c r="J1484" s="23"/>
    </row>
    <row r="1485" spans="1:10" hidden="1" outlineLevel="2">
      <c r="A1485" s="20">
        <v>66</v>
      </c>
      <c r="B1485" s="20" t="s">
        <v>1695</v>
      </c>
      <c r="C1485" s="19" t="s">
        <v>1054</v>
      </c>
      <c r="D1485" s="41" t="str">
        <f t="shared" si="46"/>
        <v>電子學-電機二甲</v>
      </c>
      <c r="E1485" s="22" t="s">
        <v>1057</v>
      </c>
      <c r="F1485" s="22" t="s">
        <v>1058</v>
      </c>
      <c r="G1485" s="22">
        <v>51</v>
      </c>
      <c r="H1485" s="22">
        <v>3</v>
      </c>
      <c r="I1485" s="22" t="s">
        <v>11</v>
      </c>
      <c r="J1485" s="23"/>
    </row>
    <row r="1486" spans="1:10" hidden="1" outlineLevel="2">
      <c r="A1486" s="20">
        <v>66</v>
      </c>
      <c r="B1486" s="20" t="s">
        <v>1695</v>
      </c>
      <c r="C1486" s="19" t="s">
        <v>1054</v>
      </c>
      <c r="D1486" s="41" t="str">
        <f t="shared" si="46"/>
        <v>電子學-電機二甲</v>
      </c>
      <c r="E1486" s="22" t="s">
        <v>1723</v>
      </c>
      <c r="F1486" s="22" t="s">
        <v>1724</v>
      </c>
      <c r="G1486" s="22">
        <v>41</v>
      </c>
      <c r="H1486" s="22">
        <v>3</v>
      </c>
      <c r="I1486" s="22" t="s">
        <v>11</v>
      </c>
      <c r="J1486" s="23"/>
    </row>
    <row r="1487" spans="1:10" hidden="1" outlineLevel="2">
      <c r="A1487" s="20">
        <v>66</v>
      </c>
      <c r="B1487" s="20" t="s">
        <v>1695</v>
      </c>
      <c r="C1487" s="19" t="s">
        <v>1054</v>
      </c>
      <c r="D1487" s="41" t="str">
        <f t="shared" si="46"/>
        <v>電子學-電機二甲</v>
      </c>
      <c r="E1487" s="22" t="s">
        <v>1381</v>
      </c>
      <c r="F1487" s="22" t="s">
        <v>1382</v>
      </c>
      <c r="G1487" s="22">
        <v>46</v>
      </c>
      <c r="H1487" s="22">
        <v>3</v>
      </c>
      <c r="I1487" s="22" t="s">
        <v>11</v>
      </c>
      <c r="J1487" s="23"/>
    </row>
    <row r="1488" spans="1:10" hidden="1" outlineLevel="2">
      <c r="A1488" s="20">
        <v>66</v>
      </c>
      <c r="B1488" s="20" t="s">
        <v>1695</v>
      </c>
      <c r="C1488" s="19" t="s">
        <v>1054</v>
      </c>
      <c r="D1488" s="41" t="str">
        <f t="shared" si="46"/>
        <v>電子學-電機二甲</v>
      </c>
      <c r="E1488" s="22" t="s">
        <v>1725</v>
      </c>
      <c r="F1488" s="22" t="s">
        <v>1726</v>
      </c>
      <c r="G1488" s="22">
        <v>45</v>
      </c>
      <c r="H1488" s="22">
        <v>3</v>
      </c>
      <c r="I1488" s="22" t="s">
        <v>11</v>
      </c>
      <c r="J1488" s="23"/>
    </row>
    <row r="1489" spans="1:10" hidden="1" outlineLevel="2">
      <c r="A1489" s="20">
        <v>66</v>
      </c>
      <c r="B1489" s="20" t="s">
        <v>1695</v>
      </c>
      <c r="C1489" s="19" t="s">
        <v>1054</v>
      </c>
      <c r="D1489" s="41" t="str">
        <f t="shared" si="46"/>
        <v>電子學-電機二甲</v>
      </c>
      <c r="E1489" s="22" t="s">
        <v>1383</v>
      </c>
      <c r="F1489" s="22" t="s">
        <v>1384</v>
      </c>
      <c r="G1489" s="22">
        <v>51</v>
      </c>
      <c r="H1489" s="22">
        <v>3</v>
      </c>
      <c r="I1489" s="22" t="s">
        <v>11</v>
      </c>
      <c r="J1489" s="23"/>
    </row>
    <row r="1490" spans="1:10" hidden="1" outlineLevel="2">
      <c r="A1490" s="20">
        <v>66</v>
      </c>
      <c r="B1490" s="20" t="s">
        <v>1695</v>
      </c>
      <c r="C1490" s="19" t="s">
        <v>1054</v>
      </c>
      <c r="D1490" s="41" t="str">
        <f t="shared" si="46"/>
        <v>電子學-電機二甲</v>
      </c>
      <c r="E1490" s="22" t="s">
        <v>1459</v>
      </c>
      <c r="F1490" s="22" t="s">
        <v>1460</v>
      </c>
      <c r="G1490" s="22">
        <v>49</v>
      </c>
      <c r="H1490" s="22">
        <v>3</v>
      </c>
      <c r="I1490" s="22" t="s">
        <v>11</v>
      </c>
      <c r="J1490" s="23"/>
    </row>
    <row r="1491" spans="1:10" outlineLevel="1" collapsed="1">
      <c r="D1491" s="51" t="s">
        <v>1915</v>
      </c>
      <c r="E1491" s="22">
        <f>SUBTOTAL(3,E1477:E1490)</f>
        <v>14</v>
      </c>
      <c r="F1491" s="22"/>
      <c r="G1491" s="22"/>
      <c r="H1491" s="22"/>
      <c r="I1491" s="22">
        <f>SUBTOTAL(3,I1477:I1490)</f>
        <v>14</v>
      </c>
      <c r="J1491" s="23"/>
    </row>
    <row r="1492" spans="1:10" hidden="1" outlineLevel="2">
      <c r="A1492" s="20">
        <v>66</v>
      </c>
      <c r="B1492" s="20" t="s">
        <v>1727</v>
      </c>
      <c r="C1492" s="19" t="s">
        <v>1200</v>
      </c>
      <c r="D1492" s="41" t="str">
        <f t="shared" ref="D1492:D1497" si="47">B1492&amp;"-"&amp;C1492</f>
        <v>電工機械-電機二乙</v>
      </c>
      <c r="E1492" s="22" t="s">
        <v>1595</v>
      </c>
      <c r="F1492" s="22" t="s">
        <v>1596</v>
      </c>
      <c r="G1492" s="22">
        <v>44</v>
      </c>
      <c r="H1492" s="22">
        <v>3</v>
      </c>
      <c r="I1492" s="22" t="s">
        <v>11</v>
      </c>
      <c r="J1492" s="23"/>
    </row>
    <row r="1493" spans="1:10" hidden="1" outlineLevel="2">
      <c r="A1493" s="20">
        <v>66</v>
      </c>
      <c r="B1493" s="20" t="s">
        <v>1727</v>
      </c>
      <c r="C1493" s="19" t="s">
        <v>1200</v>
      </c>
      <c r="D1493" s="41" t="str">
        <f t="shared" si="47"/>
        <v>電工機械-電機二乙</v>
      </c>
      <c r="E1493" s="22" t="s">
        <v>1205</v>
      </c>
      <c r="F1493" s="22" t="s">
        <v>1206</v>
      </c>
      <c r="G1493" s="22">
        <v>54</v>
      </c>
      <c r="H1493" s="22">
        <v>3</v>
      </c>
      <c r="I1493" s="22" t="s">
        <v>11</v>
      </c>
      <c r="J1493" s="23"/>
    </row>
    <row r="1494" spans="1:10" hidden="1" outlineLevel="2">
      <c r="A1494" s="20">
        <v>66</v>
      </c>
      <c r="B1494" s="20" t="s">
        <v>1727</v>
      </c>
      <c r="C1494" s="19" t="s">
        <v>1200</v>
      </c>
      <c r="D1494" s="41" t="str">
        <f t="shared" si="47"/>
        <v>電工機械-電機二乙</v>
      </c>
      <c r="E1494" s="22" t="s">
        <v>1207</v>
      </c>
      <c r="F1494" s="22" t="s">
        <v>1208</v>
      </c>
      <c r="G1494" s="22">
        <v>50</v>
      </c>
      <c r="H1494" s="22">
        <v>3</v>
      </c>
      <c r="I1494" s="22" t="s">
        <v>11</v>
      </c>
      <c r="J1494" s="23"/>
    </row>
    <row r="1495" spans="1:10" hidden="1" outlineLevel="2">
      <c r="A1495" s="20">
        <v>66</v>
      </c>
      <c r="B1495" s="20" t="s">
        <v>1727</v>
      </c>
      <c r="C1495" s="19" t="s">
        <v>1200</v>
      </c>
      <c r="D1495" s="41" t="str">
        <f t="shared" si="47"/>
        <v>電工機械-電機二乙</v>
      </c>
      <c r="E1495" s="22" t="s">
        <v>1728</v>
      </c>
      <c r="F1495" s="22" t="s">
        <v>1729</v>
      </c>
      <c r="G1495" s="22">
        <v>53</v>
      </c>
      <c r="H1495" s="22">
        <v>3</v>
      </c>
      <c r="I1495" s="22" t="s">
        <v>11</v>
      </c>
      <c r="J1495" s="23"/>
    </row>
    <row r="1496" spans="1:10" hidden="1" outlineLevel="2">
      <c r="A1496" s="20">
        <v>66</v>
      </c>
      <c r="B1496" s="20" t="s">
        <v>1727</v>
      </c>
      <c r="C1496" s="19" t="s">
        <v>1200</v>
      </c>
      <c r="D1496" s="41" t="str">
        <f t="shared" si="47"/>
        <v>電工機械-電機二乙</v>
      </c>
      <c r="E1496" s="22" t="s">
        <v>1301</v>
      </c>
      <c r="F1496" s="22" t="s">
        <v>1302</v>
      </c>
      <c r="G1496" s="22">
        <v>52</v>
      </c>
      <c r="H1496" s="22">
        <v>3</v>
      </c>
      <c r="I1496" s="22" t="s">
        <v>11</v>
      </c>
      <c r="J1496" s="23"/>
    </row>
    <row r="1497" spans="1:10" hidden="1" outlineLevel="2">
      <c r="A1497" s="20">
        <v>66</v>
      </c>
      <c r="B1497" s="20" t="s">
        <v>1727</v>
      </c>
      <c r="C1497" s="19" t="s">
        <v>1200</v>
      </c>
      <c r="D1497" s="41" t="str">
        <f t="shared" si="47"/>
        <v>電工機械-電機二乙</v>
      </c>
      <c r="E1497" s="22" t="s">
        <v>1730</v>
      </c>
      <c r="F1497" s="22" t="s">
        <v>1731</v>
      </c>
      <c r="G1497" s="22">
        <v>50</v>
      </c>
      <c r="H1497" s="22">
        <v>3</v>
      </c>
      <c r="I1497" s="22" t="s">
        <v>11</v>
      </c>
      <c r="J1497" s="23"/>
    </row>
    <row r="1498" spans="1:10" outlineLevel="1" collapsed="1">
      <c r="D1498" s="51" t="s">
        <v>1916</v>
      </c>
      <c r="E1498" s="22">
        <f>SUBTOTAL(3,E1492:E1497)</f>
        <v>6</v>
      </c>
      <c r="F1498" s="22"/>
      <c r="G1498" s="22"/>
      <c r="H1498" s="22"/>
      <c r="I1498" s="22">
        <f>SUBTOTAL(3,I1492:I1497)</f>
        <v>6</v>
      </c>
      <c r="J1498" s="23">
        <f>E1498+E1491+E1476+E1463</f>
        <v>38</v>
      </c>
    </row>
    <row r="1499" spans="1:10" hidden="1" outlineLevel="2">
      <c r="A1499" s="20">
        <v>66</v>
      </c>
      <c r="B1499" s="20" t="s">
        <v>1727</v>
      </c>
      <c r="C1499" s="19" t="s">
        <v>1184</v>
      </c>
      <c r="D1499" s="41" t="str">
        <f t="shared" ref="D1499:D1509" si="48">B1499&amp;"-"&amp;C1499</f>
        <v>電工機械-電機二丙</v>
      </c>
      <c r="E1499" s="22" t="s">
        <v>1570</v>
      </c>
      <c r="F1499" s="22" t="s">
        <v>1571</v>
      </c>
      <c r="G1499" s="22">
        <v>40</v>
      </c>
      <c r="H1499" s="22">
        <v>3</v>
      </c>
      <c r="I1499" s="22" t="s">
        <v>11</v>
      </c>
      <c r="J1499" s="23"/>
    </row>
    <row r="1500" spans="1:10" hidden="1" outlineLevel="2">
      <c r="A1500" s="20">
        <v>66</v>
      </c>
      <c r="B1500" s="20" t="s">
        <v>1727</v>
      </c>
      <c r="C1500" s="19" t="s">
        <v>1184</v>
      </c>
      <c r="D1500" s="41" t="str">
        <f t="shared" si="48"/>
        <v>電工機械-電機二丙</v>
      </c>
      <c r="E1500" s="22" t="s">
        <v>1387</v>
      </c>
      <c r="F1500" s="22" t="s">
        <v>1388</v>
      </c>
      <c r="G1500" s="22">
        <v>48</v>
      </c>
      <c r="H1500" s="22">
        <v>3</v>
      </c>
      <c r="I1500" s="22" t="s">
        <v>11</v>
      </c>
      <c r="J1500" s="23"/>
    </row>
    <row r="1501" spans="1:10" hidden="1" outlineLevel="2">
      <c r="A1501" s="20">
        <v>66</v>
      </c>
      <c r="B1501" s="20" t="s">
        <v>1727</v>
      </c>
      <c r="C1501" s="19" t="s">
        <v>1184</v>
      </c>
      <c r="D1501" s="41" t="str">
        <f t="shared" si="48"/>
        <v>電工機械-電機二丙</v>
      </c>
      <c r="E1501" s="22" t="s">
        <v>1389</v>
      </c>
      <c r="F1501" s="22" t="s">
        <v>1390</v>
      </c>
      <c r="G1501" s="22">
        <v>48</v>
      </c>
      <c r="H1501" s="22">
        <v>3</v>
      </c>
      <c r="I1501" s="22" t="s">
        <v>11</v>
      </c>
      <c r="J1501" s="23"/>
    </row>
    <row r="1502" spans="1:10" hidden="1" outlineLevel="2">
      <c r="A1502" s="20">
        <v>66</v>
      </c>
      <c r="B1502" s="20" t="s">
        <v>1727</v>
      </c>
      <c r="C1502" s="19" t="s">
        <v>1184</v>
      </c>
      <c r="D1502" s="41" t="str">
        <f t="shared" si="48"/>
        <v>電工機械-電機二丙</v>
      </c>
      <c r="E1502" s="22" t="s">
        <v>1517</v>
      </c>
      <c r="F1502" s="22" t="s">
        <v>1518</v>
      </c>
      <c r="G1502" s="22">
        <v>40</v>
      </c>
      <c r="H1502" s="22">
        <v>3</v>
      </c>
      <c r="I1502" s="22" t="s">
        <v>11</v>
      </c>
      <c r="J1502" s="23"/>
    </row>
    <row r="1503" spans="1:10" hidden="1" outlineLevel="2">
      <c r="A1503" s="20">
        <v>66</v>
      </c>
      <c r="B1503" s="20" t="s">
        <v>1727</v>
      </c>
      <c r="C1503" s="19" t="s">
        <v>1184</v>
      </c>
      <c r="D1503" s="41" t="str">
        <f t="shared" si="48"/>
        <v>電工機械-電機二丙</v>
      </c>
      <c r="E1503" s="22" t="s">
        <v>1519</v>
      </c>
      <c r="F1503" s="22" t="s">
        <v>1520</v>
      </c>
      <c r="G1503" s="22">
        <v>46</v>
      </c>
      <c r="H1503" s="22">
        <v>3</v>
      </c>
      <c r="I1503" s="22" t="s">
        <v>11</v>
      </c>
      <c r="J1503" s="23"/>
    </row>
    <row r="1504" spans="1:10" hidden="1" outlineLevel="2">
      <c r="A1504" s="20">
        <v>66</v>
      </c>
      <c r="B1504" s="20" t="s">
        <v>1727</v>
      </c>
      <c r="C1504" s="19" t="s">
        <v>1184</v>
      </c>
      <c r="D1504" s="41" t="str">
        <f t="shared" si="48"/>
        <v>電工機械-電機二丙</v>
      </c>
      <c r="E1504" s="22" t="s">
        <v>1185</v>
      </c>
      <c r="F1504" s="22" t="s">
        <v>1186</v>
      </c>
      <c r="G1504" s="22">
        <v>52</v>
      </c>
      <c r="H1504" s="22">
        <v>3</v>
      </c>
      <c r="I1504" s="22" t="s">
        <v>11</v>
      </c>
      <c r="J1504" s="23"/>
    </row>
    <row r="1505" spans="1:10" hidden="1" outlineLevel="2">
      <c r="A1505" s="20">
        <v>66</v>
      </c>
      <c r="B1505" s="20" t="s">
        <v>1727</v>
      </c>
      <c r="C1505" s="19" t="s">
        <v>1184</v>
      </c>
      <c r="D1505" s="41" t="str">
        <f t="shared" si="48"/>
        <v>電工機械-電機二丙</v>
      </c>
      <c r="E1505" s="22" t="s">
        <v>1521</v>
      </c>
      <c r="F1505" s="22" t="s">
        <v>1522</v>
      </c>
      <c r="G1505" s="22">
        <v>47</v>
      </c>
      <c r="H1505" s="22">
        <v>3</v>
      </c>
      <c r="I1505" s="22" t="s">
        <v>11</v>
      </c>
      <c r="J1505" s="23"/>
    </row>
    <row r="1506" spans="1:10" hidden="1" outlineLevel="2">
      <c r="A1506" s="20">
        <v>66</v>
      </c>
      <c r="B1506" s="20" t="s">
        <v>1727</v>
      </c>
      <c r="C1506" s="19" t="s">
        <v>1184</v>
      </c>
      <c r="D1506" s="41" t="str">
        <f t="shared" si="48"/>
        <v>電工機械-電機二丙</v>
      </c>
      <c r="E1506" s="22" t="s">
        <v>1391</v>
      </c>
      <c r="F1506" s="22" t="s">
        <v>1392</v>
      </c>
      <c r="G1506" s="22">
        <v>40</v>
      </c>
      <c r="H1506" s="22">
        <v>3</v>
      </c>
      <c r="I1506" s="22" t="s">
        <v>11</v>
      </c>
      <c r="J1506" s="23"/>
    </row>
    <row r="1507" spans="1:10" hidden="1" outlineLevel="2">
      <c r="A1507" s="20">
        <v>66</v>
      </c>
      <c r="B1507" s="20" t="s">
        <v>1727</v>
      </c>
      <c r="C1507" s="19" t="s">
        <v>1184</v>
      </c>
      <c r="D1507" s="41" t="str">
        <f t="shared" si="48"/>
        <v>電工機械-電機二丙</v>
      </c>
      <c r="E1507" s="22" t="s">
        <v>1732</v>
      </c>
      <c r="F1507" s="22" t="s">
        <v>1733</v>
      </c>
      <c r="G1507" s="22">
        <v>49</v>
      </c>
      <c r="H1507" s="22">
        <v>3</v>
      </c>
      <c r="I1507" s="22" t="s">
        <v>11</v>
      </c>
      <c r="J1507" s="23"/>
    </row>
    <row r="1508" spans="1:10" hidden="1" outlineLevel="2">
      <c r="A1508" s="20">
        <v>66</v>
      </c>
      <c r="B1508" s="20" t="s">
        <v>1727</v>
      </c>
      <c r="C1508" s="19" t="s">
        <v>1184</v>
      </c>
      <c r="D1508" s="41" t="str">
        <f t="shared" si="48"/>
        <v>電工機械-電機二丙</v>
      </c>
      <c r="E1508" s="22" t="s">
        <v>1523</v>
      </c>
      <c r="F1508" s="22" t="s">
        <v>1524</v>
      </c>
      <c r="G1508" s="22">
        <v>40</v>
      </c>
      <c r="H1508" s="22">
        <v>3</v>
      </c>
      <c r="I1508" s="22" t="s">
        <v>11</v>
      </c>
      <c r="J1508" s="23"/>
    </row>
    <row r="1509" spans="1:10" hidden="1" outlineLevel="2">
      <c r="A1509" s="20">
        <v>66</v>
      </c>
      <c r="B1509" s="20" t="s">
        <v>1727</v>
      </c>
      <c r="C1509" s="19" t="s">
        <v>1184</v>
      </c>
      <c r="D1509" s="41" t="str">
        <f t="shared" si="48"/>
        <v>電工機械-電機二丙</v>
      </c>
      <c r="E1509" s="22" t="s">
        <v>1461</v>
      </c>
      <c r="F1509" s="22" t="s">
        <v>1462</v>
      </c>
      <c r="G1509" s="22">
        <v>50</v>
      </c>
      <c r="H1509" s="22">
        <v>3</v>
      </c>
      <c r="I1509" s="22" t="s">
        <v>11</v>
      </c>
      <c r="J1509" s="23"/>
    </row>
    <row r="1510" spans="1:10" outlineLevel="1" collapsed="1">
      <c r="D1510" s="51" t="s">
        <v>1917</v>
      </c>
      <c r="E1510" s="22">
        <f>SUBTOTAL(3,E1499:E1509)</f>
        <v>11</v>
      </c>
      <c r="F1510" s="22"/>
      <c r="G1510" s="22"/>
      <c r="H1510" s="22"/>
      <c r="I1510" s="22">
        <f>SUBTOTAL(3,I1499:I1509)</f>
        <v>11</v>
      </c>
      <c r="J1510" s="23"/>
    </row>
    <row r="1511" spans="1:10" hidden="1" outlineLevel="2">
      <c r="A1511" s="20">
        <v>66</v>
      </c>
      <c r="B1511" s="20" t="s">
        <v>1727</v>
      </c>
      <c r="C1511" s="19" t="s">
        <v>1054</v>
      </c>
      <c r="D1511" s="41" t="str">
        <f t="shared" ref="D1511:D1516" si="49">B1511&amp;"-"&amp;C1511</f>
        <v>電工機械-電機二甲</v>
      </c>
      <c r="E1511" s="22" t="s">
        <v>1483</v>
      </c>
      <c r="F1511" s="22" t="s">
        <v>1484</v>
      </c>
      <c r="G1511" s="22">
        <v>40</v>
      </c>
      <c r="H1511" s="22">
        <v>3</v>
      </c>
      <c r="I1511" s="22" t="s">
        <v>11</v>
      </c>
      <c r="J1511" s="23"/>
    </row>
    <row r="1512" spans="1:10" hidden="1" outlineLevel="2">
      <c r="A1512" s="20">
        <v>66</v>
      </c>
      <c r="B1512" s="20" t="s">
        <v>1727</v>
      </c>
      <c r="C1512" s="19" t="s">
        <v>1054</v>
      </c>
      <c r="D1512" s="41" t="str">
        <f t="shared" si="49"/>
        <v>電工機械-電機二甲</v>
      </c>
      <c r="E1512" s="22" t="s">
        <v>1375</v>
      </c>
      <c r="F1512" s="22" t="s">
        <v>1376</v>
      </c>
      <c r="G1512" s="22">
        <v>50</v>
      </c>
      <c r="H1512" s="22">
        <v>3</v>
      </c>
      <c r="I1512" s="22" t="s">
        <v>11</v>
      </c>
      <c r="J1512" s="23"/>
    </row>
    <row r="1513" spans="1:10" hidden="1" outlineLevel="2">
      <c r="A1513" s="20">
        <v>66</v>
      </c>
      <c r="B1513" s="20" t="s">
        <v>1727</v>
      </c>
      <c r="C1513" s="19" t="s">
        <v>1054</v>
      </c>
      <c r="D1513" s="41" t="str">
        <f t="shared" si="49"/>
        <v>電工機械-電機二甲</v>
      </c>
      <c r="E1513" s="22" t="s">
        <v>1593</v>
      </c>
      <c r="F1513" s="22" t="s">
        <v>1594</v>
      </c>
      <c r="G1513" s="22">
        <v>46</v>
      </c>
      <c r="H1513" s="22">
        <v>3</v>
      </c>
      <c r="I1513" s="22" t="s">
        <v>11</v>
      </c>
      <c r="J1513" s="23"/>
    </row>
    <row r="1514" spans="1:10" hidden="1" outlineLevel="2">
      <c r="A1514" s="20">
        <v>66</v>
      </c>
      <c r="B1514" s="20" t="s">
        <v>1727</v>
      </c>
      <c r="C1514" s="19" t="s">
        <v>1054</v>
      </c>
      <c r="D1514" s="41" t="str">
        <f t="shared" si="49"/>
        <v>電工機械-電機二甲</v>
      </c>
      <c r="E1514" s="22" t="s">
        <v>1379</v>
      </c>
      <c r="F1514" s="22" t="s">
        <v>1380</v>
      </c>
      <c r="G1514" s="22">
        <v>40</v>
      </c>
      <c r="H1514" s="22">
        <v>3</v>
      </c>
      <c r="I1514" s="22" t="s">
        <v>11</v>
      </c>
      <c r="J1514" s="23"/>
    </row>
    <row r="1515" spans="1:10" hidden="1" outlineLevel="2">
      <c r="A1515" s="20">
        <v>66</v>
      </c>
      <c r="B1515" s="20" t="s">
        <v>1727</v>
      </c>
      <c r="C1515" s="19" t="s">
        <v>1054</v>
      </c>
      <c r="D1515" s="41" t="str">
        <f t="shared" si="49"/>
        <v>電工機械-電機二甲</v>
      </c>
      <c r="E1515" s="22" t="s">
        <v>1459</v>
      </c>
      <c r="F1515" s="22" t="s">
        <v>1460</v>
      </c>
      <c r="G1515" s="22">
        <v>55</v>
      </c>
      <c r="H1515" s="22">
        <v>3</v>
      </c>
      <c r="I1515" s="22" t="s">
        <v>11</v>
      </c>
      <c r="J1515" s="23"/>
    </row>
    <row r="1516" spans="1:10" hidden="1" outlineLevel="2">
      <c r="A1516" s="20">
        <v>66</v>
      </c>
      <c r="B1516" s="20" t="s">
        <v>1727</v>
      </c>
      <c r="C1516" s="19" t="s">
        <v>1054</v>
      </c>
      <c r="D1516" s="41" t="str">
        <f t="shared" si="49"/>
        <v>電工機械-電機二甲</v>
      </c>
      <c r="E1516" s="22" t="s">
        <v>1385</v>
      </c>
      <c r="F1516" s="22" t="s">
        <v>1386</v>
      </c>
      <c r="G1516" s="22">
        <v>40</v>
      </c>
      <c r="H1516" s="22">
        <v>3</v>
      </c>
      <c r="I1516" s="22" t="s">
        <v>11</v>
      </c>
      <c r="J1516" s="23"/>
    </row>
    <row r="1517" spans="1:10" outlineLevel="1" collapsed="1">
      <c r="D1517" s="51" t="s">
        <v>1918</v>
      </c>
      <c r="E1517" s="22">
        <f>SUBTOTAL(3,E1511:E1516)</f>
        <v>6</v>
      </c>
      <c r="F1517" s="22"/>
      <c r="G1517" s="22"/>
      <c r="H1517" s="22"/>
      <c r="I1517" s="22">
        <f>SUBTOTAL(3,I1511:I1516)</f>
        <v>6</v>
      </c>
      <c r="J1517" s="23"/>
    </row>
    <row r="1518" spans="1:10" hidden="1" outlineLevel="2">
      <c r="A1518" s="20">
        <v>66</v>
      </c>
      <c r="B1518" s="20" t="s">
        <v>907</v>
      </c>
      <c r="C1518" s="19" t="s">
        <v>158</v>
      </c>
      <c r="D1518" s="41" t="s">
        <v>2059</v>
      </c>
      <c r="E1518" s="22" t="s">
        <v>507</v>
      </c>
      <c r="F1518" s="22" t="s">
        <v>508</v>
      </c>
      <c r="G1518" s="22">
        <v>40</v>
      </c>
      <c r="H1518" s="22">
        <v>2</v>
      </c>
      <c r="I1518" s="22" t="s">
        <v>11</v>
      </c>
      <c r="J1518" s="23"/>
    </row>
    <row r="1519" spans="1:10" hidden="1" outlineLevel="2">
      <c r="A1519" s="20">
        <v>66</v>
      </c>
      <c r="B1519" s="20" t="s">
        <v>907</v>
      </c>
      <c r="C1519" s="19" t="s">
        <v>158</v>
      </c>
      <c r="D1519" s="41" t="s">
        <v>2059</v>
      </c>
      <c r="E1519" s="22" t="s">
        <v>639</v>
      </c>
      <c r="F1519" s="22" t="s">
        <v>640</v>
      </c>
      <c r="G1519" s="22">
        <v>42</v>
      </c>
      <c r="H1519" s="22">
        <v>2</v>
      </c>
      <c r="I1519" s="22" t="s">
        <v>11</v>
      </c>
      <c r="J1519" s="23"/>
    </row>
    <row r="1520" spans="1:10" hidden="1" outlineLevel="2">
      <c r="A1520" s="20">
        <v>66</v>
      </c>
      <c r="B1520" s="20" t="s">
        <v>907</v>
      </c>
      <c r="C1520" s="19" t="s">
        <v>158</v>
      </c>
      <c r="D1520" s="41" t="s">
        <v>2059</v>
      </c>
      <c r="E1520" s="22" t="s">
        <v>161</v>
      </c>
      <c r="F1520" s="22" t="s">
        <v>162</v>
      </c>
      <c r="G1520" s="22">
        <v>40</v>
      </c>
      <c r="H1520" s="22">
        <v>2</v>
      </c>
      <c r="I1520" s="22" t="s">
        <v>11</v>
      </c>
      <c r="J1520" s="23"/>
    </row>
    <row r="1521" spans="1:10" hidden="1" outlineLevel="2">
      <c r="A1521" s="20">
        <v>66</v>
      </c>
      <c r="B1521" s="20" t="s">
        <v>907</v>
      </c>
      <c r="C1521" s="19" t="s">
        <v>158</v>
      </c>
      <c r="D1521" s="41" t="s">
        <v>2059</v>
      </c>
      <c r="E1521" s="22" t="s">
        <v>884</v>
      </c>
      <c r="F1521" s="22" t="s">
        <v>885</v>
      </c>
      <c r="G1521" s="22">
        <v>40</v>
      </c>
      <c r="H1521" s="22">
        <v>2</v>
      </c>
      <c r="I1521" s="22" t="s">
        <v>11</v>
      </c>
      <c r="J1521" s="23"/>
    </row>
    <row r="1522" spans="1:10" hidden="1" outlineLevel="2">
      <c r="A1522" s="20">
        <v>66</v>
      </c>
      <c r="B1522" s="20" t="s">
        <v>907</v>
      </c>
      <c r="C1522" s="19" t="s">
        <v>158</v>
      </c>
      <c r="D1522" s="41" t="s">
        <v>2059</v>
      </c>
      <c r="E1522" s="22" t="s">
        <v>169</v>
      </c>
      <c r="F1522" s="22" t="s">
        <v>170</v>
      </c>
      <c r="G1522" s="22">
        <v>40</v>
      </c>
      <c r="H1522" s="22">
        <v>2</v>
      </c>
      <c r="I1522" s="22" t="s">
        <v>11</v>
      </c>
      <c r="J1522" s="23"/>
    </row>
    <row r="1523" spans="1:10" outlineLevel="1" collapsed="1">
      <c r="D1523" s="51" t="s">
        <v>2214</v>
      </c>
      <c r="E1523" s="22">
        <f>SUBTOTAL(3,E1518:E1522)</f>
        <v>5</v>
      </c>
      <c r="F1523" s="22"/>
      <c r="G1523" s="22"/>
      <c r="H1523" s="22"/>
      <c r="I1523" s="22">
        <f>SUBTOTAL(3,I1518:I1522)</f>
        <v>5</v>
      </c>
      <c r="J1523" s="23"/>
    </row>
    <row r="1524" spans="1:10" hidden="1" outlineLevel="2">
      <c r="A1524" s="20">
        <v>66</v>
      </c>
      <c r="B1524" s="20" t="s">
        <v>907</v>
      </c>
      <c r="C1524" s="19" t="s">
        <v>97</v>
      </c>
      <c r="D1524" s="41" t="s">
        <v>2060</v>
      </c>
      <c r="E1524" s="22" t="s">
        <v>905</v>
      </c>
      <c r="F1524" s="22" t="s">
        <v>906</v>
      </c>
      <c r="G1524" s="22">
        <v>50</v>
      </c>
      <c r="H1524" s="22">
        <v>2</v>
      </c>
      <c r="I1524" s="22" t="s">
        <v>11</v>
      </c>
      <c r="J1524" s="23"/>
    </row>
    <row r="1525" spans="1:10" hidden="1" outlineLevel="2">
      <c r="A1525" s="20">
        <v>66</v>
      </c>
      <c r="B1525" s="20" t="s">
        <v>907</v>
      </c>
      <c r="C1525" s="19" t="s">
        <v>97</v>
      </c>
      <c r="D1525" s="41" t="s">
        <v>2060</v>
      </c>
      <c r="E1525" s="22" t="s">
        <v>100</v>
      </c>
      <c r="F1525" s="22" t="s">
        <v>101</v>
      </c>
      <c r="G1525" s="22">
        <v>41</v>
      </c>
      <c r="H1525" s="22">
        <v>2</v>
      </c>
      <c r="I1525" s="22" t="s">
        <v>11</v>
      </c>
      <c r="J1525" s="23"/>
    </row>
    <row r="1526" spans="1:10" hidden="1" outlineLevel="2">
      <c r="A1526" s="20">
        <v>66</v>
      </c>
      <c r="B1526" s="20" t="s">
        <v>907</v>
      </c>
      <c r="C1526" s="19" t="s">
        <v>97</v>
      </c>
      <c r="D1526" s="41" t="s">
        <v>2060</v>
      </c>
      <c r="E1526" s="22" t="s">
        <v>102</v>
      </c>
      <c r="F1526" s="22" t="s">
        <v>103</v>
      </c>
      <c r="G1526" s="22">
        <v>49</v>
      </c>
      <c r="H1526" s="22">
        <v>2</v>
      </c>
      <c r="I1526" s="22" t="s">
        <v>11</v>
      </c>
      <c r="J1526" s="23"/>
    </row>
    <row r="1527" spans="1:10" hidden="1" outlineLevel="2">
      <c r="A1527" s="20">
        <v>66</v>
      </c>
      <c r="B1527" s="20" t="s">
        <v>907</v>
      </c>
      <c r="C1527" s="19" t="s">
        <v>97</v>
      </c>
      <c r="D1527" s="41" t="s">
        <v>2060</v>
      </c>
      <c r="E1527" s="22" t="s">
        <v>110</v>
      </c>
      <c r="F1527" s="22" t="s">
        <v>111</v>
      </c>
      <c r="G1527" s="22">
        <v>35</v>
      </c>
      <c r="H1527" s="22">
        <v>2</v>
      </c>
      <c r="I1527" s="22" t="s">
        <v>11</v>
      </c>
      <c r="J1527" s="23"/>
    </row>
    <row r="1528" spans="1:10" hidden="1" outlineLevel="2">
      <c r="A1528" s="20">
        <v>66</v>
      </c>
      <c r="B1528" s="20" t="s">
        <v>907</v>
      </c>
      <c r="C1528" s="19" t="s">
        <v>97</v>
      </c>
      <c r="D1528" s="41" t="s">
        <v>2060</v>
      </c>
      <c r="E1528" s="22" t="s">
        <v>630</v>
      </c>
      <c r="F1528" s="22" t="s">
        <v>631</v>
      </c>
      <c r="G1528" s="22">
        <v>45</v>
      </c>
      <c r="H1528" s="22">
        <v>2</v>
      </c>
      <c r="I1528" s="22" t="s">
        <v>11</v>
      </c>
      <c r="J1528" s="23"/>
    </row>
    <row r="1529" spans="1:10" hidden="1" outlineLevel="2">
      <c r="A1529" s="20">
        <v>66</v>
      </c>
      <c r="B1529" s="20" t="s">
        <v>907</v>
      </c>
      <c r="C1529" s="19" t="s">
        <v>97</v>
      </c>
      <c r="D1529" s="41" t="s">
        <v>2060</v>
      </c>
      <c r="E1529" s="22" t="s">
        <v>908</v>
      </c>
      <c r="F1529" s="22" t="s">
        <v>909</v>
      </c>
      <c r="G1529" s="22">
        <v>54</v>
      </c>
      <c r="H1529" s="22">
        <v>2</v>
      </c>
      <c r="I1529" s="22" t="s">
        <v>11</v>
      </c>
      <c r="J1529" s="23"/>
    </row>
    <row r="1530" spans="1:10" hidden="1" outlineLevel="2">
      <c r="A1530" s="20">
        <v>66</v>
      </c>
      <c r="B1530" s="20" t="s">
        <v>907</v>
      </c>
      <c r="C1530" s="19" t="s">
        <v>97</v>
      </c>
      <c r="D1530" s="41" t="s">
        <v>2060</v>
      </c>
      <c r="E1530" s="22" t="s">
        <v>896</v>
      </c>
      <c r="F1530" s="22" t="s">
        <v>897</v>
      </c>
      <c r="G1530" s="22">
        <v>38</v>
      </c>
      <c r="H1530" s="22">
        <v>2</v>
      </c>
      <c r="I1530" s="22" t="s">
        <v>11</v>
      </c>
      <c r="J1530" s="23"/>
    </row>
    <row r="1531" spans="1:10" outlineLevel="1" collapsed="1">
      <c r="D1531" s="51" t="s">
        <v>2215</v>
      </c>
      <c r="E1531" s="22">
        <f>SUBTOTAL(3,E1524:E1530)</f>
        <v>7</v>
      </c>
      <c r="F1531" s="22"/>
      <c r="G1531" s="22"/>
      <c r="H1531" s="22"/>
      <c r="I1531" s="22">
        <f>SUBTOTAL(3,I1524:I1530)</f>
        <v>7</v>
      </c>
      <c r="J1531" s="23"/>
    </row>
    <row r="1532" spans="1:10" hidden="1" outlineLevel="2">
      <c r="A1532" s="20">
        <v>66</v>
      </c>
      <c r="B1532" s="20" t="s">
        <v>907</v>
      </c>
      <c r="C1532" s="19" t="s">
        <v>44</v>
      </c>
      <c r="D1532" s="41" t="s">
        <v>2061</v>
      </c>
      <c r="E1532" s="22" t="s">
        <v>608</v>
      </c>
      <c r="F1532" s="22" t="s">
        <v>609</v>
      </c>
      <c r="G1532" s="22">
        <v>40</v>
      </c>
      <c r="H1532" s="22">
        <v>2</v>
      </c>
      <c r="I1532" s="22" t="s">
        <v>11</v>
      </c>
      <c r="J1532" s="23"/>
    </row>
    <row r="1533" spans="1:10" hidden="1" outlineLevel="2">
      <c r="A1533" s="20">
        <v>66</v>
      </c>
      <c r="B1533" s="20" t="s">
        <v>907</v>
      </c>
      <c r="C1533" s="19" t="s">
        <v>44</v>
      </c>
      <c r="D1533" s="41" t="s">
        <v>2061</v>
      </c>
      <c r="E1533" s="22" t="s">
        <v>610</v>
      </c>
      <c r="F1533" s="22" t="s">
        <v>611</v>
      </c>
      <c r="G1533" s="22">
        <v>40</v>
      </c>
      <c r="H1533" s="22">
        <v>2</v>
      </c>
      <c r="I1533" s="22" t="s">
        <v>11</v>
      </c>
      <c r="J1533" s="23"/>
    </row>
    <row r="1534" spans="1:10" hidden="1" outlineLevel="2">
      <c r="A1534" s="20">
        <v>66</v>
      </c>
      <c r="B1534" s="20" t="s">
        <v>907</v>
      </c>
      <c r="C1534" s="19" t="s">
        <v>44</v>
      </c>
      <c r="D1534" s="41" t="s">
        <v>2061</v>
      </c>
      <c r="E1534" s="22" t="s">
        <v>51</v>
      </c>
      <c r="F1534" s="22" t="s">
        <v>52</v>
      </c>
      <c r="G1534" s="22">
        <v>41</v>
      </c>
      <c r="H1534" s="22">
        <v>2</v>
      </c>
      <c r="I1534" s="22" t="s">
        <v>11</v>
      </c>
      <c r="J1534" s="23"/>
    </row>
    <row r="1535" spans="1:10" hidden="1" outlineLevel="2">
      <c r="A1535" s="20">
        <v>66</v>
      </c>
      <c r="B1535" s="20" t="s">
        <v>907</v>
      </c>
      <c r="C1535" s="19" t="s">
        <v>44</v>
      </c>
      <c r="D1535" s="41" t="s">
        <v>2061</v>
      </c>
      <c r="E1535" s="22" t="s">
        <v>910</v>
      </c>
      <c r="F1535" s="22" t="s">
        <v>911</v>
      </c>
      <c r="G1535" s="22">
        <v>40</v>
      </c>
      <c r="H1535" s="22">
        <v>2</v>
      </c>
      <c r="I1535" s="22" t="s">
        <v>11</v>
      </c>
      <c r="J1535" s="23"/>
    </row>
    <row r="1536" spans="1:10" hidden="1" outlineLevel="2">
      <c r="A1536" s="20">
        <v>66</v>
      </c>
      <c r="B1536" s="20" t="s">
        <v>907</v>
      </c>
      <c r="C1536" s="19" t="s">
        <v>44</v>
      </c>
      <c r="D1536" s="41" t="s">
        <v>2061</v>
      </c>
      <c r="E1536" s="22" t="s">
        <v>681</v>
      </c>
      <c r="F1536" s="22" t="s">
        <v>682</v>
      </c>
      <c r="G1536" s="22">
        <v>40</v>
      </c>
      <c r="H1536" s="22">
        <v>2</v>
      </c>
      <c r="I1536" s="22" t="s">
        <v>11</v>
      </c>
      <c r="J1536" s="23"/>
    </row>
    <row r="1537" spans="1:10" hidden="1" outlineLevel="2">
      <c r="A1537" s="20">
        <v>66</v>
      </c>
      <c r="B1537" s="20" t="s">
        <v>907</v>
      </c>
      <c r="C1537" s="19" t="s">
        <v>44</v>
      </c>
      <c r="D1537" s="41" t="s">
        <v>2061</v>
      </c>
      <c r="E1537" s="22" t="s">
        <v>61</v>
      </c>
      <c r="F1537" s="22" t="s">
        <v>62</v>
      </c>
      <c r="G1537" s="22">
        <v>40</v>
      </c>
      <c r="H1537" s="22">
        <v>2</v>
      </c>
      <c r="I1537" s="22" t="s">
        <v>11</v>
      </c>
      <c r="J1537" s="23"/>
    </row>
    <row r="1538" spans="1:10" outlineLevel="1" collapsed="1">
      <c r="D1538" s="51" t="s">
        <v>2216</v>
      </c>
      <c r="E1538" s="22">
        <f>SUBTOTAL(3,E1532:E1537)</f>
        <v>6</v>
      </c>
      <c r="F1538" s="22"/>
      <c r="G1538" s="22"/>
      <c r="H1538" s="22"/>
      <c r="I1538" s="22">
        <f>SUBTOTAL(3,I1532:I1537)</f>
        <v>6</v>
      </c>
      <c r="J1538" s="23">
        <f>E1538+E1531+E1523+E1517+E1510</f>
        <v>35</v>
      </c>
    </row>
    <row r="1539" spans="1:10" hidden="1" outlineLevel="2">
      <c r="A1539" s="69">
        <v>67</v>
      </c>
      <c r="B1539" s="69" t="s">
        <v>871</v>
      </c>
      <c r="C1539" s="70" t="s">
        <v>294</v>
      </c>
      <c r="D1539" s="71" t="s">
        <v>2049</v>
      </c>
      <c r="E1539" s="72" t="s">
        <v>729</v>
      </c>
      <c r="F1539" s="72" t="s">
        <v>730</v>
      </c>
      <c r="G1539" s="72">
        <v>50</v>
      </c>
      <c r="H1539" s="72">
        <v>3</v>
      </c>
      <c r="I1539" s="72" t="s">
        <v>11</v>
      </c>
      <c r="J1539" s="73"/>
    </row>
    <row r="1540" spans="1:10" hidden="1" outlineLevel="2">
      <c r="A1540" s="69">
        <v>67</v>
      </c>
      <c r="B1540" s="69" t="s">
        <v>871</v>
      </c>
      <c r="C1540" s="70" t="s">
        <v>294</v>
      </c>
      <c r="D1540" s="71" t="s">
        <v>2049</v>
      </c>
      <c r="E1540" s="72" t="s">
        <v>419</v>
      </c>
      <c r="F1540" s="72" t="s">
        <v>420</v>
      </c>
      <c r="G1540" s="72">
        <v>45</v>
      </c>
      <c r="H1540" s="72">
        <v>3</v>
      </c>
      <c r="I1540" s="72" t="s">
        <v>11</v>
      </c>
      <c r="J1540" s="73"/>
    </row>
    <row r="1541" spans="1:10" hidden="1" outlineLevel="2">
      <c r="A1541" s="69">
        <v>67</v>
      </c>
      <c r="B1541" s="69" t="s">
        <v>871</v>
      </c>
      <c r="C1541" s="70" t="s">
        <v>294</v>
      </c>
      <c r="D1541" s="71" t="s">
        <v>2049</v>
      </c>
      <c r="E1541" s="72" t="s">
        <v>423</v>
      </c>
      <c r="F1541" s="72" t="s">
        <v>424</v>
      </c>
      <c r="G1541" s="72">
        <v>51</v>
      </c>
      <c r="H1541" s="72">
        <v>3</v>
      </c>
      <c r="I1541" s="72" t="s">
        <v>11</v>
      </c>
      <c r="J1541" s="73"/>
    </row>
    <row r="1542" spans="1:10" hidden="1" outlineLevel="2">
      <c r="A1542" s="69">
        <v>67</v>
      </c>
      <c r="B1542" s="69" t="s">
        <v>871</v>
      </c>
      <c r="C1542" s="70" t="s">
        <v>294</v>
      </c>
      <c r="D1542" s="71" t="s">
        <v>2049</v>
      </c>
      <c r="E1542" s="72" t="s">
        <v>874</v>
      </c>
      <c r="F1542" s="72" t="s">
        <v>875</v>
      </c>
      <c r="G1542" s="72">
        <v>44</v>
      </c>
      <c r="H1542" s="72">
        <v>3</v>
      </c>
      <c r="I1542" s="72" t="s">
        <v>11</v>
      </c>
      <c r="J1542" s="73"/>
    </row>
    <row r="1543" spans="1:10" outlineLevel="1" collapsed="1">
      <c r="A1543" s="69"/>
      <c r="B1543" s="69"/>
      <c r="C1543" s="70"/>
      <c r="D1543" s="74" t="s">
        <v>2205</v>
      </c>
      <c r="E1543" s="72">
        <f>SUBTOTAL(3,E1539:E1542)</f>
        <v>4</v>
      </c>
      <c r="F1543" s="72"/>
      <c r="G1543" s="72"/>
      <c r="H1543" s="72"/>
      <c r="I1543" s="72">
        <f>SUBTOTAL(3,I1539:I1542)</f>
        <v>4</v>
      </c>
      <c r="J1543" s="73"/>
    </row>
    <row r="1544" spans="1:10" hidden="1" outlineLevel="2">
      <c r="A1544" s="69">
        <v>67</v>
      </c>
      <c r="B1544" s="69" t="s">
        <v>871</v>
      </c>
      <c r="C1544" s="70" t="s">
        <v>65</v>
      </c>
      <c r="D1544" s="71" t="s">
        <v>2050</v>
      </c>
      <c r="E1544" s="72" t="s">
        <v>66</v>
      </c>
      <c r="F1544" s="72" t="s">
        <v>67</v>
      </c>
      <c r="G1544" s="72">
        <v>45</v>
      </c>
      <c r="H1544" s="72">
        <v>3</v>
      </c>
      <c r="I1544" s="72" t="s">
        <v>11</v>
      </c>
      <c r="J1544" s="73"/>
    </row>
    <row r="1545" spans="1:10" hidden="1" outlineLevel="2">
      <c r="A1545" s="69">
        <v>67</v>
      </c>
      <c r="B1545" s="69" t="s">
        <v>871</v>
      </c>
      <c r="C1545" s="70" t="s">
        <v>65</v>
      </c>
      <c r="D1545" s="71" t="s">
        <v>2050</v>
      </c>
      <c r="E1545" s="72" t="s">
        <v>68</v>
      </c>
      <c r="F1545" s="72" t="s">
        <v>69</v>
      </c>
      <c r="G1545" s="72">
        <v>46</v>
      </c>
      <c r="H1545" s="72">
        <v>3</v>
      </c>
      <c r="I1545" s="72" t="s">
        <v>11</v>
      </c>
      <c r="J1545" s="73"/>
    </row>
    <row r="1546" spans="1:10" hidden="1" outlineLevel="2">
      <c r="A1546" s="69">
        <v>67</v>
      </c>
      <c r="B1546" s="69" t="s">
        <v>871</v>
      </c>
      <c r="C1546" s="70" t="s">
        <v>65</v>
      </c>
      <c r="D1546" s="71" t="s">
        <v>2050</v>
      </c>
      <c r="E1546" s="72" t="s">
        <v>70</v>
      </c>
      <c r="F1546" s="72" t="s">
        <v>71</v>
      </c>
      <c r="G1546" s="72">
        <v>50</v>
      </c>
      <c r="H1546" s="72">
        <v>3</v>
      </c>
      <c r="I1546" s="72" t="s">
        <v>11</v>
      </c>
      <c r="J1546" s="73"/>
    </row>
    <row r="1547" spans="1:10" hidden="1" outlineLevel="2">
      <c r="A1547" s="69">
        <v>67</v>
      </c>
      <c r="B1547" s="69" t="s">
        <v>871</v>
      </c>
      <c r="C1547" s="70" t="s">
        <v>65</v>
      </c>
      <c r="D1547" s="71" t="s">
        <v>2050</v>
      </c>
      <c r="E1547" s="72" t="s">
        <v>72</v>
      </c>
      <c r="F1547" s="72" t="s">
        <v>73</v>
      </c>
      <c r="G1547" s="72">
        <v>45</v>
      </c>
      <c r="H1547" s="72">
        <v>3</v>
      </c>
      <c r="I1547" s="72" t="s">
        <v>11</v>
      </c>
      <c r="J1547" s="73"/>
    </row>
    <row r="1548" spans="1:10" hidden="1" outlineLevel="2">
      <c r="A1548" s="69">
        <v>67</v>
      </c>
      <c r="B1548" s="69" t="s">
        <v>871</v>
      </c>
      <c r="C1548" s="70" t="s">
        <v>65</v>
      </c>
      <c r="D1548" s="71" t="s">
        <v>2050</v>
      </c>
      <c r="E1548" s="72" t="s">
        <v>74</v>
      </c>
      <c r="F1548" s="72" t="s">
        <v>75</v>
      </c>
      <c r="G1548" s="72">
        <v>53</v>
      </c>
      <c r="H1548" s="72">
        <v>3</v>
      </c>
      <c r="I1548" s="72" t="s">
        <v>11</v>
      </c>
      <c r="J1548" s="73"/>
    </row>
    <row r="1549" spans="1:10" hidden="1" outlineLevel="2">
      <c r="A1549" s="69">
        <v>67</v>
      </c>
      <c r="B1549" s="69" t="s">
        <v>871</v>
      </c>
      <c r="C1549" s="70" t="s">
        <v>65</v>
      </c>
      <c r="D1549" s="71" t="s">
        <v>2050</v>
      </c>
      <c r="E1549" s="72" t="s">
        <v>689</v>
      </c>
      <c r="F1549" s="72" t="s">
        <v>690</v>
      </c>
      <c r="G1549" s="72">
        <v>40</v>
      </c>
      <c r="H1549" s="72">
        <v>3</v>
      </c>
      <c r="I1549" s="72" t="s">
        <v>11</v>
      </c>
      <c r="J1549" s="73"/>
    </row>
    <row r="1550" spans="1:10" hidden="1" outlineLevel="2">
      <c r="A1550" s="69">
        <v>67</v>
      </c>
      <c r="B1550" s="69" t="s">
        <v>871</v>
      </c>
      <c r="C1550" s="70" t="s">
        <v>65</v>
      </c>
      <c r="D1550" s="71" t="s">
        <v>2050</v>
      </c>
      <c r="E1550" s="72" t="s">
        <v>719</v>
      </c>
      <c r="F1550" s="72" t="s">
        <v>720</v>
      </c>
      <c r="G1550" s="72">
        <v>40</v>
      </c>
      <c r="H1550" s="72">
        <v>3</v>
      </c>
      <c r="I1550" s="72" t="s">
        <v>11</v>
      </c>
      <c r="J1550" s="73"/>
    </row>
    <row r="1551" spans="1:10" hidden="1" outlineLevel="2">
      <c r="A1551" s="69">
        <v>67</v>
      </c>
      <c r="B1551" s="69" t="s">
        <v>871</v>
      </c>
      <c r="C1551" s="70" t="s">
        <v>65</v>
      </c>
      <c r="D1551" s="71" t="s">
        <v>2050</v>
      </c>
      <c r="E1551" s="72" t="s">
        <v>725</v>
      </c>
      <c r="F1551" s="72" t="s">
        <v>726</v>
      </c>
      <c r="G1551" s="72">
        <v>45</v>
      </c>
      <c r="H1551" s="72">
        <v>3</v>
      </c>
      <c r="I1551" s="72" t="s">
        <v>11</v>
      </c>
      <c r="J1551" s="73"/>
    </row>
    <row r="1552" spans="1:10" hidden="1" outlineLevel="2">
      <c r="A1552" s="69">
        <v>67</v>
      </c>
      <c r="B1552" s="69" t="s">
        <v>871</v>
      </c>
      <c r="C1552" s="70" t="s">
        <v>65</v>
      </c>
      <c r="D1552" s="71" t="s">
        <v>2050</v>
      </c>
      <c r="E1552" s="72" t="s">
        <v>872</v>
      </c>
      <c r="F1552" s="72" t="s">
        <v>873</v>
      </c>
      <c r="G1552" s="72">
        <v>43</v>
      </c>
      <c r="H1552" s="72">
        <v>3</v>
      </c>
      <c r="I1552" s="72" t="s">
        <v>11</v>
      </c>
      <c r="J1552" s="73"/>
    </row>
    <row r="1553" spans="1:10" hidden="1" outlineLevel="2">
      <c r="A1553" s="69">
        <v>67</v>
      </c>
      <c r="B1553" s="69" t="s">
        <v>871</v>
      </c>
      <c r="C1553" s="70" t="s">
        <v>65</v>
      </c>
      <c r="D1553" s="71" t="s">
        <v>2050</v>
      </c>
      <c r="E1553" s="72" t="s">
        <v>727</v>
      </c>
      <c r="F1553" s="72" t="s">
        <v>728</v>
      </c>
      <c r="G1553" s="72">
        <v>40</v>
      </c>
      <c r="H1553" s="72">
        <v>3</v>
      </c>
      <c r="I1553" s="72" t="s">
        <v>11</v>
      </c>
      <c r="J1553" s="73"/>
    </row>
    <row r="1554" spans="1:10" outlineLevel="1" collapsed="1">
      <c r="A1554" s="69"/>
      <c r="B1554" s="69"/>
      <c r="C1554" s="70"/>
      <c r="D1554" s="74" t="s">
        <v>2206</v>
      </c>
      <c r="E1554" s="72">
        <f>SUBTOTAL(3,E1544:E1553)</f>
        <v>10</v>
      </c>
      <c r="F1554" s="72"/>
      <c r="G1554" s="72"/>
      <c r="H1554" s="72"/>
      <c r="I1554" s="72">
        <f>SUBTOTAL(3,I1544:I1553)</f>
        <v>10</v>
      </c>
      <c r="J1554" s="73"/>
    </row>
    <row r="1555" spans="1:10" hidden="1" outlineLevel="2">
      <c r="A1555" s="69">
        <v>67</v>
      </c>
      <c r="B1555" s="69" t="s">
        <v>904</v>
      </c>
      <c r="C1555" s="70" t="s">
        <v>294</v>
      </c>
      <c r="D1555" s="71" t="s">
        <v>2054</v>
      </c>
      <c r="E1555" s="72" t="s">
        <v>417</v>
      </c>
      <c r="F1555" s="72" t="s">
        <v>418</v>
      </c>
      <c r="G1555" s="72">
        <v>55</v>
      </c>
      <c r="H1555" s="72">
        <v>4</v>
      </c>
      <c r="I1555" s="72" t="s">
        <v>11</v>
      </c>
      <c r="J1555" s="73"/>
    </row>
    <row r="1556" spans="1:10" hidden="1" outlineLevel="2">
      <c r="A1556" s="69">
        <v>67</v>
      </c>
      <c r="B1556" s="69" t="s">
        <v>904</v>
      </c>
      <c r="C1556" s="70" t="s">
        <v>294</v>
      </c>
      <c r="D1556" s="71" t="s">
        <v>2054</v>
      </c>
      <c r="E1556" s="72" t="s">
        <v>295</v>
      </c>
      <c r="F1556" s="72" t="s">
        <v>296</v>
      </c>
      <c r="G1556" s="72">
        <v>59</v>
      </c>
      <c r="H1556" s="72">
        <v>4</v>
      </c>
      <c r="I1556" s="72" t="s">
        <v>11</v>
      </c>
      <c r="J1556" s="73"/>
    </row>
    <row r="1557" spans="1:10" hidden="1" outlineLevel="2">
      <c r="A1557" s="69">
        <v>67</v>
      </c>
      <c r="B1557" s="69" t="s">
        <v>904</v>
      </c>
      <c r="C1557" s="70" t="s">
        <v>294</v>
      </c>
      <c r="D1557" s="71" t="s">
        <v>2054</v>
      </c>
      <c r="E1557" s="72" t="s">
        <v>299</v>
      </c>
      <c r="F1557" s="72" t="s">
        <v>300</v>
      </c>
      <c r="G1557" s="72">
        <v>49</v>
      </c>
      <c r="H1557" s="72">
        <v>4</v>
      </c>
      <c r="I1557" s="72" t="s">
        <v>11</v>
      </c>
      <c r="J1557" s="73"/>
    </row>
    <row r="1558" spans="1:10" outlineLevel="1" collapsed="1">
      <c r="A1558" s="69"/>
      <c r="B1558" s="69"/>
      <c r="C1558" s="70"/>
      <c r="D1558" s="74" t="s">
        <v>2210</v>
      </c>
      <c r="E1558" s="72">
        <f>SUBTOTAL(3,E1555:E1557)</f>
        <v>3</v>
      </c>
      <c r="F1558" s="72"/>
      <c r="G1558" s="72"/>
      <c r="H1558" s="72"/>
      <c r="I1558" s="72">
        <f>SUBTOTAL(3,I1555:I1557)</f>
        <v>3</v>
      </c>
      <c r="J1558" s="73"/>
    </row>
    <row r="1559" spans="1:10" hidden="1" outlineLevel="2">
      <c r="A1559" s="69">
        <v>67</v>
      </c>
      <c r="B1559" s="69" t="s">
        <v>904</v>
      </c>
      <c r="C1559" s="70" t="s">
        <v>65</v>
      </c>
      <c r="D1559" s="71" t="s">
        <v>2055</v>
      </c>
      <c r="E1559" s="72" t="s">
        <v>66</v>
      </c>
      <c r="F1559" s="72" t="s">
        <v>67</v>
      </c>
      <c r="G1559" s="72">
        <v>44</v>
      </c>
      <c r="H1559" s="72">
        <v>4</v>
      </c>
      <c r="I1559" s="72" t="s">
        <v>11</v>
      </c>
      <c r="J1559" s="73"/>
    </row>
    <row r="1560" spans="1:10" hidden="1" outlineLevel="2">
      <c r="A1560" s="69">
        <v>67</v>
      </c>
      <c r="B1560" s="69" t="s">
        <v>904</v>
      </c>
      <c r="C1560" s="70" t="s">
        <v>65</v>
      </c>
      <c r="D1560" s="71" t="s">
        <v>2055</v>
      </c>
      <c r="E1560" s="72" t="s">
        <v>68</v>
      </c>
      <c r="F1560" s="72" t="s">
        <v>69</v>
      </c>
      <c r="G1560" s="72">
        <v>45</v>
      </c>
      <c r="H1560" s="72">
        <v>4</v>
      </c>
      <c r="I1560" s="72" t="s">
        <v>11</v>
      </c>
      <c r="J1560" s="73"/>
    </row>
    <row r="1561" spans="1:10" hidden="1" outlineLevel="2">
      <c r="A1561" s="69">
        <v>67</v>
      </c>
      <c r="B1561" s="69" t="s">
        <v>904</v>
      </c>
      <c r="C1561" s="70" t="s">
        <v>65</v>
      </c>
      <c r="D1561" s="71" t="s">
        <v>2055</v>
      </c>
      <c r="E1561" s="72" t="s">
        <v>70</v>
      </c>
      <c r="F1561" s="72" t="s">
        <v>71</v>
      </c>
      <c r="G1561" s="72">
        <v>51</v>
      </c>
      <c r="H1561" s="72">
        <v>4</v>
      </c>
      <c r="I1561" s="72" t="s">
        <v>11</v>
      </c>
      <c r="J1561" s="73"/>
    </row>
    <row r="1562" spans="1:10" hidden="1" outlineLevel="2">
      <c r="A1562" s="69">
        <v>67</v>
      </c>
      <c r="B1562" s="69" t="s">
        <v>904</v>
      </c>
      <c r="C1562" s="70" t="s">
        <v>65</v>
      </c>
      <c r="D1562" s="71" t="s">
        <v>2055</v>
      </c>
      <c r="E1562" s="72" t="s">
        <v>72</v>
      </c>
      <c r="F1562" s="72" t="s">
        <v>73</v>
      </c>
      <c r="G1562" s="72">
        <v>40</v>
      </c>
      <c r="H1562" s="72">
        <v>4</v>
      </c>
      <c r="I1562" s="72" t="s">
        <v>11</v>
      </c>
      <c r="J1562" s="73"/>
    </row>
    <row r="1563" spans="1:10" hidden="1" outlineLevel="2">
      <c r="A1563" s="69">
        <v>67</v>
      </c>
      <c r="B1563" s="69" t="s">
        <v>904</v>
      </c>
      <c r="C1563" s="70" t="s">
        <v>65</v>
      </c>
      <c r="D1563" s="71" t="s">
        <v>2055</v>
      </c>
      <c r="E1563" s="72" t="s">
        <v>74</v>
      </c>
      <c r="F1563" s="72" t="s">
        <v>75</v>
      </c>
      <c r="G1563" s="72">
        <v>50</v>
      </c>
      <c r="H1563" s="72">
        <v>4</v>
      </c>
      <c r="I1563" s="72" t="s">
        <v>11</v>
      </c>
      <c r="J1563" s="73"/>
    </row>
    <row r="1564" spans="1:10" hidden="1" outlineLevel="2">
      <c r="A1564" s="69">
        <v>67</v>
      </c>
      <c r="B1564" s="69" t="s">
        <v>904</v>
      </c>
      <c r="C1564" s="70" t="s">
        <v>65</v>
      </c>
      <c r="D1564" s="71" t="s">
        <v>2055</v>
      </c>
      <c r="E1564" s="72" t="s">
        <v>689</v>
      </c>
      <c r="F1564" s="72" t="s">
        <v>690</v>
      </c>
      <c r="G1564" s="72">
        <v>50</v>
      </c>
      <c r="H1564" s="72">
        <v>4</v>
      </c>
      <c r="I1564" s="72" t="s">
        <v>11</v>
      </c>
      <c r="J1564" s="73"/>
    </row>
    <row r="1565" spans="1:10" hidden="1" outlineLevel="2">
      <c r="A1565" s="69">
        <v>67</v>
      </c>
      <c r="B1565" s="69" t="s">
        <v>904</v>
      </c>
      <c r="C1565" s="70" t="s">
        <v>65</v>
      </c>
      <c r="D1565" s="71" t="s">
        <v>2055</v>
      </c>
      <c r="E1565" s="72" t="s">
        <v>719</v>
      </c>
      <c r="F1565" s="72" t="s">
        <v>720</v>
      </c>
      <c r="G1565" s="72">
        <v>50</v>
      </c>
      <c r="H1565" s="72">
        <v>4</v>
      </c>
      <c r="I1565" s="72" t="s">
        <v>11</v>
      </c>
      <c r="J1565" s="73"/>
    </row>
    <row r="1566" spans="1:10" hidden="1" outlineLevel="2">
      <c r="A1566" s="69">
        <v>67</v>
      </c>
      <c r="B1566" s="69" t="s">
        <v>904</v>
      </c>
      <c r="C1566" s="70" t="s">
        <v>65</v>
      </c>
      <c r="D1566" s="71" t="s">
        <v>2055</v>
      </c>
      <c r="E1566" s="72" t="s">
        <v>76</v>
      </c>
      <c r="F1566" s="72" t="s">
        <v>77</v>
      </c>
      <c r="G1566" s="72">
        <v>50</v>
      </c>
      <c r="H1566" s="72">
        <v>4</v>
      </c>
      <c r="I1566" s="72" t="s">
        <v>11</v>
      </c>
      <c r="J1566" s="73"/>
    </row>
    <row r="1567" spans="1:10" hidden="1" outlineLevel="2">
      <c r="A1567" s="69">
        <v>67</v>
      </c>
      <c r="B1567" s="69" t="s">
        <v>904</v>
      </c>
      <c r="C1567" s="70" t="s">
        <v>65</v>
      </c>
      <c r="D1567" s="71" t="s">
        <v>2055</v>
      </c>
      <c r="E1567" s="72" t="s">
        <v>723</v>
      </c>
      <c r="F1567" s="72" t="s">
        <v>724</v>
      </c>
      <c r="G1567" s="72">
        <v>40</v>
      </c>
      <c r="H1567" s="72">
        <v>4</v>
      </c>
      <c r="I1567" s="72" t="s">
        <v>11</v>
      </c>
      <c r="J1567" s="73"/>
    </row>
    <row r="1568" spans="1:10" hidden="1" outlineLevel="2">
      <c r="A1568" s="69">
        <v>67</v>
      </c>
      <c r="B1568" s="69" t="s">
        <v>904</v>
      </c>
      <c r="C1568" s="70" t="s">
        <v>65</v>
      </c>
      <c r="D1568" s="71" t="s">
        <v>2055</v>
      </c>
      <c r="E1568" s="72" t="s">
        <v>78</v>
      </c>
      <c r="F1568" s="72" t="s">
        <v>79</v>
      </c>
      <c r="G1568" s="72">
        <v>40</v>
      </c>
      <c r="H1568" s="72">
        <v>4</v>
      </c>
      <c r="I1568" s="72" t="s">
        <v>11</v>
      </c>
      <c r="J1568" s="73"/>
    </row>
    <row r="1569" spans="1:10" hidden="1" outlineLevel="2">
      <c r="A1569" s="69">
        <v>67</v>
      </c>
      <c r="B1569" s="69" t="s">
        <v>904</v>
      </c>
      <c r="C1569" s="70" t="s">
        <v>65</v>
      </c>
      <c r="D1569" s="71" t="s">
        <v>2055</v>
      </c>
      <c r="E1569" s="72" t="s">
        <v>725</v>
      </c>
      <c r="F1569" s="72" t="s">
        <v>726</v>
      </c>
      <c r="G1569" s="72">
        <v>50</v>
      </c>
      <c r="H1569" s="72">
        <v>4</v>
      </c>
      <c r="I1569" s="72" t="s">
        <v>11</v>
      </c>
      <c r="J1569" s="73"/>
    </row>
    <row r="1570" spans="1:10" hidden="1" outlineLevel="2">
      <c r="A1570" s="69">
        <v>67</v>
      </c>
      <c r="B1570" s="69" t="s">
        <v>904</v>
      </c>
      <c r="C1570" s="70" t="s">
        <v>65</v>
      </c>
      <c r="D1570" s="71" t="s">
        <v>2055</v>
      </c>
      <c r="E1570" s="72" t="s">
        <v>872</v>
      </c>
      <c r="F1570" s="72" t="s">
        <v>873</v>
      </c>
      <c r="G1570" s="72">
        <v>50</v>
      </c>
      <c r="H1570" s="72">
        <v>4</v>
      </c>
      <c r="I1570" s="72" t="s">
        <v>11</v>
      </c>
      <c r="J1570" s="73"/>
    </row>
    <row r="1571" spans="1:10" hidden="1" outlineLevel="2">
      <c r="A1571" s="69">
        <v>67</v>
      </c>
      <c r="B1571" s="69" t="s">
        <v>904</v>
      </c>
      <c r="C1571" s="70" t="s">
        <v>65</v>
      </c>
      <c r="D1571" s="71" t="s">
        <v>2055</v>
      </c>
      <c r="E1571" s="72" t="s">
        <v>727</v>
      </c>
      <c r="F1571" s="72" t="s">
        <v>728</v>
      </c>
      <c r="G1571" s="72">
        <v>40</v>
      </c>
      <c r="H1571" s="72">
        <v>4</v>
      </c>
      <c r="I1571" s="72" t="s">
        <v>11</v>
      </c>
      <c r="J1571" s="73"/>
    </row>
    <row r="1572" spans="1:10" hidden="1" outlineLevel="2">
      <c r="A1572" s="69">
        <v>67</v>
      </c>
      <c r="B1572" s="69" t="s">
        <v>904</v>
      </c>
      <c r="C1572" s="70" t="s">
        <v>65</v>
      </c>
      <c r="D1572" s="71" t="s">
        <v>2055</v>
      </c>
      <c r="E1572" s="72" t="s">
        <v>80</v>
      </c>
      <c r="F1572" s="72" t="s">
        <v>81</v>
      </c>
      <c r="G1572" s="72">
        <v>51</v>
      </c>
      <c r="H1572" s="72">
        <v>4</v>
      </c>
      <c r="I1572" s="72" t="s">
        <v>11</v>
      </c>
      <c r="J1572" s="73"/>
    </row>
    <row r="1573" spans="1:10" outlineLevel="1" collapsed="1">
      <c r="A1573" s="69"/>
      <c r="B1573" s="69"/>
      <c r="C1573" s="70"/>
      <c r="D1573" s="74" t="s">
        <v>2211</v>
      </c>
      <c r="E1573" s="72">
        <f>SUBTOTAL(3,E1559:E1572)</f>
        <v>14</v>
      </c>
      <c r="F1573" s="72"/>
      <c r="G1573" s="72"/>
      <c r="H1573" s="72"/>
      <c r="I1573" s="72">
        <f>SUBTOTAL(3,I1559:I1572)</f>
        <v>14</v>
      </c>
      <c r="J1573" s="73"/>
    </row>
    <row r="1574" spans="1:10" hidden="1" outlineLevel="2">
      <c r="A1574" s="69">
        <v>67</v>
      </c>
      <c r="B1574" s="69" t="s">
        <v>1695</v>
      </c>
      <c r="C1574" s="70" t="s">
        <v>1083</v>
      </c>
      <c r="D1574" s="71" t="str">
        <f t="shared" ref="D1574:D1579" si="50">B1574&amp;"-"&amp;C1574</f>
        <v>電子學-資訊二甲</v>
      </c>
      <c r="E1574" s="72" t="s">
        <v>1693</v>
      </c>
      <c r="F1574" s="72" t="s">
        <v>1694</v>
      </c>
      <c r="G1574" s="72">
        <v>54</v>
      </c>
      <c r="H1574" s="72">
        <v>3</v>
      </c>
      <c r="I1574" s="72" t="s">
        <v>11</v>
      </c>
      <c r="J1574" s="73"/>
    </row>
    <row r="1575" spans="1:10" hidden="1" outlineLevel="2">
      <c r="A1575" s="69">
        <v>67</v>
      </c>
      <c r="B1575" s="69" t="s">
        <v>1695</v>
      </c>
      <c r="C1575" s="70" t="s">
        <v>1083</v>
      </c>
      <c r="D1575" s="71" t="str">
        <f t="shared" si="50"/>
        <v>電子學-資訊二甲</v>
      </c>
      <c r="E1575" s="72" t="s">
        <v>1696</v>
      </c>
      <c r="F1575" s="72" t="s">
        <v>1697</v>
      </c>
      <c r="G1575" s="72">
        <v>57</v>
      </c>
      <c r="H1575" s="72">
        <v>3</v>
      </c>
      <c r="I1575" s="72" t="s">
        <v>11</v>
      </c>
      <c r="J1575" s="73"/>
    </row>
    <row r="1576" spans="1:10" hidden="1" outlineLevel="2">
      <c r="A1576" s="69">
        <v>67</v>
      </c>
      <c r="B1576" s="69" t="s">
        <v>1695</v>
      </c>
      <c r="C1576" s="70" t="s">
        <v>1083</v>
      </c>
      <c r="D1576" s="71" t="str">
        <f t="shared" si="50"/>
        <v>電子學-資訊二甲</v>
      </c>
      <c r="E1576" s="72" t="s">
        <v>1698</v>
      </c>
      <c r="F1576" s="72" t="s">
        <v>1699</v>
      </c>
      <c r="G1576" s="72">
        <v>58</v>
      </c>
      <c r="H1576" s="72">
        <v>3</v>
      </c>
      <c r="I1576" s="72" t="s">
        <v>11</v>
      </c>
      <c r="J1576" s="73"/>
    </row>
    <row r="1577" spans="1:10" hidden="1" outlineLevel="2">
      <c r="A1577" s="69">
        <v>67</v>
      </c>
      <c r="B1577" s="69" t="s">
        <v>1695</v>
      </c>
      <c r="C1577" s="70" t="s">
        <v>1083</v>
      </c>
      <c r="D1577" s="71" t="str">
        <f t="shared" si="50"/>
        <v>電子學-資訊二甲</v>
      </c>
      <c r="E1577" s="72" t="s">
        <v>1700</v>
      </c>
      <c r="F1577" s="72" t="s">
        <v>1701</v>
      </c>
      <c r="G1577" s="72">
        <v>56</v>
      </c>
      <c r="H1577" s="72">
        <v>3</v>
      </c>
      <c r="I1577" s="72" t="s">
        <v>11</v>
      </c>
      <c r="J1577" s="73"/>
    </row>
    <row r="1578" spans="1:10" hidden="1" outlineLevel="2">
      <c r="A1578" s="69">
        <v>67</v>
      </c>
      <c r="B1578" s="69" t="s">
        <v>1695</v>
      </c>
      <c r="C1578" s="70" t="s">
        <v>1083</v>
      </c>
      <c r="D1578" s="71" t="str">
        <f t="shared" si="50"/>
        <v>電子學-資訊二甲</v>
      </c>
      <c r="E1578" s="72" t="s">
        <v>1399</v>
      </c>
      <c r="F1578" s="72" t="s">
        <v>954</v>
      </c>
      <c r="G1578" s="72">
        <v>57</v>
      </c>
      <c r="H1578" s="72">
        <v>3</v>
      </c>
      <c r="I1578" s="72" t="s">
        <v>11</v>
      </c>
      <c r="J1578" s="73"/>
    </row>
    <row r="1579" spans="1:10" hidden="1" outlineLevel="2">
      <c r="A1579" s="69">
        <v>67</v>
      </c>
      <c r="B1579" s="69" t="s">
        <v>1695</v>
      </c>
      <c r="C1579" s="70" t="s">
        <v>1083</v>
      </c>
      <c r="D1579" s="71" t="str">
        <f t="shared" si="50"/>
        <v>電子學-資訊二甲</v>
      </c>
      <c r="E1579" s="72" t="s">
        <v>1702</v>
      </c>
      <c r="F1579" s="72" t="s">
        <v>1703</v>
      </c>
      <c r="G1579" s="72">
        <v>51</v>
      </c>
      <c r="H1579" s="72">
        <v>3</v>
      </c>
      <c r="I1579" s="72" t="s">
        <v>11</v>
      </c>
      <c r="J1579" s="73"/>
    </row>
    <row r="1580" spans="1:10" outlineLevel="1" collapsed="1">
      <c r="A1580" s="69"/>
      <c r="B1580" s="69"/>
      <c r="C1580" s="70"/>
      <c r="D1580" s="74" t="s">
        <v>1912</v>
      </c>
      <c r="E1580" s="72">
        <f>SUBTOTAL(3,E1574:E1579)</f>
        <v>6</v>
      </c>
      <c r="F1580" s="72"/>
      <c r="G1580" s="72"/>
      <c r="H1580" s="72"/>
      <c r="I1580" s="72">
        <f>SUBTOTAL(3,I1574:I1579)</f>
        <v>6</v>
      </c>
      <c r="J1580" s="73">
        <f>E1580+E1573+E1558+E1554+E1543</f>
        <v>37</v>
      </c>
    </row>
    <row r="1581" spans="1:10" hidden="1" outlineLevel="2">
      <c r="A1581" s="20">
        <v>68</v>
      </c>
      <c r="B1581" s="20" t="s">
        <v>920</v>
      </c>
      <c r="C1581" s="19" t="s">
        <v>335</v>
      </c>
      <c r="D1581" s="41" t="s">
        <v>2057</v>
      </c>
      <c r="E1581" s="22" t="s">
        <v>387</v>
      </c>
      <c r="F1581" s="22" t="s">
        <v>388</v>
      </c>
      <c r="G1581" s="22">
        <v>52</v>
      </c>
      <c r="H1581" s="22">
        <v>3</v>
      </c>
      <c r="I1581" s="22" t="s">
        <v>11</v>
      </c>
      <c r="J1581" s="23"/>
    </row>
    <row r="1582" spans="1:10" hidden="1" outlineLevel="2">
      <c r="A1582" s="20">
        <v>68</v>
      </c>
      <c r="B1582" s="20" t="s">
        <v>920</v>
      </c>
      <c r="C1582" s="19" t="s">
        <v>335</v>
      </c>
      <c r="D1582" s="41" t="s">
        <v>2057</v>
      </c>
      <c r="E1582" s="22" t="s">
        <v>395</v>
      </c>
      <c r="F1582" s="22" t="s">
        <v>396</v>
      </c>
      <c r="G1582" s="22">
        <v>43</v>
      </c>
      <c r="H1582" s="22">
        <v>3</v>
      </c>
      <c r="I1582" s="22" t="s">
        <v>11</v>
      </c>
      <c r="J1582" s="23"/>
    </row>
    <row r="1583" spans="1:10" hidden="1" outlineLevel="2">
      <c r="A1583" s="20">
        <v>68</v>
      </c>
      <c r="B1583" s="20" t="s">
        <v>920</v>
      </c>
      <c r="C1583" s="19" t="s">
        <v>335</v>
      </c>
      <c r="D1583" s="41" t="s">
        <v>2057</v>
      </c>
      <c r="E1583" s="22" t="s">
        <v>659</v>
      </c>
      <c r="F1583" s="22" t="s">
        <v>660</v>
      </c>
      <c r="G1583" s="22">
        <v>48</v>
      </c>
      <c r="H1583" s="22">
        <v>3</v>
      </c>
      <c r="I1583" s="22" t="s">
        <v>11</v>
      </c>
      <c r="J1583" s="23"/>
    </row>
    <row r="1584" spans="1:10" hidden="1" outlineLevel="2">
      <c r="A1584" s="20">
        <v>68</v>
      </c>
      <c r="B1584" s="20" t="s">
        <v>920</v>
      </c>
      <c r="C1584" s="19" t="s">
        <v>335</v>
      </c>
      <c r="D1584" s="41" t="s">
        <v>2057</v>
      </c>
      <c r="E1584" s="22" t="s">
        <v>661</v>
      </c>
      <c r="F1584" s="22" t="s">
        <v>662</v>
      </c>
      <c r="G1584" s="22">
        <v>47</v>
      </c>
      <c r="H1584" s="22">
        <v>3</v>
      </c>
      <c r="I1584" s="22" t="s">
        <v>11</v>
      </c>
      <c r="J1584" s="23"/>
    </row>
    <row r="1585" spans="1:10" hidden="1" outlineLevel="2">
      <c r="A1585" s="20">
        <v>68</v>
      </c>
      <c r="B1585" s="20" t="s">
        <v>920</v>
      </c>
      <c r="C1585" s="19" t="s">
        <v>335</v>
      </c>
      <c r="D1585" s="41" t="s">
        <v>2057</v>
      </c>
      <c r="E1585" s="22" t="s">
        <v>336</v>
      </c>
      <c r="F1585" s="22" t="s">
        <v>337</v>
      </c>
      <c r="G1585" s="22">
        <v>46</v>
      </c>
      <c r="H1585" s="22">
        <v>3</v>
      </c>
      <c r="I1585" s="22" t="s">
        <v>11</v>
      </c>
      <c r="J1585" s="23"/>
    </row>
    <row r="1586" spans="1:10" hidden="1" outlineLevel="2">
      <c r="A1586" s="69">
        <v>69</v>
      </c>
      <c r="B1586" s="69" t="s">
        <v>1806</v>
      </c>
      <c r="C1586" s="70" t="s">
        <v>1059</v>
      </c>
      <c r="D1586" s="71" t="str">
        <f>B1586&amp;"-"&amp;C1586</f>
        <v>字彙與閱讀-應英二乙</v>
      </c>
      <c r="E1586" s="72" t="s">
        <v>1487</v>
      </c>
      <c r="F1586" s="72" t="s">
        <v>1488</v>
      </c>
      <c r="G1586" s="72">
        <v>40</v>
      </c>
      <c r="H1586" s="72">
        <v>2</v>
      </c>
      <c r="I1586" s="72" t="s">
        <v>583</v>
      </c>
      <c r="J1586" s="73"/>
    </row>
    <row r="1587" spans="1:10" hidden="1" outlineLevel="2">
      <c r="A1587" s="69">
        <v>69</v>
      </c>
      <c r="B1587" s="69" t="s">
        <v>1806</v>
      </c>
      <c r="C1587" s="70" t="s">
        <v>1059</v>
      </c>
      <c r="D1587" s="71" t="str">
        <f>B1587&amp;"-"&amp;C1587</f>
        <v>字彙與閱讀-應英二乙</v>
      </c>
      <c r="E1587" s="72" t="s">
        <v>1794</v>
      </c>
      <c r="F1587" s="72" t="s">
        <v>1795</v>
      </c>
      <c r="G1587" s="72">
        <v>46</v>
      </c>
      <c r="H1587" s="72">
        <v>2</v>
      </c>
      <c r="I1587" s="72" t="s">
        <v>583</v>
      </c>
      <c r="J1587" s="73"/>
    </row>
    <row r="1588" spans="1:10" hidden="1" outlineLevel="2">
      <c r="A1588" s="69">
        <v>69</v>
      </c>
      <c r="B1588" s="69" t="s">
        <v>1806</v>
      </c>
      <c r="C1588" s="70" t="s">
        <v>1059</v>
      </c>
      <c r="D1588" s="71" t="str">
        <f>B1588&amp;"-"&amp;C1588</f>
        <v>字彙與閱讀-應英二乙</v>
      </c>
      <c r="E1588" s="72" t="s">
        <v>1813</v>
      </c>
      <c r="F1588" s="72" t="s">
        <v>1814</v>
      </c>
      <c r="G1588" s="72">
        <v>49</v>
      </c>
      <c r="H1588" s="72">
        <v>2</v>
      </c>
      <c r="I1588" s="72" t="s">
        <v>583</v>
      </c>
      <c r="J1588" s="73"/>
    </row>
    <row r="1589" spans="1:10" hidden="1" outlineLevel="2">
      <c r="A1589" s="69">
        <v>69</v>
      </c>
      <c r="B1589" s="69" t="s">
        <v>1806</v>
      </c>
      <c r="C1589" s="70" t="s">
        <v>1059</v>
      </c>
      <c r="D1589" s="71" t="str">
        <f>B1589&amp;"-"&amp;C1589</f>
        <v>字彙與閱讀-應英二乙</v>
      </c>
      <c r="E1589" s="72" t="s">
        <v>1495</v>
      </c>
      <c r="F1589" s="72" t="s">
        <v>1496</v>
      </c>
      <c r="G1589" s="72">
        <v>41</v>
      </c>
      <c r="H1589" s="72">
        <v>2</v>
      </c>
      <c r="I1589" s="72" t="s">
        <v>583</v>
      </c>
      <c r="J1589" s="73"/>
    </row>
    <row r="1590" spans="1:10" s="90" customFormat="1" outlineLevel="1" collapsed="1">
      <c r="C1590" s="91"/>
      <c r="D1590" s="92" t="s">
        <v>1908</v>
      </c>
      <c r="E1590" s="93">
        <f>SUBTOTAL(3,E1586:E1589)</f>
        <v>4</v>
      </c>
      <c r="F1590" s="93"/>
      <c r="G1590" s="93"/>
      <c r="H1590" s="93"/>
      <c r="I1590" s="93">
        <f>SUBTOTAL(3,I1586:I1589)</f>
        <v>4</v>
      </c>
      <c r="J1590" s="75"/>
    </row>
    <row r="1591" spans="1:10" s="90" customFormat="1" hidden="1" outlineLevel="2">
      <c r="A1591" s="90">
        <v>69</v>
      </c>
      <c r="B1591" s="90" t="s">
        <v>1806</v>
      </c>
      <c r="C1591" s="91" t="s">
        <v>1009</v>
      </c>
      <c r="D1591" s="94" t="str">
        <f>B1591&amp;"-"&amp;C1591</f>
        <v>字彙與閱讀-應英二甲</v>
      </c>
      <c r="E1591" s="93" t="s">
        <v>1804</v>
      </c>
      <c r="F1591" s="93" t="s">
        <v>1805</v>
      </c>
      <c r="G1591" s="93">
        <v>44</v>
      </c>
      <c r="H1591" s="93">
        <v>2</v>
      </c>
      <c r="I1591" s="93" t="s">
        <v>583</v>
      </c>
      <c r="J1591" s="75"/>
    </row>
    <row r="1592" spans="1:10" s="90" customFormat="1" hidden="1" outlineLevel="2">
      <c r="A1592" s="90">
        <v>69</v>
      </c>
      <c r="B1592" s="90" t="s">
        <v>1806</v>
      </c>
      <c r="C1592" s="91" t="s">
        <v>1009</v>
      </c>
      <c r="D1592" s="94" t="str">
        <f>B1592&amp;"-"&amp;C1592</f>
        <v>字彙與閱讀-應英二甲</v>
      </c>
      <c r="E1592" s="93" t="s">
        <v>1807</v>
      </c>
      <c r="F1592" s="93" t="s">
        <v>1808</v>
      </c>
      <c r="G1592" s="93">
        <v>47</v>
      </c>
      <c r="H1592" s="93">
        <v>2</v>
      </c>
      <c r="I1592" s="93" t="s">
        <v>583</v>
      </c>
      <c r="J1592" s="75"/>
    </row>
    <row r="1593" spans="1:10" s="90" customFormat="1" hidden="1" outlineLevel="2">
      <c r="A1593" s="90">
        <v>69</v>
      </c>
      <c r="B1593" s="90" t="s">
        <v>1806</v>
      </c>
      <c r="C1593" s="91" t="s">
        <v>1009</v>
      </c>
      <c r="D1593" s="94" t="str">
        <f>B1593&amp;"-"&amp;C1593</f>
        <v>字彙與閱讀-應英二甲</v>
      </c>
      <c r="E1593" s="93" t="s">
        <v>1809</v>
      </c>
      <c r="F1593" s="93" t="s">
        <v>1810</v>
      </c>
      <c r="G1593" s="93">
        <v>48</v>
      </c>
      <c r="H1593" s="93">
        <v>2</v>
      </c>
      <c r="I1593" s="93" t="s">
        <v>583</v>
      </c>
      <c r="J1593" s="75"/>
    </row>
    <row r="1594" spans="1:10" s="90" customFormat="1" hidden="1" outlineLevel="2">
      <c r="A1594" s="90">
        <v>69</v>
      </c>
      <c r="B1594" s="90" t="s">
        <v>1806</v>
      </c>
      <c r="C1594" s="91" t="s">
        <v>1009</v>
      </c>
      <c r="D1594" s="94" t="str">
        <f>B1594&amp;"-"&amp;C1594</f>
        <v>字彙與閱讀-應英二甲</v>
      </c>
      <c r="E1594" s="93" t="s">
        <v>1811</v>
      </c>
      <c r="F1594" s="93" t="s">
        <v>1812</v>
      </c>
      <c r="G1594" s="93">
        <v>47</v>
      </c>
      <c r="H1594" s="93">
        <v>2</v>
      </c>
      <c r="I1594" s="93" t="s">
        <v>583</v>
      </c>
      <c r="J1594" s="75"/>
    </row>
    <row r="1595" spans="1:10" s="90" customFormat="1" hidden="1" outlineLevel="2">
      <c r="A1595" s="90">
        <v>69</v>
      </c>
      <c r="B1595" s="90" t="s">
        <v>1806</v>
      </c>
      <c r="C1595" s="91" t="s">
        <v>1009</v>
      </c>
      <c r="D1595" s="94" t="str">
        <f>B1595&amp;"-"&amp;C1595</f>
        <v>字彙與閱讀-應英二甲</v>
      </c>
      <c r="E1595" s="93" t="s">
        <v>1014</v>
      </c>
      <c r="F1595" s="93" t="s">
        <v>1015</v>
      </c>
      <c r="G1595" s="93">
        <v>49</v>
      </c>
      <c r="H1595" s="93">
        <v>2</v>
      </c>
      <c r="I1595" s="93" t="s">
        <v>583</v>
      </c>
      <c r="J1595" s="75"/>
    </row>
    <row r="1596" spans="1:10" s="90" customFormat="1" outlineLevel="1" collapsed="1">
      <c r="C1596" s="91"/>
      <c r="D1596" s="92" t="s">
        <v>1909</v>
      </c>
      <c r="E1596" s="93">
        <f>SUBTOTAL(3,E1591:E1595)</f>
        <v>5</v>
      </c>
      <c r="F1596" s="93"/>
      <c r="G1596" s="93"/>
      <c r="H1596" s="93"/>
      <c r="I1596" s="93">
        <f>SUBTOTAL(3,I1591:I1595)</f>
        <v>5</v>
      </c>
      <c r="J1596" s="75"/>
    </row>
    <row r="1597" spans="1:10" s="90" customFormat="1" hidden="1" outlineLevel="2">
      <c r="A1597" s="90">
        <v>69</v>
      </c>
      <c r="B1597" s="90" t="s">
        <v>935</v>
      </c>
      <c r="C1597" s="91" t="s">
        <v>239</v>
      </c>
      <c r="D1597" s="94" t="s">
        <v>2058</v>
      </c>
      <c r="E1597" s="93" t="s">
        <v>562</v>
      </c>
      <c r="F1597" s="93" t="s">
        <v>563</v>
      </c>
      <c r="G1597" s="93">
        <v>50</v>
      </c>
      <c r="H1597" s="93">
        <v>2</v>
      </c>
      <c r="I1597" s="93" t="s">
        <v>11</v>
      </c>
      <c r="J1597" s="75"/>
    </row>
    <row r="1598" spans="1:10" s="90" customFormat="1" hidden="1" outlineLevel="2">
      <c r="A1598" s="90">
        <v>69</v>
      </c>
      <c r="B1598" s="90" t="s">
        <v>935</v>
      </c>
      <c r="C1598" s="91" t="s">
        <v>239</v>
      </c>
      <c r="D1598" s="94" t="s">
        <v>2058</v>
      </c>
      <c r="E1598" s="93" t="s">
        <v>564</v>
      </c>
      <c r="F1598" s="93" t="s">
        <v>565</v>
      </c>
      <c r="G1598" s="93">
        <v>53</v>
      </c>
      <c r="H1598" s="93">
        <v>2</v>
      </c>
      <c r="I1598" s="93" t="s">
        <v>11</v>
      </c>
      <c r="J1598" s="75"/>
    </row>
    <row r="1599" spans="1:10" s="90" customFormat="1" hidden="1" outlineLevel="2">
      <c r="A1599" s="90">
        <v>69</v>
      </c>
      <c r="B1599" s="90" t="s">
        <v>935</v>
      </c>
      <c r="C1599" s="91" t="s">
        <v>239</v>
      </c>
      <c r="D1599" s="94" t="s">
        <v>2058</v>
      </c>
      <c r="E1599" s="93" t="s">
        <v>240</v>
      </c>
      <c r="F1599" s="93" t="s">
        <v>241</v>
      </c>
      <c r="G1599" s="93">
        <v>44</v>
      </c>
      <c r="H1599" s="93">
        <v>2</v>
      </c>
      <c r="I1599" s="93" t="s">
        <v>11</v>
      </c>
      <c r="J1599" s="75"/>
    </row>
    <row r="1600" spans="1:10" s="90" customFormat="1" hidden="1" outlineLevel="2">
      <c r="A1600" s="90">
        <v>69</v>
      </c>
      <c r="B1600" s="90" t="s">
        <v>935</v>
      </c>
      <c r="C1600" s="91" t="s">
        <v>239</v>
      </c>
      <c r="D1600" s="94" t="s">
        <v>2058</v>
      </c>
      <c r="E1600" s="93" t="s">
        <v>242</v>
      </c>
      <c r="F1600" s="93" t="s">
        <v>243</v>
      </c>
      <c r="G1600" s="93">
        <v>51</v>
      </c>
      <c r="H1600" s="93">
        <v>2</v>
      </c>
      <c r="I1600" s="93" t="s">
        <v>11</v>
      </c>
      <c r="J1600" s="75"/>
    </row>
    <row r="1601" spans="3:10" s="90" customFormat="1" outlineLevel="1" collapsed="1">
      <c r="C1601" s="91"/>
      <c r="D1601" s="95" t="s">
        <v>2213</v>
      </c>
      <c r="E1601" s="90">
        <f>SUBTOTAL(3,E1597:E1600)</f>
        <v>4</v>
      </c>
      <c r="I1601" s="90">
        <f>SUBTOTAL(3,I1597:I1600)</f>
        <v>4</v>
      </c>
      <c r="J1601" s="90">
        <f>E1601+E1596+E1590</f>
        <v>13</v>
      </c>
    </row>
    <row r="1602" spans="3:10">
      <c r="D1602" s="52" t="s">
        <v>1861</v>
      </c>
      <c r="E1602" s="20">
        <f>SUBTOTAL(3,E2:E1600)</f>
        <v>1378</v>
      </c>
      <c r="I1602" s="20">
        <f>SUBTOTAL(3,I2:I1600)</f>
        <v>1378</v>
      </c>
    </row>
  </sheetData>
  <sortState xmlns:xlrd2="http://schemas.microsoft.com/office/spreadsheetml/2017/richdata2" ref="A2:J1600">
    <sortCondition ref="A2:A1600"/>
    <sortCondition ref="D2:D1600"/>
    <sortCondition ref="E2:E1600"/>
  </sortState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3" orientation="portrait" horizontalDpi="300" r:id="rId1"/>
  <headerFooter>
    <oddFooter>&amp;R&amp;"新細明體,粗體"&amp;12第&amp;P頁-共&amp;N頁</oddFooter>
  </headerFooter>
  <rowBreaks count="40" manualBreakCount="40">
    <brk id="42" max="9" man="1"/>
    <brk id="78" max="16383" man="1"/>
    <brk id="123" max="16383" man="1"/>
    <brk id="169" max="16383" man="1"/>
    <brk id="211" max="16383" man="1"/>
    <brk id="257" max="16383" man="1"/>
    <brk id="276" max="16383" man="1"/>
    <brk id="318" max="16383" man="1"/>
    <brk id="364" max="16383" man="1"/>
    <brk id="404" max="16383" man="1"/>
    <brk id="448" max="16383" man="1"/>
    <brk id="495" max="16383" man="1"/>
    <brk id="537" max="16383" man="1"/>
    <brk id="584" max="16383" man="1"/>
    <brk id="620" max="16383" man="1"/>
    <brk id="668" max="9" man="1"/>
    <brk id="718" max="9" man="1"/>
    <brk id="766" max="16383" man="1"/>
    <brk id="815" max="16383" man="1"/>
    <brk id="858" max="16383" man="1"/>
    <brk id="903" max="16383" man="1"/>
    <brk id="943" max="16383" man="1"/>
    <brk id="977" max="16383" man="1"/>
    <brk id="1004" max="16383" man="1"/>
    <brk id="1039" max="16383" man="1"/>
    <brk id="1085" max="16383" man="1"/>
    <brk id="1126" max="9" man="1"/>
    <brk id="1169" max="16383" man="1"/>
    <brk id="1209" max="16383" man="1"/>
    <brk id="1246" max="9" man="1"/>
    <brk id="1284" max="9" man="1"/>
    <brk id="1301" max="9" man="1"/>
    <brk id="1343" max="9" man="1"/>
    <brk id="1372" max="9" man="1"/>
    <brk id="1416" max="9" man="1"/>
    <brk id="1456" max="9" man="1"/>
    <brk id="1498" max="9" man="1"/>
    <brk id="1538" max="16383" man="1"/>
    <brk id="1580" max="16383" man="1"/>
    <brk id="1585" max="16383" man="1"/>
  </rowBreaks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300D-F6DA-4277-A97C-33DC73C88EA4}">
  <dimension ref="A1:W52"/>
  <sheetViews>
    <sheetView topLeftCell="A9" workbookViewId="0">
      <selection activeCell="U2" sqref="U2:W52"/>
    </sheetView>
  </sheetViews>
  <sheetFormatPr defaultRowHeight="12.5"/>
  <cols>
    <col min="1" max="1" width="29.1796875" bestFit="1" customWidth="1"/>
    <col min="2" max="3" width="4" bestFit="1" customWidth="1"/>
    <col min="4" max="4" width="2.54296875" customWidth="1"/>
    <col min="5" max="5" width="11.08984375" customWidth="1"/>
    <col min="8" max="8" width="2.81640625" customWidth="1"/>
    <col min="9" max="9" width="13.453125" customWidth="1"/>
    <col min="12" max="12" width="3.81640625" customWidth="1"/>
    <col min="13" max="13" width="12.90625" customWidth="1"/>
    <col min="16" max="16" width="3" customWidth="1"/>
    <col min="20" max="20" width="2.54296875" customWidth="1"/>
  </cols>
  <sheetData>
    <row r="1" spans="1:23" ht="13" thickBot="1"/>
    <row r="2" spans="1:23" ht="17.5" thickBot="1">
      <c r="A2" s="76" t="s">
        <v>2262</v>
      </c>
      <c r="B2" s="77">
        <v>2</v>
      </c>
      <c r="C2" s="78"/>
      <c r="E2" s="83" t="s">
        <v>2302</v>
      </c>
      <c r="F2" s="84">
        <v>10</v>
      </c>
      <c r="G2" s="85"/>
      <c r="I2" s="76" t="s">
        <v>2341</v>
      </c>
      <c r="J2" s="77">
        <v>13</v>
      </c>
      <c r="K2" s="78"/>
      <c r="M2" s="83" t="s">
        <v>2381</v>
      </c>
      <c r="N2" s="84">
        <v>2</v>
      </c>
      <c r="O2" s="85"/>
      <c r="Q2" s="76" t="s">
        <v>2411</v>
      </c>
      <c r="R2" s="77">
        <v>1</v>
      </c>
      <c r="S2" s="78"/>
      <c r="U2" s="96" t="s">
        <v>2437</v>
      </c>
      <c r="V2" s="97">
        <v>3</v>
      </c>
      <c r="W2" s="98"/>
    </row>
    <row r="3" spans="1:23" ht="17.5" thickBot="1">
      <c r="A3" s="79" t="s">
        <v>2263</v>
      </c>
      <c r="B3" s="80">
        <v>11</v>
      </c>
      <c r="C3" s="81"/>
      <c r="E3" s="86" t="s">
        <v>2303</v>
      </c>
      <c r="F3" s="87">
        <v>7</v>
      </c>
      <c r="G3" s="88">
        <v>17</v>
      </c>
      <c r="I3" s="79" t="s">
        <v>2342</v>
      </c>
      <c r="J3" s="80">
        <v>9</v>
      </c>
      <c r="K3" s="81"/>
      <c r="M3" s="86" t="s">
        <v>2382</v>
      </c>
      <c r="N3" s="87">
        <v>1</v>
      </c>
      <c r="O3" s="89"/>
      <c r="Q3" s="79" t="s">
        <v>2412</v>
      </c>
      <c r="R3" s="80">
        <v>1</v>
      </c>
      <c r="S3" s="81"/>
      <c r="U3" s="99" t="s">
        <v>2438</v>
      </c>
      <c r="V3" s="100">
        <v>1</v>
      </c>
      <c r="W3" s="101"/>
    </row>
    <row r="4" spans="1:23" ht="17.5" thickBot="1">
      <c r="A4" s="79" t="s">
        <v>2264</v>
      </c>
      <c r="B4" s="80">
        <v>9</v>
      </c>
      <c r="C4" s="81"/>
      <c r="E4" s="86" t="s">
        <v>2304</v>
      </c>
      <c r="F4" s="87">
        <v>14</v>
      </c>
      <c r="G4" s="89"/>
      <c r="I4" s="79" t="s">
        <v>2343</v>
      </c>
      <c r="J4" s="80">
        <v>9</v>
      </c>
      <c r="K4" s="81"/>
      <c r="M4" s="86" t="s">
        <v>2383</v>
      </c>
      <c r="N4" s="87">
        <v>3</v>
      </c>
      <c r="O4" s="89"/>
      <c r="Q4" s="79" t="s">
        <v>2413</v>
      </c>
      <c r="R4" s="80">
        <v>1</v>
      </c>
      <c r="S4" s="81"/>
      <c r="U4" s="99" t="s">
        <v>2439</v>
      </c>
      <c r="V4" s="100">
        <v>6</v>
      </c>
      <c r="W4" s="101"/>
    </row>
    <row r="5" spans="1:23" ht="17.5" thickBot="1">
      <c r="A5" s="79" t="s">
        <v>2265</v>
      </c>
      <c r="B5" s="80">
        <v>2</v>
      </c>
      <c r="C5" s="81"/>
      <c r="E5" s="86" t="s">
        <v>2305</v>
      </c>
      <c r="F5" s="87">
        <v>13</v>
      </c>
      <c r="G5" s="89"/>
      <c r="I5" s="79" t="s">
        <v>2344</v>
      </c>
      <c r="J5" s="80">
        <v>4</v>
      </c>
      <c r="K5" s="81"/>
      <c r="M5" s="86" t="s">
        <v>2384</v>
      </c>
      <c r="N5" s="87">
        <v>1</v>
      </c>
      <c r="O5" s="89"/>
      <c r="Q5" s="79" t="s">
        <v>2414</v>
      </c>
      <c r="R5" s="80">
        <v>1</v>
      </c>
      <c r="S5" s="81"/>
      <c r="U5" s="99" t="s">
        <v>2440</v>
      </c>
      <c r="V5" s="100">
        <v>3</v>
      </c>
      <c r="W5" s="101"/>
    </row>
    <row r="6" spans="1:23" ht="17.5" thickBot="1">
      <c r="A6" s="79" t="s">
        <v>2266</v>
      </c>
      <c r="B6" s="80">
        <v>4</v>
      </c>
      <c r="C6" s="81"/>
      <c r="E6" s="86" t="s">
        <v>2306</v>
      </c>
      <c r="F6" s="87">
        <v>8</v>
      </c>
      <c r="G6" s="89"/>
      <c r="I6" s="79" t="s">
        <v>2345</v>
      </c>
      <c r="J6" s="80">
        <v>8</v>
      </c>
      <c r="K6" s="82">
        <v>43</v>
      </c>
      <c r="M6" s="86" t="s">
        <v>2385</v>
      </c>
      <c r="N6" s="87">
        <v>2</v>
      </c>
      <c r="O6" s="89"/>
      <c r="Q6" s="79" t="s">
        <v>2415</v>
      </c>
      <c r="R6" s="80">
        <v>4</v>
      </c>
      <c r="S6" s="81"/>
      <c r="U6" s="99" t="s">
        <v>2441</v>
      </c>
      <c r="V6" s="100">
        <v>2</v>
      </c>
      <c r="W6" s="101"/>
    </row>
    <row r="7" spans="1:23" ht="17.5" thickBot="1">
      <c r="A7" s="79" t="s">
        <v>2267</v>
      </c>
      <c r="B7" s="80">
        <v>5</v>
      </c>
      <c r="C7" s="81"/>
      <c r="E7" s="86" t="s">
        <v>2307</v>
      </c>
      <c r="F7" s="87">
        <v>3</v>
      </c>
      <c r="G7" s="88">
        <v>38</v>
      </c>
      <c r="I7" s="79" t="s">
        <v>2346</v>
      </c>
      <c r="J7" s="80">
        <v>3</v>
      </c>
      <c r="K7" s="81"/>
      <c r="M7" s="86" t="s">
        <v>2386</v>
      </c>
      <c r="N7" s="87">
        <v>2</v>
      </c>
      <c r="O7" s="89"/>
      <c r="Q7" s="79" t="s">
        <v>2416</v>
      </c>
      <c r="R7" s="80">
        <v>1</v>
      </c>
      <c r="S7" s="81"/>
      <c r="U7" s="99" t="s">
        <v>2442</v>
      </c>
      <c r="V7" s="100">
        <v>9</v>
      </c>
      <c r="W7" s="101"/>
    </row>
    <row r="8" spans="1:23" ht="17.5" thickBot="1">
      <c r="A8" s="79" t="s">
        <v>2268</v>
      </c>
      <c r="B8" s="80">
        <v>1</v>
      </c>
      <c r="C8" s="82">
        <v>34</v>
      </c>
      <c r="E8" s="86" t="s">
        <v>2308</v>
      </c>
      <c r="F8" s="87">
        <v>13</v>
      </c>
      <c r="G8" s="89"/>
      <c r="I8" s="79" t="s">
        <v>2347</v>
      </c>
      <c r="J8" s="80">
        <v>2</v>
      </c>
      <c r="K8" s="81"/>
      <c r="M8" s="86" t="s">
        <v>2387</v>
      </c>
      <c r="N8" s="87">
        <v>1</v>
      </c>
      <c r="O8" s="89"/>
      <c r="Q8" s="79" t="s">
        <v>2417</v>
      </c>
      <c r="R8" s="80">
        <v>1</v>
      </c>
      <c r="S8" s="81"/>
      <c r="U8" s="99" t="s">
        <v>2443</v>
      </c>
      <c r="V8" s="100">
        <v>6</v>
      </c>
      <c r="W8" s="102">
        <v>30</v>
      </c>
    </row>
    <row r="9" spans="1:23" ht="17.5" thickBot="1">
      <c r="A9" s="79" t="s">
        <v>2269</v>
      </c>
      <c r="B9" s="80">
        <v>3</v>
      </c>
      <c r="C9" s="81"/>
      <c r="E9" s="86" t="s">
        <v>2309</v>
      </c>
      <c r="F9" s="87">
        <v>3</v>
      </c>
      <c r="G9" s="89"/>
      <c r="I9" s="79" t="s">
        <v>2348</v>
      </c>
      <c r="J9" s="80">
        <v>6</v>
      </c>
      <c r="K9" s="81"/>
      <c r="M9" s="86" t="s">
        <v>2388</v>
      </c>
      <c r="N9" s="87">
        <v>1</v>
      </c>
      <c r="O9" s="89"/>
      <c r="Q9" s="79" t="s">
        <v>2418</v>
      </c>
      <c r="R9" s="80">
        <v>1</v>
      </c>
      <c r="S9" s="81"/>
      <c r="U9" s="79" t="s">
        <v>2444</v>
      </c>
      <c r="V9" s="80">
        <v>2</v>
      </c>
      <c r="W9" s="81"/>
    </row>
    <row r="10" spans="1:23" ht="17.5" thickBot="1">
      <c r="A10" s="79" t="s">
        <v>2270</v>
      </c>
      <c r="B10" s="80">
        <v>7</v>
      </c>
      <c r="C10" s="81"/>
      <c r="E10" s="86" t="s">
        <v>2310</v>
      </c>
      <c r="F10" s="87">
        <v>8</v>
      </c>
      <c r="G10" s="89"/>
      <c r="I10" s="79" t="s">
        <v>2349</v>
      </c>
      <c r="J10" s="80">
        <v>16</v>
      </c>
      <c r="K10" s="81"/>
      <c r="M10" s="86" t="s">
        <v>2389</v>
      </c>
      <c r="N10" s="87">
        <v>2</v>
      </c>
      <c r="O10" s="89"/>
      <c r="Q10" s="79" t="s">
        <v>2419</v>
      </c>
      <c r="R10" s="80">
        <v>2</v>
      </c>
      <c r="S10" s="81"/>
      <c r="U10" s="79" t="s">
        <v>2445</v>
      </c>
      <c r="V10" s="80">
        <v>3</v>
      </c>
      <c r="W10" s="81"/>
    </row>
    <row r="11" spans="1:23" ht="17.5" thickBot="1">
      <c r="A11" s="79" t="s">
        <v>2271</v>
      </c>
      <c r="B11" s="80">
        <v>5</v>
      </c>
      <c r="C11" s="81"/>
      <c r="E11" s="86" t="s">
        <v>2311</v>
      </c>
      <c r="F11" s="87">
        <v>7</v>
      </c>
      <c r="G11" s="89"/>
      <c r="I11" s="79" t="s">
        <v>2350</v>
      </c>
      <c r="J11" s="80">
        <v>4</v>
      </c>
      <c r="K11" s="81"/>
      <c r="M11" s="86" t="s">
        <v>2390</v>
      </c>
      <c r="N11" s="87">
        <v>2</v>
      </c>
      <c r="O11" s="89"/>
      <c r="Q11" s="79" t="s">
        <v>2420</v>
      </c>
      <c r="R11" s="80">
        <v>1</v>
      </c>
      <c r="S11" s="81"/>
      <c r="U11" s="79" t="s">
        <v>2446</v>
      </c>
      <c r="V11" s="80">
        <v>6</v>
      </c>
      <c r="W11" s="81"/>
    </row>
    <row r="12" spans="1:23" ht="17.5" thickBot="1">
      <c r="A12" s="79" t="s">
        <v>2272</v>
      </c>
      <c r="B12" s="80">
        <v>7</v>
      </c>
      <c r="C12" s="81"/>
      <c r="E12" s="86" t="s">
        <v>2312</v>
      </c>
      <c r="F12" s="87">
        <v>10</v>
      </c>
      <c r="G12" s="88">
        <v>41</v>
      </c>
      <c r="I12" s="79" t="s">
        <v>2351</v>
      </c>
      <c r="J12" s="80">
        <v>5</v>
      </c>
      <c r="K12" s="81"/>
      <c r="M12" s="86" t="s">
        <v>2391</v>
      </c>
      <c r="N12" s="87">
        <v>2</v>
      </c>
      <c r="O12" s="89"/>
      <c r="Q12" s="79" t="s">
        <v>2421</v>
      </c>
      <c r="R12" s="80">
        <v>1</v>
      </c>
      <c r="S12" s="81"/>
      <c r="U12" s="79" t="s">
        <v>2447</v>
      </c>
      <c r="V12" s="80">
        <v>1</v>
      </c>
      <c r="W12" s="81"/>
    </row>
    <row r="13" spans="1:23" ht="17.5" thickBot="1">
      <c r="A13" s="79" t="s">
        <v>2273</v>
      </c>
      <c r="B13" s="80">
        <v>7</v>
      </c>
      <c r="C13" s="81"/>
      <c r="E13" s="86" t="s">
        <v>2313</v>
      </c>
      <c r="F13" s="87">
        <v>13</v>
      </c>
      <c r="G13" s="89"/>
      <c r="I13" s="79" t="s">
        <v>2352</v>
      </c>
      <c r="J13" s="80">
        <v>7</v>
      </c>
      <c r="K13" s="82">
        <v>43</v>
      </c>
      <c r="M13" s="86" t="s">
        <v>2392</v>
      </c>
      <c r="N13" s="87">
        <v>3</v>
      </c>
      <c r="O13" s="88">
        <v>22</v>
      </c>
      <c r="Q13" s="79" t="s">
        <v>2422</v>
      </c>
      <c r="R13" s="80">
        <v>9</v>
      </c>
      <c r="S13" s="81"/>
      <c r="U13" s="79" t="s">
        <v>2448</v>
      </c>
      <c r="V13" s="80">
        <v>10</v>
      </c>
      <c r="W13" s="81"/>
    </row>
    <row r="14" spans="1:23" ht="17.5" thickBot="1">
      <c r="A14" s="79" t="s">
        <v>2274</v>
      </c>
      <c r="B14" s="80">
        <v>1</v>
      </c>
      <c r="C14" s="82">
        <v>30</v>
      </c>
      <c r="E14" s="86" t="s">
        <v>2314</v>
      </c>
      <c r="F14" s="87">
        <v>9</v>
      </c>
      <c r="G14" s="89"/>
      <c r="I14" s="79" t="s">
        <v>2353</v>
      </c>
      <c r="J14" s="80">
        <v>6</v>
      </c>
      <c r="K14" s="81"/>
      <c r="M14" s="86" t="s">
        <v>2393</v>
      </c>
      <c r="N14" s="87">
        <v>1</v>
      </c>
      <c r="O14" s="89"/>
      <c r="Q14" s="79" t="s">
        <v>2423</v>
      </c>
      <c r="R14" s="80">
        <v>5</v>
      </c>
      <c r="S14" s="81"/>
      <c r="U14" s="79" t="s">
        <v>2449</v>
      </c>
      <c r="V14" s="80">
        <v>10</v>
      </c>
      <c r="W14" s="82">
        <v>32</v>
      </c>
    </row>
    <row r="15" spans="1:23" ht="17.5" thickBot="1">
      <c r="A15" s="79" t="s">
        <v>2275</v>
      </c>
      <c r="B15" s="80">
        <v>13</v>
      </c>
      <c r="C15" s="81"/>
      <c r="E15" s="86" t="s">
        <v>2315</v>
      </c>
      <c r="F15" s="87">
        <v>4</v>
      </c>
      <c r="G15" s="89"/>
      <c r="I15" s="79" t="s">
        <v>2354</v>
      </c>
      <c r="J15" s="80">
        <v>13</v>
      </c>
      <c r="K15" s="81"/>
      <c r="M15" s="86" t="s">
        <v>2394</v>
      </c>
      <c r="N15" s="87">
        <v>1</v>
      </c>
      <c r="O15" s="89"/>
      <c r="Q15" s="79" t="s">
        <v>2424</v>
      </c>
      <c r="R15" s="80">
        <v>3</v>
      </c>
      <c r="S15" s="82">
        <v>32</v>
      </c>
      <c r="U15" s="99" t="s">
        <v>2450</v>
      </c>
      <c r="V15" s="100">
        <v>2</v>
      </c>
      <c r="W15" s="101"/>
    </row>
    <row r="16" spans="1:23" ht="17.5" thickBot="1">
      <c r="A16" s="79" t="s">
        <v>2276</v>
      </c>
      <c r="B16" s="80">
        <v>8</v>
      </c>
      <c r="C16" s="81"/>
      <c r="E16" s="86" t="s">
        <v>2316</v>
      </c>
      <c r="F16" s="87">
        <v>10</v>
      </c>
      <c r="G16" s="88">
        <v>36</v>
      </c>
      <c r="I16" s="79" t="s">
        <v>2355</v>
      </c>
      <c r="J16" s="80">
        <v>2</v>
      </c>
      <c r="K16" s="81"/>
      <c r="M16" s="86" t="s">
        <v>2395</v>
      </c>
      <c r="N16" s="87">
        <v>1</v>
      </c>
      <c r="O16" s="89"/>
      <c r="Q16" s="79" t="s">
        <v>2425</v>
      </c>
      <c r="R16" s="80">
        <v>10</v>
      </c>
      <c r="S16" s="81"/>
      <c r="U16" s="99" t="s">
        <v>2451</v>
      </c>
      <c r="V16" s="100">
        <v>1</v>
      </c>
      <c r="W16" s="101"/>
    </row>
    <row r="17" spans="1:23" ht="17.5" thickBot="1">
      <c r="A17" s="79" t="s">
        <v>2277</v>
      </c>
      <c r="B17" s="80">
        <v>11</v>
      </c>
      <c r="C17" s="81"/>
      <c r="E17" s="86" t="s">
        <v>2317</v>
      </c>
      <c r="F17" s="87">
        <v>12</v>
      </c>
      <c r="G17" s="89"/>
      <c r="I17" s="79" t="s">
        <v>2356</v>
      </c>
      <c r="J17" s="80">
        <v>5</v>
      </c>
      <c r="K17" s="81"/>
      <c r="M17" s="86" t="s">
        <v>2396</v>
      </c>
      <c r="N17" s="87">
        <v>1</v>
      </c>
      <c r="O17" s="89"/>
      <c r="Q17" s="79" t="s">
        <v>2426</v>
      </c>
      <c r="R17" s="80">
        <v>4</v>
      </c>
      <c r="S17" s="81"/>
      <c r="U17" s="99" t="s">
        <v>2452</v>
      </c>
      <c r="V17" s="100">
        <v>1</v>
      </c>
      <c r="W17" s="101"/>
    </row>
    <row r="18" spans="1:23" ht="17.5" thickBot="1">
      <c r="A18" s="79" t="s">
        <v>2278</v>
      </c>
      <c r="B18" s="80">
        <v>3</v>
      </c>
      <c r="C18" s="81"/>
      <c r="E18" s="86" t="s">
        <v>2318</v>
      </c>
      <c r="F18" s="87">
        <v>6</v>
      </c>
      <c r="G18" s="89"/>
      <c r="I18" s="79" t="s">
        <v>2357</v>
      </c>
      <c r="J18" s="80">
        <v>7</v>
      </c>
      <c r="K18" s="81"/>
      <c r="M18" s="86" t="s">
        <v>2397</v>
      </c>
      <c r="N18" s="87">
        <v>1</v>
      </c>
      <c r="O18" s="89"/>
      <c r="Q18" s="79" t="s">
        <v>2427</v>
      </c>
      <c r="R18" s="80">
        <v>16</v>
      </c>
      <c r="S18" s="81"/>
      <c r="U18" s="99" t="s">
        <v>2453</v>
      </c>
      <c r="V18" s="100">
        <v>9</v>
      </c>
      <c r="W18" s="102">
        <v>13</v>
      </c>
    </row>
    <row r="19" spans="1:23" ht="17.5" thickBot="1">
      <c r="A19" s="79" t="s">
        <v>2279</v>
      </c>
      <c r="B19" s="80">
        <v>5</v>
      </c>
      <c r="C19" s="82">
        <v>40</v>
      </c>
      <c r="E19" s="86" t="s">
        <v>2319</v>
      </c>
      <c r="F19" s="87">
        <v>12</v>
      </c>
      <c r="G19" s="89"/>
      <c r="I19" s="79" t="s">
        <v>2358</v>
      </c>
      <c r="J19" s="80">
        <v>9</v>
      </c>
      <c r="K19" s="82">
        <v>42</v>
      </c>
      <c r="M19" s="86" t="s">
        <v>2398</v>
      </c>
      <c r="N19" s="87">
        <v>1</v>
      </c>
      <c r="O19" s="89"/>
      <c r="Q19" s="79" t="s">
        <v>2428</v>
      </c>
      <c r="R19" s="80">
        <v>7</v>
      </c>
      <c r="S19" s="82">
        <v>37</v>
      </c>
      <c r="U19" s="79" t="s">
        <v>2454</v>
      </c>
      <c r="V19" s="80">
        <v>15</v>
      </c>
      <c r="W19" s="81"/>
    </row>
    <row r="20" spans="1:23" ht="17.5" thickBot="1">
      <c r="A20" s="79" t="s">
        <v>2280</v>
      </c>
      <c r="B20" s="80">
        <v>9</v>
      </c>
      <c r="C20" s="81"/>
      <c r="E20" s="86" t="s">
        <v>2320</v>
      </c>
      <c r="F20" s="87">
        <v>10</v>
      </c>
      <c r="G20" s="88">
        <v>40</v>
      </c>
      <c r="I20" s="79" t="s">
        <v>2359</v>
      </c>
      <c r="J20" s="80">
        <v>1</v>
      </c>
      <c r="K20" s="81"/>
      <c r="M20" s="86" t="s">
        <v>2399</v>
      </c>
      <c r="N20" s="87">
        <v>3</v>
      </c>
      <c r="O20" s="89"/>
      <c r="Q20" s="79" t="s">
        <v>2429</v>
      </c>
      <c r="R20" s="80">
        <v>15</v>
      </c>
      <c r="S20" s="81"/>
      <c r="U20" s="79" t="s">
        <v>2455</v>
      </c>
      <c r="V20" s="80">
        <v>1</v>
      </c>
      <c r="W20" s="81"/>
    </row>
    <row r="21" spans="1:23" ht="17.5" thickBot="1">
      <c r="A21" s="79" t="s">
        <v>2281</v>
      </c>
      <c r="B21" s="80">
        <v>8</v>
      </c>
      <c r="C21" s="81"/>
      <c r="E21" s="86" t="s">
        <v>2321</v>
      </c>
      <c r="F21" s="87">
        <v>11</v>
      </c>
      <c r="G21" s="89"/>
      <c r="I21" s="79" t="s">
        <v>2360</v>
      </c>
      <c r="J21" s="80">
        <v>1</v>
      </c>
      <c r="K21" s="81"/>
      <c r="M21" s="86" t="s">
        <v>2400</v>
      </c>
      <c r="N21" s="87">
        <v>1</v>
      </c>
      <c r="O21" s="89"/>
      <c r="Q21" s="79" t="s">
        <v>2430</v>
      </c>
      <c r="R21" s="80">
        <v>8</v>
      </c>
      <c r="S21" s="81"/>
      <c r="U21" s="79" t="s">
        <v>2456</v>
      </c>
      <c r="V21" s="80">
        <v>5</v>
      </c>
      <c r="W21" s="81"/>
    </row>
    <row r="22" spans="1:23" ht="17.5" thickBot="1">
      <c r="A22" s="79" t="s">
        <v>2282</v>
      </c>
      <c r="B22" s="80">
        <v>13</v>
      </c>
      <c r="C22" s="81"/>
      <c r="E22" s="86" t="s">
        <v>2322</v>
      </c>
      <c r="F22" s="87">
        <v>15</v>
      </c>
      <c r="G22" s="89"/>
      <c r="I22" s="79" t="s">
        <v>2361</v>
      </c>
      <c r="J22" s="80">
        <v>10</v>
      </c>
      <c r="K22" s="81"/>
      <c r="M22" s="86" t="s">
        <v>2401</v>
      </c>
      <c r="N22" s="87">
        <v>6</v>
      </c>
      <c r="O22" s="89"/>
      <c r="Q22" s="79" t="s">
        <v>2431</v>
      </c>
      <c r="R22" s="80">
        <v>5</v>
      </c>
      <c r="S22" s="81"/>
      <c r="U22" s="79" t="s">
        <v>2457</v>
      </c>
      <c r="V22" s="80">
        <v>11</v>
      </c>
      <c r="W22" s="81"/>
    </row>
    <row r="23" spans="1:23" ht="17.5" thickBot="1">
      <c r="A23" s="79" t="s">
        <v>2283</v>
      </c>
      <c r="B23" s="80">
        <v>12</v>
      </c>
      <c r="C23" s="82">
        <v>42</v>
      </c>
      <c r="E23" s="86" t="s">
        <v>2323</v>
      </c>
      <c r="F23" s="87">
        <v>3</v>
      </c>
      <c r="G23" s="89"/>
      <c r="I23" s="79" t="s">
        <v>2362</v>
      </c>
      <c r="J23" s="80">
        <v>7</v>
      </c>
      <c r="K23" s="81"/>
      <c r="M23" s="86" t="s">
        <v>2402</v>
      </c>
      <c r="N23" s="87">
        <v>1</v>
      </c>
      <c r="O23" s="88">
        <v>17</v>
      </c>
      <c r="Q23" s="79" t="s">
        <v>2432</v>
      </c>
      <c r="R23" s="80">
        <v>11</v>
      </c>
      <c r="S23" s="82">
        <v>39</v>
      </c>
      <c r="U23" s="79" t="s">
        <v>2458</v>
      </c>
      <c r="V23" s="80">
        <v>5</v>
      </c>
      <c r="W23" s="82">
        <v>37</v>
      </c>
    </row>
    <row r="24" spans="1:23" ht="17.5" thickBot="1">
      <c r="A24" s="79" t="s">
        <v>2284</v>
      </c>
      <c r="B24" s="80">
        <v>2</v>
      </c>
      <c r="C24" s="81"/>
      <c r="E24" s="86" t="s">
        <v>2324</v>
      </c>
      <c r="F24" s="87">
        <v>3</v>
      </c>
      <c r="G24" s="89"/>
      <c r="I24" s="79" t="s">
        <v>2363</v>
      </c>
      <c r="J24" s="80">
        <v>3</v>
      </c>
      <c r="K24" s="81"/>
      <c r="M24" s="86" t="s">
        <v>2403</v>
      </c>
      <c r="N24" s="87">
        <v>4</v>
      </c>
      <c r="O24" s="89"/>
      <c r="Q24" s="79" t="s">
        <v>2433</v>
      </c>
      <c r="R24" s="80">
        <v>10</v>
      </c>
      <c r="S24" s="81"/>
      <c r="U24" s="99" t="s">
        <v>2459</v>
      </c>
      <c r="V24" s="100">
        <v>1</v>
      </c>
      <c r="W24" s="101"/>
    </row>
    <row r="25" spans="1:23" ht="17.5" thickBot="1">
      <c r="A25" s="79" t="s">
        <v>2285</v>
      </c>
      <c r="B25" s="80">
        <v>9</v>
      </c>
      <c r="C25" s="81"/>
      <c r="E25" s="86" t="s">
        <v>2325</v>
      </c>
      <c r="F25" s="87">
        <v>2</v>
      </c>
      <c r="G25" s="89"/>
      <c r="I25" s="79" t="s">
        <v>2364</v>
      </c>
      <c r="J25" s="80">
        <v>9</v>
      </c>
      <c r="K25" s="81"/>
      <c r="M25" s="86" t="s">
        <v>2404</v>
      </c>
      <c r="N25" s="87">
        <v>1</v>
      </c>
      <c r="O25" s="89"/>
      <c r="Q25" s="79" t="s">
        <v>2434</v>
      </c>
      <c r="R25" s="80">
        <v>10</v>
      </c>
      <c r="S25" s="81"/>
      <c r="U25" s="99" t="s">
        <v>2460</v>
      </c>
      <c r="V25" s="100">
        <v>9</v>
      </c>
      <c r="W25" s="101"/>
    </row>
    <row r="26" spans="1:23" ht="17.5" thickBot="1">
      <c r="A26" s="79" t="s">
        <v>2286</v>
      </c>
      <c r="B26" s="80">
        <v>6</v>
      </c>
      <c r="C26" s="81"/>
      <c r="E26" s="86" t="s">
        <v>2326</v>
      </c>
      <c r="F26" s="87">
        <v>7</v>
      </c>
      <c r="G26" s="88">
        <v>41</v>
      </c>
      <c r="I26" s="79" t="s">
        <v>2365</v>
      </c>
      <c r="J26" s="80">
        <v>1</v>
      </c>
      <c r="K26" s="81"/>
      <c r="M26" s="86" t="s">
        <v>2405</v>
      </c>
      <c r="N26" s="87">
        <v>3</v>
      </c>
      <c r="O26" s="89"/>
      <c r="Q26" s="79" t="s">
        <v>2435</v>
      </c>
      <c r="R26" s="80">
        <v>9</v>
      </c>
      <c r="S26" s="81"/>
      <c r="U26" s="99" t="s">
        <v>2461</v>
      </c>
      <c r="V26" s="100">
        <v>13</v>
      </c>
      <c r="W26" s="101"/>
    </row>
    <row r="27" spans="1:23" ht="17.5" thickBot="1">
      <c r="A27" s="79" t="s">
        <v>2287</v>
      </c>
      <c r="B27" s="80">
        <v>7</v>
      </c>
      <c r="C27" s="81"/>
      <c r="E27" s="86" t="s">
        <v>2327</v>
      </c>
      <c r="F27" s="87">
        <v>9</v>
      </c>
      <c r="G27" s="89"/>
      <c r="I27" s="79" t="s">
        <v>2366</v>
      </c>
      <c r="J27" s="80">
        <v>2</v>
      </c>
      <c r="K27" s="81"/>
      <c r="M27" s="86" t="s">
        <v>2406</v>
      </c>
      <c r="N27" s="87">
        <v>2</v>
      </c>
      <c r="O27" s="89"/>
      <c r="Q27" s="79" t="s">
        <v>2436</v>
      </c>
      <c r="R27" s="80">
        <v>7</v>
      </c>
      <c r="S27" s="82">
        <v>36</v>
      </c>
      <c r="U27" s="99" t="s">
        <v>2462</v>
      </c>
      <c r="V27" s="100">
        <v>2</v>
      </c>
      <c r="W27" s="102">
        <v>25</v>
      </c>
    </row>
    <row r="28" spans="1:23" ht="17.5" thickBot="1">
      <c r="A28" s="79" t="s">
        <v>2288</v>
      </c>
      <c r="B28" s="80">
        <v>6</v>
      </c>
      <c r="C28" s="81"/>
      <c r="E28" s="86" t="s">
        <v>2328</v>
      </c>
      <c r="F28" s="87">
        <v>7</v>
      </c>
      <c r="G28" s="89"/>
      <c r="I28" s="79" t="s">
        <v>2367</v>
      </c>
      <c r="J28" s="80">
        <v>6</v>
      </c>
      <c r="K28" s="82">
        <v>40</v>
      </c>
      <c r="M28" s="86" t="s">
        <v>2407</v>
      </c>
      <c r="N28" s="87">
        <v>3</v>
      </c>
      <c r="O28" s="89"/>
      <c r="U28" s="99" t="s">
        <v>2463</v>
      </c>
      <c r="V28" s="100">
        <v>8</v>
      </c>
      <c r="W28" s="101"/>
    </row>
    <row r="29" spans="1:23" ht="17.5" thickBot="1">
      <c r="A29" s="79" t="s">
        <v>2289</v>
      </c>
      <c r="B29" s="80">
        <v>4</v>
      </c>
      <c r="C29" s="81"/>
      <c r="E29" s="86" t="s">
        <v>2329</v>
      </c>
      <c r="F29" s="87">
        <v>9</v>
      </c>
      <c r="G29" s="89"/>
      <c r="I29" s="79" t="s">
        <v>2368</v>
      </c>
      <c r="J29" s="80">
        <v>12</v>
      </c>
      <c r="K29" s="81"/>
      <c r="M29" s="86" t="s">
        <v>2408</v>
      </c>
      <c r="N29" s="87">
        <v>2</v>
      </c>
      <c r="O29" s="89"/>
      <c r="U29" s="99" t="s">
        <v>2464</v>
      </c>
      <c r="V29" s="100">
        <v>7</v>
      </c>
      <c r="W29" s="101"/>
    </row>
    <row r="30" spans="1:23" ht="17.5" thickBot="1">
      <c r="A30" s="79" t="s">
        <v>2290</v>
      </c>
      <c r="B30" s="80">
        <v>1</v>
      </c>
      <c r="C30" s="82">
        <v>35</v>
      </c>
      <c r="E30" s="86" t="s">
        <v>2330</v>
      </c>
      <c r="F30" s="87">
        <v>13</v>
      </c>
      <c r="G30" s="88">
        <v>38</v>
      </c>
      <c r="I30" s="79" t="s">
        <v>2369</v>
      </c>
      <c r="J30" s="80">
        <v>10</v>
      </c>
      <c r="K30" s="81"/>
      <c r="M30" s="86" t="s">
        <v>2409</v>
      </c>
      <c r="N30" s="87">
        <v>5</v>
      </c>
      <c r="O30" s="89"/>
      <c r="U30" s="99" t="s">
        <v>2465</v>
      </c>
      <c r="V30" s="100">
        <v>4</v>
      </c>
      <c r="W30" s="101"/>
    </row>
    <row r="31" spans="1:23" ht="17.5" thickBot="1">
      <c r="A31" s="79" t="s">
        <v>2291</v>
      </c>
      <c r="B31" s="80">
        <v>9</v>
      </c>
      <c r="C31" s="81"/>
      <c r="E31" s="86" t="s">
        <v>2331</v>
      </c>
      <c r="F31" s="87">
        <v>6</v>
      </c>
      <c r="G31" s="89"/>
      <c r="I31" s="79" t="s">
        <v>2370</v>
      </c>
      <c r="J31" s="80">
        <v>8</v>
      </c>
      <c r="K31" s="81"/>
      <c r="M31" s="86" t="s">
        <v>2410</v>
      </c>
      <c r="N31" s="87">
        <v>7</v>
      </c>
      <c r="O31" s="88">
        <v>27</v>
      </c>
      <c r="U31" s="99" t="s">
        <v>2466</v>
      </c>
      <c r="V31" s="100">
        <v>12</v>
      </c>
      <c r="W31" s="101"/>
    </row>
    <row r="32" spans="1:23" ht="17.5" thickBot="1">
      <c r="A32" s="79" t="s">
        <v>2292</v>
      </c>
      <c r="B32" s="80">
        <v>4</v>
      </c>
      <c r="C32" s="81"/>
      <c r="E32" s="86" t="s">
        <v>2332</v>
      </c>
      <c r="F32" s="87">
        <v>11</v>
      </c>
      <c r="G32" s="89"/>
      <c r="I32" s="79" t="s">
        <v>2371</v>
      </c>
      <c r="J32" s="80">
        <v>9</v>
      </c>
      <c r="K32" s="82">
        <v>39</v>
      </c>
      <c r="U32" s="99" t="s">
        <v>2467</v>
      </c>
      <c r="V32" s="100">
        <v>8</v>
      </c>
      <c r="W32" s="103">
        <v>39</v>
      </c>
    </row>
    <row r="33" spans="1:23" ht="17.5" thickBot="1">
      <c r="A33" s="79" t="s">
        <v>2293</v>
      </c>
      <c r="B33" s="80">
        <v>1</v>
      </c>
      <c r="C33" s="81"/>
      <c r="E33" s="86" t="s">
        <v>2333</v>
      </c>
      <c r="F33" s="87">
        <v>1</v>
      </c>
      <c r="G33" s="89"/>
      <c r="I33" s="79" t="s">
        <v>2372</v>
      </c>
      <c r="J33" s="80">
        <v>6</v>
      </c>
      <c r="K33" s="81"/>
      <c r="U33" s="79" t="s">
        <v>2468</v>
      </c>
      <c r="V33" s="80">
        <v>16</v>
      </c>
      <c r="W33" s="81"/>
    </row>
    <row r="34" spans="1:23" ht="17.5" thickBot="1">
      <c r="A34" s="79" t="s">
        <v>2294</v>
      </c>
      <c r="B34" s="80">
        <v>2</v>
      </c>
      <c r="C34" s="81"/>
      <c r="E34" s="86" t="s">
        <v>2334</v>
      </c>
      <c r="F34" s="87">
        <v>7</v>
      </c>
      <c r="G34" s="89"/>
      <c r="I34" s="79" t="s">
        <v>2373</v>
      </c>
      <c r="J34" s="80">
        <v>11</v>
      </c>
      <c r="K34" s="81"/>
      <c r="U34" s="79" t="s">
        <v>2469</v>
      </c>
      <c r="V34" s="80">
        <v>8</v>
      </c>
      <c r="W34" s="81"/>
    </row>
    <row r="35" spans="1:23" ht="17.5" thickBot="1">
      <c r="A35" s="79" t="s">
        <v>2295</v>
      </c>
      <c r="B35" s="80">
        <v>10</v>
      </c>
      <c r="C35" s="81"/>
      <c r="E35" s="86" t="s">
        <v>2335</v>
      </c>
      <c r="F35" s="87">
        <v>8</v>
      </c>
      <c r="G35" s="89"/>
      <c r="I35" s="79" t="s">
        <v>2374</v>
      </c>
      <c r="J35" s="80">
        <v>10</v>
      </c>
      <c r="K35" s="81"/>
      <c r="U35" s="79" t="s">
        <v>2470</v>
      </c>
      <c r="V35" s="80">
        <v>13</v>
      </c>
      <c r="W35" s="82">
        <v>37</v>
      </c>
    </row>
    <row r="36" spans="1:23" ht="17.5" thickBot="1">
      <c r="A36" s="79" t="s">
        <v>2296</v>
      </c>
      <c r="B36" s="80">
        <v>6</v>
      </c>
      <c r="C36" s="81"/>
      <c r="E36" s="86" t="s">
        <v>2336</v>
      </c>
      <c r="F36" s="87">
        <v>8</v>
      </c>
      <c r="G36" s="88">
        <v>41</v>
      </c>
      <c r="I36" s="79" t="s">
        <v>2375</v>
      </c>
      <c r="J36" s="80">
        <v>6</v>
      </c>
      <c r="K36" s="81"/>
      <c r="U36" s="79" t="s">
        <v>2471</v>
      </c>
      <c r="V36" s="80">
        <v>6</v>
      </c>
      <c r="W36" s="81"/>
    </row>
    <row r="37" spans="1:23" ht="17.5" thickBot="1">
      <c r="A37" s="79" t="s">
        <v>2297</v>
      </c>
      <c r="B37" s="80">
        <v>7</v>
      </c>
      <c r="C37" s="82">
        <v>39</v>
      </c>
      <c r="E37" s="86" t="s">
        <v>2337</v>
      </c>
      <c r="F37" s="87">
        <v>11</v>
      </c>
      <c r="G37" s="89"/>
      <c r="I37" s="79" t="s">
        <v>2376</v>
      </c>
      <c r="J37" s="80">
        <v>7</v>
      </c>
      <c r="K37" s="82">
        <v>40</v>
      </c>
      <c r="U37" s="79" t="s">
        <v>2472</v>
      </c>
      <c r="V37" s="80">
        <v>12</v>
      </c>
      <c r="W37" s="81"/>
    </row>
    <row r="38" spans="1:23" ht="17.5" thickBot="1">
      <c r="E38" s="86" t="s">
        <v>2338</v>
      </c>
      <c r="F38" s="87">
        <v>10</v>
      </c>
      <c r="G38" s="89"/>
      <c r="I38" s="79" t="s">
        <v>2377</v>
      </c>
      <c r="J38" s="80">
        <v>8</v>
      </c>
      <c r="K38" s="81"/>
      <c r="U38" s="79" t="s">
        <v>2473</v>
      </c>
      <c r="V38" s="80">
        <v>14</v>
      </c>
      <c r="W38" s="81"/>
    </row>
    <row r="39" spans="1:23" ht="17.5" thickBot="1">
      <c r="E39" s="86" t="s">
        <v>2339</v>
      </c>
      <c r="F39" s="87">
        <v>5</v>
      </c>
      <c r="G39" s="89"/>
      <c r="I39" s="79" t="s">
        <v>2378</v>
      </c>
      <c r="J39" s="80">
        <v>3</v>
      </c>
      <c r="K39" s="81"/>
      <c r="U39" s="79" t="s">
        <v>2474</v>
      </c>
      <c r="V39" s="80">
        <v>6</v>
      </c>
      <c r="W39" s="82">
        <v>38</v>
      </c>
    </row>
    <row r="40" spans="1:23" ht="17.5" thickBot="1">
      <c r="E40" s="86" t="s">
        <v>2340</v>
      </c>
      <c r="F40" s="87">
        <v>6</v>
      </c>
      <c r="G40" s="88">
        <v>32</v>
      </c>
      <c r="I40" s="79" t="s">
        <v>2379</v>
      </c>
      <c r="J40" s="80">
        <v>16</v>
      </c>
      <c r="K40" s="81"/>
      <c r="U40" s="79" t="s">
        <v>2475</v>
      </c>
      <c r="V40" s="80">
        <v>11</v>
      </c>
      <c r="W40" s="81"/>
    </row>
    <row r="41" spans="1:23" ht="17.5" thickBot="1">
      <c r="I41" s="79" t="s">
        <v>2380</v>
      </c>
      <c r="J41" s="80">
        <v>9</v>
      </c>
      <c r="K41" s="82">
        <v>36</v>
      </c>
      <c r="U41" s="79" t="s">
        <v>2476</v>
      </c>
      <c r="V41" s="80">
        <v>6</v>
      </c>
      <c r="W41" s="81"/>
    </row>
    <row r="42" spans="1:23" ht="17.5" thickBot="1">
      <c r="U42" s="79" t="s">
        <v>2477</v>
      </c>
      <c r="V42" s="80">
        <v>5</v>
      </c>
      <c r="W42" s="81"/>
    </row>
    <row r="43" spans="1:23" ht="17.5" thickBot="1">
      <c r="U43" s="79" t="s">
        <v>2478</v>
      </c>
      <c r="V43" s="80">
        <v>7</v>
      </c>
      <c r="W43" s="81"/>
    </row>
    <row r="44" spans="1:23" ht="17.5" thickBot="1">
      <c r="U44" s="79" t="s">
        <v>2479</v>
      </c>
      <c r="V44" s="80">
        <v>6</v>
      </c>
      <c r="W44" s="82">
        <v>35</v>
      </c>
    </row>
    <row r="45" spans="1:23" ht="17.5" thickBot="1">
      <c r="U45" s="99" t="s">
        <v>2480</v>
      </c>
      <c r="V45" s="100">
        <v>4</v>
      </c>
      <c r="W45" s="101"/>
    </row>
    <row r="46" spans="1:23" ht="17.5" thickBot="1">
      <c r="U46" s="99" t="s">
        <v>2481</v>
      </c>
      <c r="V46" s="100">
        <v>10</v>
      </c>
      <c r="W46" s="101"/>
    </row>
    <row r="47" spans="1:23" ht="17.5" thickBot="1">
      <c r="U47" s="99" t="s">
        <v>2482</v>
      </c>
      <c r="V47" s="100">
        <v>3</v>
      </c>
      <c r="W47" s="101"/>
    </row>
    <row r="48" spans="1:23" ht="17.5" thickBot="1">
      <c r="U48" s="99" t="s">
        <v>2483</v>
      </c>
      <c r="V48" s="100">
        <v>14</v>
      </c>
      <c r="W48" s="101"/>
    </row>
    <row r="49" spans="21:23" ht="17.5" thickBot="1">
      <c r="U49" s="99" t="s">
        <v>2484</v>
      </c>
      <c r="V49" s="100">
        <v>6</v>
      </c>
      <c r="W49" s="102">
        <v>37</v>
      </c>
    </row>
    <row r="50" spans="21:23" ht="17.5" thickBot="1">
      <c r="U50" s="104" t="s">
        <v>2485</v>
      </c>
      <c r="V50" s="105">
        <v>4</v>
      </c>
      <c r="W50" s="106"/>
    </row>
    <row r="51" spans="21:23" ht="17.5" thickBot="1">
      <c r="U51" s="104" t="s">
        <v>2486</v>
      </c>
      <c r="V51" s="105">
        <v>5</v>
      </c>
      <c r="W51" s="106"/>
    </row>
    <row r="52" spans="21:23" ht="17">
      <c r="U52" s="107" t="s">
        <v>2487</v>
      </c>
      <c r="V52" s="108">
        <v>4</v>
      </c>
      <c r="W52" s="108">
        <v>13</v>
      </c>
    </row>
  </sheetData>
  <phoneticPr fontId="2" type="noConversion"/>
  <pageMargins left="0.7" right="0.7" top="0.75" bottom="0.75" header="0.3" footer="0.3"/>
  <pageSetup paperSize="9" orientation="portrait" horizontalDpi="300" verticalDpi="0" copies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CFCEB-5E7D-450E-852D-57FFEADA57CA}">
  <dimension ref="A1:BA53"/>
  <sheetViews>
    <sheetView tabSelected="1" view="pageBreakPreview" zoomScale="85" zoomScaleNormal="85" zoomScaleSheetLayoutView="85" workbookViewId="0">
      <selection activeCell="A3" sqref="A3:BA3"/>
    </sheetView>
  </sheetViews>
  <sheetFormatPr defaultRowHeight="12.5"/>
  <cols>
    <col min="1" max="1" width="3.54296875" bestFit="1" customWidth="1"/>
    <col min="2" max="2" width="9.1796875" customWidth="1"/>
    <col min="3" max="28" width="4" customWidth="1"/>
    <col min="29" max="31" width="4.90625" customWidth="1"/>
    <col min="32" max="45" width="4" customWidth="1"/>
    <col min="46" max="48" width="4.36328125" customWidth="1"/>
    <col min="49" max="51" width="5.36328125" customWidth="1"/>
    <col min="52" max="53" width="4.81640625" customWidth="1"/>
    <col min="54" max="64" width="3.81640625" customWidth="1"/>
    <col min="65" max="74" width="4.36328125" customWidth="1"/>
  </cols>
  <sheetData>
    <row r="1" spans="1:53" ht="34.75" customHeight="1">
      <c r="A1" s="268" t="s">
        <v>2686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69"/>
      <c r="AO1" s="269"/>
      <c r="AP1" s="269"/>
      <c r="AQ1" s="269"/>
      <c r="AR1" s="269"/>
      <c r="AS1" s="269"/>
      <c r="AT1" s="269"/>
      <c r="AU1" s="269"/>
      <c r="AV1" s="269"/>
      <c r="AW1" s="269"/>
      <c r="AX1" s="269"/>
      <c r="AY1" s="269"/>
      <c r="AZ1" s="269"/>
      <c r="BA1" s="269"/>
    </row>
    <row r="2" spans="1:53" ht="49.75" customHeight="1">
      <c r="A2" s="192" t="s">
        <v>2690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46"/>
      <c r="BA2" s="146"/>
    </row>
    <row r="3" spans="1:53" ht="101.4" customHeight="1" thickBot="1">
      <c r="A3" s="270" t="s">
        <v>2689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</row>
    <row r="4" spans="1:53" ht="20" thickTop="1">
      <c r="A4" s="279" t="s">
        <v>2298</v>
      </c>
      <c r="B4" s="280"/>
      <c r="C4" s="217" t="s">
        <v>2621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9"/>
    </row>
    <row r="5" spans="1:53" ht="17">
      <c r="A5" s="262" t="s">
        <v>2299</v>
      </c>
      <c r="B5" s="263"/>
      <c r="C5" s="215" t="s">
        <v>2698</v>
      </c>
      <c r="D5" s="215"/>
      <c r="E5" s="215"/>
      <c r="F5" s="215"/>
      <c r="G5" s="215"/>
      <c r="H5" s="215"/>
      <c r="I5" s="215"/>
      <c r="J5" s="216" t="s">
        <v>2699</v>
      </c>
      <c r="K5" s="216"/>
      <c r="L5" s="216"/>
      <c r="M5" s="216"/>
      <c r="N5" s="216"/>
      <c r="O5" s="216"/>
      <c r="P5" s="215" t="s">
        <v>2700</v>
      </c>
      <c r="Q5" s="215"/>
      <c r="R5" s="215"/>
      <c r="S5" s="215"/>
      <c r="T5" s="215"/>
      <c r="U5" s="216" t="s">
        <v>2701</v>
      </c>
      <c r="V5" s="216"/>
      <c r="W5" s="216"/>
      <c r="X5" s="216"/>
      <c r="Y5" s="225" t="s">
        <v>2705</v>
      </c>
      <c r="Z5" s="225"/>
      <c r="AA5" s="225"/>
      <c r="AB5" s="225"/>
      <c r="AC5" s="225"/>
      <c r="AD5" s="225"/>
      <c r="AE5" s="225"/>
      <c r="AF5" s="203" t="s">
        <v>2706</v>
      </c>
      <c r="AG5" s="203"/>
      <c r="AH5" s="203"/>
      <c r="AI5" s="203"/>
      <c r="AJ5" s="203"/>
      <c r="AK5" s="203"/>
      <c r="AL5" s="226"/>
    </row>
    <row r="6" spans="1:53" ht="13.25" customHeight="1">
      <c r="A6" s="262" t="s">
        <v>2623</v>
      </c>
      <c r="B6" s="263"/>
      <c r="C6" s="240" t="s">
        <v>2624</v>
      </c>
      <c r="D6" s="240"/>
      <c r="E6" s="240"/>
      <c r="F6" s="240"/>
      <c r="G6" s="240"/>
      <c r="H6" s="240"/>
      <c r="I6" s="240"/>
      <c r="J6" s="231" t="s">
        <v>2625</v>
      </c>
      <c r="K6" s="231"/>
      <c r="L6" s="231"/>
      <c r="M6" s="231"/>
      <c r="N6" s="231"/>
      <c r="O6" s="231"/>
      <c r="P6" s="240" t="s">
        <v>2626</v>
      </c>
      <c r="Q6" s="240"/>
      <c r="R6" s="240"/>
      <c r="S6" s="240"/>
      <c r="T6" s="240"/>
      <c r="U6" s="231" t="s">
        <v>2627</v>
      </c>
      <c r="V6" s="231"/>
      <c r="W6" s="231"/>
      <c r="X6" s="231"/>
      <c r="Y6" s="206" t="s">
        <v>2628</v>
      </c>
      <c r="Z6" s="206"/>
      <c r="AA6" s="206"/>
      <c r="AB6" s="206"/>
      <c r="AC6" s="206"/>
      <c r="AD6" s="206"/>
      <c r="AE6" s="206"/>
      <c r="AF6" s="204" t="s">
        <v>2629</v>
      </c>
      <c r="AG6" s="204"/>
      <c r="AH6" s="204"/>
      <c r="AI6" s="204"/>
      <c r="AJ6" s="204"/>
      <c r="AK6" s="204"/>
      <c r="AL6" s="244"/>
    </row>
    <row r="7" spans="1:53" ht="17">
      <c r="A7" s="262" t="s">
        <v>2300</v>
      </c>
      <c r="B7" s="263"/>
      <c r="C7" s="185" t="s">
        <v>2663</v>
      </c>
      <c r="D7" s="186"/>
      <c r="E7" s="186"/>
      <c r="F7" s="186"/>
      <c r="G7" s="186"/>
      <c r="H7" s="186"/>
      <c r="I7" s="186"/>
      <c r="J7" s="187" t="s">
        <v>2665</v>
      </c>
      <c r="K7" s="188"/>
      <c r="L7" s="188"/>
      <c r="M7" s="188"/>
      <c r="N7" s="188"/>
      <c r="O7" s="188"/>
      <c r="P7" s="185" t="s">
        <v>2666</v>
      </c>
      <c r="Q7" s="186"/>
      <c r="R7" s="186"/>
      <c r="S7" s="186"/>
      <c r="T7" s="186"/>
      <c r="U7" s="187" t="s">
        <v>2667</v>
      </c>
      <c r="V7" s="188"/>
      <c r="W7" s="188"/>
      <c r="X7" s="188"/>
      <c r="Y7" s="207" t="s">
        <v>2668</v>
      </c>
      <c r="Z7" s="211"/>
      <c r="AA7" s="211"/>
      <c r="AB7" s="211"/>
      <c r="AC7" s="211"/>
      <c r="AD7" s="211"/>
      <c r="AE7" s="211"/>
      <c r="AF7" s="212" t="s">
        <v>2664</v>
      </c>
      <c r="AG7" s="213"/>
      <c r="AH7" s="213"/>
      <c r="AI7" s="213"/>
      <c r="AJ7" s="213"/>
      <c r="AK7" s="213"/>
      <c r="AL7" s="214"/>
    </row>
    <row r="8" spans="1:53" ht="69" customHeight="1">
      <c r="A8" s="183" t="s">
        <v>2301</v>
      </c>
      <c r="B8" s="124" t="s">
        <v>2652</v>
      </c>
      <c r="C8" s="141" t="s">
        <v>2576</v>
      </c>
      <c r="D8" s="141" t="s">
        <v>2577</v>
      </c>
      <c r="E8" s="141" t="s">
        <v>2578</v>
      </c>
      <c r="F8" s="141" t="s">
        <v>2595</v>
      </c>
      <c r="G8" s="141" t="s">
        <v>2596</v>
      </c>
      <c r="H8" s="141" t="s">
        <v>2597</v>
      </c>
      <c r="I8" s="141" t="s">
        <v>2598</v>
      </c>
      <c r="J8" s="142" t="s">
        <v>2579</v>
      </c>
      <c r="K8" s="142" t="s">
        <v>2580</v>
      </c>
      <c r="L8" s="142" t="s">
        <v>2581</v>
      </c>
      <c r="M8" s="142" t="s">
        <v>2582</v>
      </c>
      <c r="N8" s="142" t="s">
        <v>2583</v>
      </c>
      <c r="O8" s="142" t="s">
        <v>2584</v>
      </c>
      <c r="P8" s="141" t="s">
        <v>2585</v>
      </c>
      <c r="Q8" s="141" t="s">
        <v>2586</v>
      </c>
      <c r="R8" s="141" t="s">
        <v>2587</v>
      </c>
      <c r="S8" s="141" t="s">
        <v>2588</v>
      </c>
      <c r="T8" s="141" t="s">
        <v>2589</v>
      </c>
      <c r="U8" s="142" t="s">
        <v>2590</v>
      </c>
      <c r="V8" s="142" t="s">
        <v>2591</v>
      </c>
      <c r="W8" s="142" t="s">
        <v>2592</v>
      </c>
      <c r="X8" s="142" t="s">
        <v>2593</v>
      </c>
      <c r="Y8" s="143"/>
      <c r="Z8" s="143" t="s">
        <v>2594</v>
      </c>
      <c r="AA8" s="143" t="s">
        <v>2599</v>
      </c>
      <c r="AB8" s="143" t="s">
        <v>2600</v>
      </c>
      <c r="AC8" s="143" t="s">
        <v>2601</v>
      </c>
      <c r="AD8" s="143" t="s">
        <v>2602</v>
      </c>
      <c r="AE8" s="143" t="s">
        <v>2603</v>
      </c>
      <c r="AF8" s="144" t="s">
        <v>2604</v>
      </c>
      <c r="AG8" s="144" t="s">
        <v>2605</v>
      </c>
      <c r="AH8" s="144" t="s">
        <v>2606</v>
      </c>
      <c r="AI8" s="144" t="s">
        <v>2607</v>
      </c>
      <c r="AJ8" s="144" t="s">
        <v>2608</v>
      </c>
      <c r="AK8" s="144" t="s">
        <v>2609</v>
      </c>
      <c r="AL8" s="145" t="s">
        <v>2610</v>
      </c>
    </row>
    <row r="9" spans="1:53" ht="15.5">
      <c r="A9" s="183"/>
      <c r="B9" s="110" t="s">
        <v>2647</v>
      </c>
      <c r="C9" s="72">
        <v>4</v>
      </c>
      <c r="D9" s="72">
        <v>11</v>
      </c>
      <c r="E9" s="72">
        <v>9</v>
      </c>
      <c r="F9" s="72">
        <v>2</v>
      </c>
      <c r="G9" s="72">
        <v>4</v>
      </c>
      <c r="H9" s="72">
        <v>5</v>
      </c>
      <c r="I9" s="72">
        <v>1</v>
      </c>
      <c r="J9" s="119">
        <v>3</v>
      </c>
      <c r="K9" s="119">
        <v>7</v>
      </c>
      <c r="L9" s="119">
        <v>5</v>
      </c>
      <c r="M9" s="119">
        <v>7</v>
      </c>
      <c r="N9" s="119">
        <v>7</v>
      </c>
      <c r="O9" s="119">
        <v>1</v>
      </c>
      <c r="P9" s="72">
        <v>13</v>
      </c>
      <c r="Q9" s="72">
        <v>8</v>
      </c>
      <c r="R9" s="72">
        <v>11</v>
      </c>
      <c r="S9" s="72">
        <v>3</v>
      </c>
      <c r="T9" s="72">
        <v>5</v>
      </c>
      <c r="U9" s="119">
        <v>9</v>
      </c>
      <c r="V9" s="119">
        <v>8</v>
      </c>
      <c r="W9" s="119">
        <v>13</v>
      </c>
      <c r="X9" s="119">
        <v>12</v>
      </c>
      <c r="Y9" s="131"/>
      <c r="Z9" s="131">
        <v>9</v>
      </c>
      <c r="AA9" s="131">
        <v>6</v>
      </c>
      <c r="AB9" s="131">
        <v>7</v>
      </c>
      <c r="AC9" s="131">
        <v>6</v>
      </c>
      <c r="AD9" s="131">
        <v>4</v>
      </c>
      <c r="AE9" s="131">
        <v>1</v>
      </c>
      <c r="AF9" s="22">
        <v>9</v>
      </c>
      <c r="AG9" s="22">
        <v>4</v>
      </c>
      <c r="AH9" s="22">
        <v>1</v>
      </c>
      <c r="AI9" s="22">
        <v>2</v>
      </c>
      <c r="AJ9" s="22">
        <v>10</v>
      </c>
      <c r="AK9" s="22">
        <v>6</v>
      </c>
      <c r="AL9" s="23">
        <v>7</v>
      </c>
    </row>
    <row r="10" spans="1:53" ht="16" thickBot="1">
      <c r="A10" s="184"/>
      <c r="B10" s="125" t="s">
        <v>2648</v>
      </c>
      <c r="C10" s="220">
        <v>34</v>
      </c>
      <c r="D10" s="220"/>
      <c r="E10" s="220"/>
      <c r="F10" s="220"/>
      <c r="G10" s="220"/>
      <c r="H10" s="220"/>
      <c r="I10" s="220"/>
      <c r="J10" s="221">
        <v>30</v>
      </c>
      <c r="K10" s="221"/>
      <c r="L10" s="221"/>
      <c r="M10" s="221"/>
      <c r="N10" s="221"/>
      <c r="O10" s="221"/>
      <c r="P10" s="220">
        <v>40</v>
      </c>
      <c r="Q10" s="220"/>
      <c r="R10" s="220"/>
      <c r="S10" s="220"/>
      <c r="T10" s="220"/>
      <c r="U10" s="221">
        <v>42</v>
      </c>
      <c r="V10" s="221"/>
      <c r="W10" s="221"/>
      <c r="X10" s="221"/>
      <c r="Y10" s="222">
        <v>35</v>
      </c>
      <c r="Z10" s="222"/>
      <c r="AA10" s="222"/>
      <c r="AB10" s="222"/>
      <c r="AC10" s="222"/>
      <c r="AD10" s="222"/>
      <c r="AE10" s="222"/>
      <c r="AF10" s="223">
        <v>39</v>
      </c>
      <c r="AG10" s="223"/>
      <c r="AH10" s="223"/>
      <c r="AI10" s="223"/>
      <c r="AJ10" s="223"/>
      <c r="AK10" s="223"/>
      <c r="AL10" s="224"/>
    </row>
    <row r="11" spans="1:53" ht="13.5" thickTop="1" thickBot="1"/>
    <row r="12" spans="1:53" ht="20" thickTop="1">
      <c r="A12" s="260" t="s">
        <v>2298</v>
      </c>
      <c r="B12" s="261"/>
      <c r="C12" s="239" t="s">
        <v>2618</v>
      </c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39" t="s">
        <v>2618</v>
      </c>
      <c r="AO12" s="218"/>
      <c r="AP12" s="218"/>
      <c r="AQ12" s="219"/>
    </row>
    <row r="13" spans="1:53" ht="17">
      <c r="A13" s="262" t="s">
        <v>2299</v>
      </c>
      <c r="B13" s="263"/>
      <c r="C13" s="215" t="s">
        <v>2698</v>
      </c>
      <c r="D13" s="215"/>
      <c r="E13" s="215"/>
      <c r="F13" s="215"/>
      <c r="G13" s="216" t="s">
        <v>2699</v>
      </c>
      <c r="H13" s="216"/>
      <c r="I13" s="216"/>
      <c r="J13" s="216"/>
      <c r="K13" s="216"/>
      <c r="L13" s="215" t="s">
        <v>2700</v>
      </c>
      <c r="M13" s="215"/>
      <c r="N13" s="215"/>
      <c r="O13" s="215"/>
      <c r="P13" s="216" t="s">
        <v>2701</v>
      </c>
      <c r="Q13" s="216"/>
      <c r="R13" s="216"/>
      <c r="S13" s="216"/>
      <c r="T13" s="225" t="s">
        <v>2705</v>
      </c>
      <c r="U13" s="225"/>
      <c r="V13" s="225"/>
      <c r="W13" s="225"/>
      <c r="X13" s="225"/>
      <c r="Y13" s="225"/>
      <c r="Z13" s="203" t="s">
        <v>2706</v>
      </c>
      <c r="AA13" s="203"/>
      <c r="AB13" s="203"/>
      <c r="AC13" s="203"/>
      <c r="AD13" s="225" t="s">
        <v>2707</v>
      </c>
      <c r="AE13" s="225"/>
      <c r="AF13" s="225"/>
      <c r="AG13" s="225"/>
      <c r="AH13" s="225"/>
      <c r="AI13" s="225"/>
      <c r="AJ13" s="203" t="s">
        <v>2708</v>
      </c>
      <c r="AK13" s="203"/>
      <c r="AL13" s="203"/>
      <c r="AM13" s="203"/>
      <c r="AN13" s="276" t="s">
        <v>2709</v>
      </c>
      <c r="AO13" s="277"/>
      <c r="AP13" s="277"/>
      <c r="AQ13" s="278"/>
    </row>
    <row r="14" spans="1:53" ht="17">
      <c r="A14" s="262" t="s">
        <v>2623</v>
      </c>
      <c r="B14" s="263"/>
      <c r="C14" s="240" t="s">
        <v>2624</v>
      </c>
      <c r="D14" s="240"/>
      <c r="E14" s="240"/>
      <c r="F14" s="240"/>
      <c r="G14" s="231" t="s">
        <v>2625</v>
      </c>
      <c r="H14" s="231"/>
      <c r="I14" s="231"/>
      <c r="J14" s="231"/>
      <c r="K14" s="231"/>
      <c r="L14" s="240" t="s">
        <v>2626</v>
      </c>
      <c r="M14" s="240"/>
      <c r="N14" s="240"/>
      <c r="O14" s="240"/>
      <c r="P14" s="231" t="s">
        <v>2627</v>
      </c>
      <c r="Q14" s="231"/>
      <c r="R14" s="231"/>
      <c r="S14" s="231"/>
      <c r="T14" s="206" t="s">
        <v>2628</v>
      </c>
      <c r="U14" s="206"/>
      <c r="V14" s="206"/>
      <c r="W14" s="206"/>
      <c r="X14" s="206"/>
      <c r="Y14" s="206"/>
      <c r="Z14" s="204" t="s">
        <v>2630</v>
      </c>
      <c r="AA14" s="204"/>
      <c r="AB14" s="204"/>
      <c r="AC14" s="204"/>
      <c r="AD14" s="206" t="s">
        <v>2631</v>
      </c>
      <c r="AE14" s="206"/>
      <c r="AF14" s="206"/>
      <c r="AG14" s="206"/>
      <c r="AH14" s="206"/>
      <c r="AI14" s="206"/>
      <c r="AJ14" s="204" t="s">
        <v>2632</v>
      </c>
      <c r="AK14" s="204"/>
      <c r="AL14" s="204"/>
      <c r="AM14" s="204"/>
      <c r="AN14" s="197" t="s">
        <v>2633</v>
      </c>
      <c r="AO14" s="197"/>
      <c r="AP14" s="197"/>
      <c r="AQ14" s="247"/>
    </row>
    <row r="15" spans="1:53" ht="17">
      <c r="A15" s="262" t="s">
        <v>2300</v>
      </c>
      <c r="B15" s="263"/>
      <c r="C15" s="185" t="s">
        <v>2669</v>
      </c>
      <c r="D15" s="186"/>
      <c r="E15" s="186"/>
      <c r="F15" s="186"/>
      <c r="G15" s="187" t="s">
        <v>2670</v>
      </c>
      <c r="H15" s="188"/>
      <c r="I15" s="188"/>
      <c r="J15" s="188"/>
      <c r="K15" s="188"/>
      <c r="L15" s="185" t="s">
        <v>2671</v>
      </c>
      <c r="M15" s="186"/>
      <c r="N15" s="186"/>
      <c r="O15" s="186"/>
      <c r="P15" s="187" t="s">
        <v>2672</v>
      </c>
      <c r="Q15" s="188"/>
      <c r="R15" s="188"/>
      <c r="S15" s="188"/>
      <c r="T15" s="207" t="s">
        <v>2673</v>
      </c>
      <c r="U15" s="211"/>
      <c r="V15" s="211"/>
      <c r="W15" s="211"/>
      <c r="X15" s="211"/>
      <c r="Y15" s="211"/>
      <c r="Z15" s="205" t="s">
        <v>2674</v>
      </c>
      <c r="AA15" s="232"/>
      <c r="AB15" s="232"/>
      <c r="AC15" s="232"/>
      <c r="AD15" s="207" t="s">
        <v>2675</v>
      </c>
      <c r="AE15" s="211"/>
      <c r="AF15" s="211"/>
      <c r="AG15" s="211"/>
      <c r="AH15" s="211"/>
      <c r="AI15" s="211"/>
      <c r="AJ15" s="205" t="s">
        <v>2676</v>
      </c>
      <c r="AK15" s="232"/>
      <c r="AL15" s="232"/>
      <c r="AM15" s="232"/>
      <c r="AN15" s="196" t="s">
        <v>2617</v>
      </c>
      <c r="AO15" s="237"/>
      <c r="AP15" s="237"/>
      <c r="AQ15" s="238"/>
    </row>
    <row r="16" spans="1:53" ht="76.75" customHeight="1">
      <c r="A16" s="183" t="s">
        <v>2649</v>
      </c>
      <c r="B16" s="124" t="s">
        <v>2653</v>
      </c>
      <c r="C16" s="111" t="s">
        <v>2599</v>
      </c>
      <c r="D16" s="111" t="s">
        <v>2600</v>
      </c>
      <c r="E16" s="111" t="s">
        <v>2611</v>
      </c>
      <c r="F16" s="111" t="s">
        <v>2601</v>
      </c>
      <c r="G16" s="135" t="s">
        <v>2577</v>
      </c>
      <c r="H16" s="135" t="s">
        <v>2578</v>
      </c>
      <c r="I16" s="135" t="s">
        <v>2602</v>
      </c>
      <c r="J16" s="135" t="s">
        <v>2603</v>
      </c>
      <c r="K16" s="135" t="s">
        <v>2604</v>
      </c>
      <c r="L16" s="111" t="s">
        <v>2605</v>
      </c>
      <c r="M16" s="111" t="s">
        <v>2612</v>
      </c>
      <c r="N16" s="111" t="s">
        <v>2606</v>
      </c>
      <c r="O16" s="111" t="s">
        <v>2607</v>
      </c>
      <c r="P16" s="135" t="s">
        <v>2608</v>
      </c>
      <c r="Q16" s="135" t="s">
        <v>2613</v>
      </c>
      <c r="R16" s="135" t="s">
        <v>2609</v>
      </c>
      <c r="S16" s="135" t="s">
        <v>2614</v>
      </c>
      <c r="T16" s="113" t="s">
        <v>2610</v>
      </c>
      <c r="U16" s="113" t="s">
        <v>2579</v>
      </c>
      <c r="V16" s="113" t="s">
        <v>2580</v>
      </c>
      <c r="W16" s="113" t="s">
        <v>2581</v>
      </c>
      <c r="X16" s="113" t="s">
        <v>2595</v>
      </c>
      <c r="Y16" s="113" t="s">
        <v>2596</v>
      </c>
      <c r="Z16" s="126" t="s">
        <v>2582</v>
      </c>
      <c r="AA16" s="126" t="s">
        <v>2583</v>
      </c>
      <c r="AB16" s="126" t="s">
        <v>2584</v>
      </c>
      <c r="AC16" s="126" t="s">
        <v>2585</v>
      </c>
      <c r="AD16" s="113" t="s">
        <v>2586</v>
      </c>
      <c r="AE16" s="113" t="s">
        <v>2587</v>
      </c>
      <c r="AF16" s="113" t="s">
        <v>2588</v>
      </c>
      <c r="AG16" s="113" t="s">
        <v>2589</v>
      </c>
      <c r="AH16" s="113" t="s">
        <v>2590</v>
      </c>
      <c r="AI16" s="113" t="s">
        <v>2591</v>
      </c>
      <c r="AJ16" s="126" t="s">
        <v>2592</v>
      </c>
      <c r="AK16" s="126" t="s">
        <v>2593</v>
      </c>
      <c r="AL16" s="126" t="s">
        <v>2575</v>
      </c>
      <c r="AM16" s="126" t="s">
        <v>2594</v>
      </c>
      <c r="AN16" s="233" t="s">
        <v>2615</v>
      </c>
      <c r="AO16" s="233"/>
      <c r="AP16" s="233" t="s">
        <v>2616</v>
      </c>
      <c r="AQ16" s="234"/>
    </row>
    <row r="17" spans="1:43" ht="15.5">
      <c r="A17" s="183"/>
      <c r="B17" s="110" t="s">
        <v>2647</v>
      </c>
      <c r="C17" s="118">
        <v>14</v>
      </c>
      <c r="D17" s="118">
        <v>13</v>
      </c>
      <c r="E17" s="118">
        <v>8</v>
      </c>
      <c r="F17" s="118">
        <v>3</v>
      </c>
      <c r="G17" s="137">
        <v>13</v>
      </c>
      <c r="H17" s="137">
        <v>3</v>
      </c>
      <c r="I17" s="137">
        <v>8</v>
      </c>
      <c r="J17" s="137">
        <v>7</v>
      </c>
      <c r="K17" s="137">
        <v>10</v>
      </c>
      <c r="L17" s="118">
        <v>13</v>
      </c>
      <c r="M17" s="118">
        <v>9</v>
      </c>
      <c r="N17" s="118">
        <v>4</v>
      </c>
      <c r="O17" s="118">
        <v>10</v>
      </c>
      <c r="P17" s="137">
        <v>12</v>
      </c>
      <c r="Q17" s="137">
        <v>6</v>
      </c>
      <c r="R17" s="137">
        <v>12</v>
      </c>
      <c r="S17" s="137">
        <v>10</v>
      </c>
      <c r="T17" s="120">
        <v>11</v>
      </c>
      <c r="U17" s="120">
        <v>15</v>
      </c>
      <c r="V17" s="120">
        <v>3</v>
      </c>
      <c r="W17" s="120">
        <v>3</v>
      </c>
      <c r="X17" s="120">
        <v>2</v>
      </c>
      <c r="Y17" s="120">
        <v>7</v>
      </c>
      <c r="Z17" s="127">
        <v>9</v>
      </c>
      <c r="AA17" s="127">
        <v>7</v>
      </c>
      <c r="AB17" s="127">
        <v>9</v>
      </c>
      <c r="AC17" s="127">
        <v>13</v>
      </c>
      <c r="AD17" s="120">
        <v>6</v>
      </c>
      <c r="AE17" s="120">
        <v>11</v>
      </c>
      <c r="AF17" s="120">
        <v>1</v>
      </c>
      <c r="AG17" s="120">
        <v>7</v>
      </c>
      <c r="AH17" s="120">
        <v>8</v>
      </c>
      <c r="AI17" s="120">
        <v>8</v>
      </c>
      <c r="AJ17" s="127">
        <v>11</v>
      </c>
      <c r="AK17" s="127">
        <v>10</v>
      </c>
      <c r="AL17" s="127">
        <v>5</v>
      </c>
      <c r="AM17" s="127">
        <v>6</v>
      </c>
      <c r="AN17" s="235">
        <v>10</v>
      </c>
      <c r="AO17" s="235"/>
      <c r="AP17" s="235">
        <v>7</v>
      </c>
      <c r="AQ17" s="236"/>
    </row>
    <row r="18" spans="1:43" ht="16" thickBot="1">
      <c r="A18" s="184"/>
      <c r="B18" s="125" t="s">
        <v>2648</v>
      </c>
      <c r="C18" s="229">
        <v>38</v>
      </c>
      <c r="D18" s="229"/>
      <c r="E18" s="229"/>
      <c r="F18" s="229"/>
      <c r="G18" s="230">
        <v>41</v>
      </c>
      <c r="H18" s="230"/>
      <c r="I18" s="230"/>
      <c r="J18" s="230"/>
      <c r="K18" s="230"/>
      <c r="L18" s="229">
        <v>36</v>
      </c>
      <c r="M18" s="229"/>
      <c r="N18" s="229"/>
      <c r="O18" s="229"/>
      <c r="P18" s="230">
        <v>40</v>
      </c>
      <c r="Q18" s="230"/>
      <c r="R18" s="230"/>
      <c r="S18" s="230"/>
      <c r="T18" s="208">
        <v>41</v>
      </c>
      <c r="U18" s="208"/>
      <c r="V18" s="208"/>
      <c r="W18" s="208"/>
      <c r="X18" s="208"/>
      <c r="Y18" s="208"/>
      <c r="Z18" s="202">
        <v>38</v>
      </c>
      <c r="AA18" s="202"/>
      <c r="AB18" s="202"/>
      <c r="AC18" s="202"/>
      <c r="AD18" s="208">
        <v>41</v>
      </c>
      <c r="AE18" s="208"/>
      <c r="AF18" s="208"/>
      <c r="AG18" s="208"/>
      <c r="AH18" s="208"/>
      <c r="AI18" s="208"/>
      <c r="AJ18" s="202">
        <v>32</v>
      </c>
      <c r="AK18" s="202"/>
      <c r="AL18" s="202"/>
      <c r="AM18" s="202"/>
      <c r="AN18" s="227">
        <v>17</v>
      </c>
      <c r="AO18" s="227"/>
      <c r="AP18" s="227"/>
      <c r="AQ18" s="228"/>
    </row>
    <row r="19" spans="1:43" ht="13.5" thickTop="1" thickBot="1"/>
    <row r="20" spans="1:43" ht="20" thickTop="1">
      <c r="A20" s="260" t="s">
        <v>2298</v>
      </c>
      <c r="B20" s="261"/>
      <c r="C20" s="239" t="s">
        <v>1891</v>
      </c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9"/>
    </row>
    <row r="21" spans="1:43" ht="17">
      <c r="A21" s="262" t="s">
        <v>2299</v>
      </c>
      <c r="B21" s="263"/>
      <c r="C21" s="215" t="s">
        <v>2698</v>
      </c>
      <c r="D21" s="215"/>
      <c r="E21" s="215"/>
      <c r="F21" s="215"/>
      <c r="G21" s="215"/>
      <c r="H21" s="216" t="s">
        <v>2699</v>
      </c>
      <c r="I21" s="216"/>
      <c r="J21" s="216"/>
      <c r="K21" s="216"/>
      <c r="L21" s="216"/>
      <c r="M21" s="216"/>
      <c r="N21" s="216"/>
      <c r="O21" s="215" t="s">
        <v>2700</v>
      </c>
      <c r="P21" s="215"/>
      <c r="Q21" s="215"/>
      <c r="R21" s="215"/>
      <c r="S21" s="215"/>
      <c r="T21" s="215"/>
      <c r="U21" s="216" t="s">
        <v>2701</v>
      </c>
      <c r="V21" s="216"/>
      <c r="W21" s="216"/>
      <c r="X21" s="216"/>
      <c r="Y21" s="216"/>
      <c r="Z21" s="216"/>
      <c r="AA21" s="216"/>
      <c r="AB21" s="216"/>
      <c r="AC21" s="216"/>
      <c r="AD21" s="225" t="s">
        <v>2705</v>
      </c>
      <c r="AE21" s="225"/>
      <c r="AF21" s="225"/>
      <c r="AG21" s="225"/>
      <c r="AH21" s="203" t="s">
        <v>2706</v>
      </c>
      <c r="AI21" s="203"/>
      <c r="AJ21" s="203"/>
      <c r="AK21" s="203"/>
      <c r="AL21" s="203"/>
      <c r="AM21" s="225" t="s">
        <v>2707</v>
      </c>
      <c r="AN21" s="225"/>
      <c r="AO21" s="225"/>
      <c r="AP21" s="241"/>
    </row>
    <row r="22" spans="1:43" ht="17">
      <c r="A22" s="262" t="s">
        <v>2623</v>
      </c>
      <c r="B22" s="263"/>
      <c r="C22" s="240" t="s">
        <v>2624</v>
      </c>
      <c r="D22" s="240"/>
      <c r="E22" s="240"/>
      <c r="F22" s="240"/>
      <c r="G22" s="240"/>
      <c r="H22" s="231" t="s">
        <v>2625</v>
      </c>
      <c r="I22" s="231"/>
      <c r="J22" s="231"/>
      <c r="K22" s="231"/>
      <c r="L22" s="231"/>
      <c r="M22" s="231"/>
      <c r="N22" s="231"/>
      <c r="O22" s="240" t="s">
        <v>2626</v>
      </c>
      <c r="P22" s="240"/>
      <c r="Q22" s="240"/>
      <c r="R22" s="240"/>
      <c r="S22" s="240"/>
      <c r="T22" s="240"/>
      <c r="U22" s="231" t="s">
        <v>2627</v>
      </c>
      <c r="V22" s="231"/>
      <c r="W22" s="231"/>
      <c r="X22" s="231"/>
      <c r="Y22" s="231"/>
      <c r="Z22" s="231"/>
      <c r="AA22" s="231"/>
      <c r="AB22" s="231"/>
      <c r="AC22" s="231"/>
      <c r="AD22" s="206" t="s">
        <v>2628</v>
      </c>
      <c r="AE22" s="206"/>
      <c r="AF22" s="206"/>
      <c r="AG22" s="206"/>
      <c r="AH22" s="204" t="s">
        <v>2630</v>
      </c>
      <c r="AI22" s="204"/>
      <c r="AJ22" s="204"/>
      <c r="AK22" s="204"/>
      <c r="AL22" s="204"/>
      <c r="AM22" s="206" t="s">
        <v>2631</v>
      </c>
      <c r="AN22" s="206"/>
      <c r="AO22" s="206"/>
      <c r="AP22" s="248"/>
    </row>
    <row r="23" spans="1:43" ht="17">
      <c r="A23" s="262" t="s">
        <v>2300</v>
      </c>
      <c r="B23" s="263"/>
      <c r="C23" s="185" t="s">
        <v>2677</v>
      </c>
      <c r="D23" s="186"/>
      <c r="E23" s="186"/>
      <c r="F23" s="186"/>
      <c r="G23" s="186"/>
      <c r="H23" s="187" t="s">
        <v>2678</v>
      </c>
      <c r="I23" s="188"/>
      <c r="J23" s="188"/>
      <c r="K23" s="188"/>
      <c r="L23" s="188"/>
      <c r="M23" s="188"/>
      <c r="N23" s="188"/>
      <c r="O23" s="185" t="s">
        <v>2681</v>
      </c>
      <c r="P23" s="186"/>
      <c r="Q23" s="186"/>
      <c r="R23" s="186"/>
      <c r="S23" s="186"/>
      <c r="T23" s="186"/>
      <c r="U23" s="187" t="s">
        <v>2679</v>
      </c>
      <c r="V23" s="188"/>
      <c r="W23" s="188"/>
      <c r="X23" s="188"/>
      <c r="Y23" s="188"/>
      <c r="Z23" s="188"/>
      <c r="AA23" s="188"/>
      <c r="AB23" s="188"/>
      <c r="AC23" s="188"/>
      <c r="AD23" s="207" t="s">
        <v>2680</v>
      </c>
      <c r="AE23" s="211"/>
      <c r="AF23" s="211"/>
      <c r="AG23" s="211"/>
      <c r="AH23" s="205" t="s">
        <v>2682</v>
      </c>
      <c r="AI23" s="232"/>
      <c r="AJ23" s="232"/>
      <c r="AK23" s="232"/>
      <c r="AL23" s="232"/>
      <c r="AM23" s="207" t="s">
        <v>2683</v>
      </c>
      <c r="AN23" s="211"/>
      <c r="AO23" s="211"/>
      <c r="AP23" s="251"/>
    </row>
    <row r="24" spans="1:43" ht="81" customHeight="1">
      <c r="A24" s="183" t="s">
        <v>2650</v>
      </c>
      <c r="B24" s="124" t="s">
        <v>2654</v>
      </c>
      <c r="C24" s="132" t="s">
        <v>2579</v>
      </c>
      <c r="D24" s="132" t="s">
        <v>2580</v>
      </c>
      <c r="E24" s="132" t="s">
        <v>2581</v>
      </c>
      <c r="F24" s="132" t="s">
        <v>2596</v>
      </c>
      <c r="G24" s="132" t="s">
        <v>2582</v>
      </c>
      <c r="H24" s="112" t="s">
        <v>2583</v>
      </c>
      <c r="I24" s="112" t="s">
        <v>2584</v>
      </c>
      <c r="J24" s="112" t="s">
        <v>2585</v>
      </c>
      <c r="K24" s="112" t="s">
        <v>2586</v>
      </c>
      <c r="L24" s="112" t="s">
        <v>2587</v>
      </c>
      <c r="M24" s="112" t="s">
        <v>2588</v>
      </c>
      <c r="N24" s="112" t="s">
        <v>2589</v>
      </c>
      <c r="O24" s="132" t="s">
        <v>2590</v>
      </c>
      <c r="P24" s="132" t="s">
        <v>2591</v>
      </c>
      <c r="Q24" s="132" t="s">
        <v>2597</v>
      </c>
      <c r="R24" s="132" t="s">
        <v>2598</v>
      </c>
      <c r="S24" s="132" t="s">
        <v>2592</v>
      </c>
      <c r="T24" s="132" t="s">
        <v>2593</v>
      </c>
      <c r="U24" s="112" t="s">
        <v>2575</v>
      </c>
      <c r="V24" s="112" t="s">
        <v>2594</v>
      </c>
      <c r="W24" s="112" t="s">
        <v>2599</v>
      </c>
      <c r="X24" s="112" t="s">
        <v>2600</v>
      </c>
      <c r="Y24" s="112" t="s">
        <v>2611</v>
      </c>
      <c r="Z24" s="112" t="s">
        <v>2601</v>
      </c>
      <c r="AA24" s="112" t="s">
        <v>2577</v>
      </c>
      <c r="AB24" s="112" t="s">
        <v>2578</v>
      </c>
      <c r="AC24" s="112" t="s">
        <v>2602</v>
      </c>
      <c r="AD24" s="130" t="s">
        <v>2603</v>
      </c>
      <c r="AE24" s="130" t="s">
        <v>2604</v>
      </c>
      <c r="AF24" s="130" t="s">
        <v>2605</v>
      </c>
      <c r="AG24" s="130" t="s">
        <v>2612</v>
      </c>
      <c r="AH24" s="128" t="s">
        <v>2606</v>
      </c>
      <c r="AI24" s="128" t="s">
        <v>2607</v>
      </c>
      <c r="AJ24" s="128" t="s">
        <v>2608</v>
      </c>
      <c r="AK24" s="128" t="s">
        <v>2613</v>
      </c>
      <c r="AL24" s="128" t="s">
        <v>2609</v>
      </c>
      <c r="AM24" s="130" t="s">
        <v>2615</v>
      </c>
      <c r="AN24" s="130" t="s">
        <v>2616</v>
      </c>
      <c r="AO24" s="130" t="s">
        <v>2614</v>
      </c>
      <c r="AP24" s="139" t="s">
        <v>2610</v>
      </c>
    </row>
    <row r="25" spans="1:43" ht="15.5">
      <c r="A25" s="183"/>
      <c r="B25" s="110" t="s">
        <v>2647</v>
      </c>
      <c r="C25" s="72">
        <v>13</v>
      </c>
      <c r="D25" s="72">
        <v>9</v>
      </c>
      <c r="E25" s="72">
        <v>9</v>
      </c>
      <c r="F25" s="72">
        <v>4</v>
      </c>
      <c r="G25" s="72">
        <v>8</v>
      </c>
      <c r="H25" s="119">
        <v>3</v>
      </c>
      <c r="I25" s="119">
        <v>2</v>
      </c>
      <c r="J25" s="119">
        <v>6</v>
      </c>
      <c r="K25" s="119">
        <v>16</v>
      </c>
      <c r="L25" s="119">
        <v>4</v>
      </c>
      <c r="M25" s="119">
        <v>5</v>
      </c>
      <c r="N25" s="119">
        <v>7</v>
      </c>
      <c r="O25" s="72">
        <v>6</v>
      </c>
      <c r="P25" s="72">
        <v>13</v>
      </c>
      <c r="Q25" s="72">
        <v>2</v>
      </c>
      <c r="R25" s="72">
        <v>5</v>
      </c>
      <c r="S25" s="72">
        <v>7</v>
      </c>
      <c r="T25" s="72">
        <v>9</v>
      </c>
      <c r="U25" s="119">
        <v>1</v>
      </c>
      <c r="V25" s="119">
        <v>1</v>
      </c>
      <c r="W25" s="119">
        <v>10</v>
      </c>
      <c r="X25" s="119">
        <v>7</v>
      </c>
      <c r="Y25" s="119">
        <v>3</v>
      </c>
      <c r="Z25" s="119">
        <v>9</v>
      </c>
      <c r="AA25" s="119">
        <v>1</v>
      </c>
      <c r="AB25" s="119">
        <v>2</v>
      </c>
      <c r="AC25" s="119">
        <v>6</v>
      </c>
      <c r="AD25" s="131">
        <v>12</v>
      </c>
      <c r="AE25" s="131">
        <v>10</v>
      </c>
      <c r="AF25" s="131">
        <v>8</v>
      </c>
      <c r="AG25" s="131">
        <v>9</v>
      </c>
      <c r="AH25" s="129">
        <v>6</v>
      </c>
      <c r="AI25" s="129">
        <v>11</v>
      </c>
      <c r="AJ25" s="129">
        <v>10</v>
      </c>
      <c r="AK25" s="129">
        <v>6</v>
      </c>
      <c r="AL25" s="129">
        <v>7</v>
      </c>
      <c r="AM25" s="131">
        <v>8</v>
      </c>
      <c r="AN25" s="131">
        <v>3</v>
      </c>
      <c r="AO25" s="131">
        <v>16</v>
      </c>
      <c r="AP25" s="140">
        <v>9</v>
      </c>
    </row>
    <row r="26" spans="1:43" ht="16" thickBot="1">
      <c r="A26" s="184"/>
      <c r="B26" s="125" t="s">
        <v>2648</v>
      </c>
      <c r="C26" s="220">
        <v>43</v>
      </c>
      <c r="D26" s="220"/>
      <c r="E26" s="220"/>
      <c r="F26" s="220"/>
      <c r="G26" s="220"/>
      <c r="H26" s="221">
        <v>43</v>
      </c>
      <c r="I26" s="221"/>
      <c r="J26" s="221"/>
      <c r="K26" s="221"/>
      <c r="L26" s="221"/>
      <c r="M26" s="221"/>
      <c r="N26" s="221"/>
      <c r="O26" s="220">
        <v>42</v>
      </c>
      <c r="P26" s="220"/>
      <c r="Q26" s="220"/>
      <c r="R26" s="220"/>
      <c r="S26" s="220"/>
      <c r="T26" s="220"/>
      <c r="U26" s="221">
        <v>40</v>
      </c>
      <c r="V26" s="221"/>
      <c r="W26" s="221"/>
      <c r="X26" s="221"/>
      <c r="Y26" s="221"/>
      <c r="Z26" s="221"/>
      <c r="AA26" s="221"/>
      <c r="AB26" s="221"/>
      <c r="AC26" s="221"/>
      <c r="AD26" s="222">
        <v>39</v>
      </c>
      <c r="AE26" s="222"/>
      <c r="AF26" s="222"/>
      <c r="AG26" s="222"/>
      <c r="AH26" s="242">
        <v>40</v>
      </c>
      <c r="AI26" s="242"/>
      <c r="AJ26" s="242"/>
      <c r="AK26" s="242"/>
      <c r="AL26" s="242"/>
      <c r="AM26" s="222">
        <v>36</v>
      </c>
      <c r="AN26" s="222"/>
      <c r="AO26" s="222"/>
      <c r="AP26" s="243"/>
    </row>
    <row r="27" spans="1:43" ht="13" thickTop="1"/>
    <row r="28" spans="1:43" ht="13" thickBot="1"/>
    <row r="29" spans="1:43" ht="20" thickTop="1">
      <c r="A29" s="260" t="s">
        <v>2298</v>
      </c>
      <c r="B29" s="261"/>
      <c r="C29" s="155" t="s">
        <v>2620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6"/>
    </row>
    <row r="30" spans="1:43" ht="17">
      <c r="A30" s="262" t="s">
        <v>2299</v>
      </c>
      <c r="B30" s="263"/>
      <c r="C30" s="180" t="s">
        <v>2702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2"/>
      <c r="O30" s="168" t="s">
        <v>2703</v>
      </c>
      <c r="P30" s="169"/>
      <c r="Q30" s="169"/>
      <c r="R30" s="169"/>
      <c r="S30" s="169"/>
      <c r="T30" s="169"/>
      <c r="U30" s="170"/>
      <c r="V30" s="180" t="s">
        <v>2704</v>
      </c>
      <c r="W30" s="181"/>
      <c r="X30" s="181"/>
      <c r="Y30" s="181"/>
      <c r="Z30" s="181"/>
      <c r="AA30" s="181"/>
      <c r="AB30" s="181"/>
      <c r="AC30" s="181"/>
      <c r="AD30" s="181"/>
      <c r="AE30" s="181"/>
      <c r="AF30" s="209"/>
    </row>
    <row r="31" spans="1:43" ht="17">
      <c r="A31" s="262" t="s">
        <v>2623</v>
      </c>
      <c r="B31" s="263"/>
      <c r="C31" s="165" t="s">
        <v>2624</v>
      </c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7"/>
      <c r="O31" s="171" t="s">
        <v>2625</v>
      </c>
      <c r="P31" s="172"/>
      <c r="Q31" s="172"/>
      <c r="R31" s="172"/>
      <c r="S31" s="172"/>
      <c r="T31" s="172"/>
      <c r="U31" s="173"/>
      <c r="V31" s="165" t="s">
        <v>2626</v>
      </c>
      <c r="W31" s="166"/>
      <c r="X31" s="166"/>
      <c r="Y31" s="166"/>
      <c r="Z31" s="166"/>
      <c r="AA31" s="166"/>
      <c r="AB31" s="166"/>
      <c r="AC31" s="166"/>
      <c r="AD31" s="166"/>
      <c r="AE31" s="166"/>
      <c r="AF31" s="210"/>
    </row>
    <row r="32" spans="1:43" ht="17">
      <c r="A32" s="262" t="s">
        <v>2300</v>
      </c>
      <c r="B32" s="263"/>
      <c r="C32" s="264" t="s">
        <v>2685</v>
      </c>
      <c r="D32" s="265"/>
      <c r="E32" s="265"/>
      <c r="F32" s="265"/>
      <c r="G32" s="265"/>
      <c r="H32" s="265"/>
      <c r="I32" s="265"/>
      <c r="J32" s="265"/>
      <c r="K32" s="265"/>
      <c r="L32" s="265"/>
      <c r="M32" s="265"/>
      <c r="N32" s="266"/>
      <c r="O32" s="174" t="s">
        <v>2684</v>
      </c>
      <c r="P32" s="175"/>
      <c r="Q32" s="175"/>
      <c r="R32" s="175"/>
      <c r="S32" s="175"/>
      <c r="T32" s="175"/>
      <c r="U32" s="176"/>
      <c r="V32" s="264" t="s">
        <v>2661</v>
      </c>
      <c r="W32" s="265"/>
      <c r="X32" s="265"/>
      <c r="Y32" s="265"/>
      <c r="Z32" s="265"/>
      <c r="AA32" s="265"/>
      <c r="AB32" s="265"/>
      <c r="AC32" s="265"/>
      <c r="AD32" s="265"/>
      <c r="AE32" s="265"/>
      <c r="AF32" s="267"/>
    </row>
    <row r="33" spans="1:51" ht="169.75" customHeight="1">
      <c r="A33" s="183" t="s">
        <v>2662</v>
      </c>
      <c r="B33" s="124" t="s">
        <v>2655</v>
      </c>
      <c r="C33" s="111" t="s">
        <v>2488</v>
      </c>
      <c r="D33" s="111" t="s">
        <v>2489</v>
      </c>
      <c r="E33" s="111" t="s">
        <v>2490</v>
      </c>
      <c r="F33" s="111" t="s">
        <v>2491</v>
      </c>
      <c r="G33" s="153" t="s">
        <v>2493</v>
      </c>
      <c r="H33" s="153" t="s">
        <v>2688</v>
      </c>
      <c r="I33" s="111" t="s">
        <v>2494</v>
      </c>
      <c r="J33" s="111" t="s">
        <v>2495</v>
      </c>
      <c r="K33" s="111" t="s">
        <v>2496</v>
      </c>
      <c r="L33" s="111" t="s">
        <v>2497</v>
      </c>
      <c r="M33" s="111" t="s">
        <v>2498</v>
      </c>
      <c r="N33" s="111" t="s">
        <v>2499</v>
      </c>
      <c r="O33" s="135" t="s">
        <v>2579</v>
      </c>
      <c r="P33" s="135" t="s">
        <v>2580</v>
      </c>
      <c r="Q33" s="135" t="s">
        <v>2583</v>
      </c>
      <c r="R33" s="135" t="s">
        <v>2584</v>
      </c>
      <c r="S33" s="135" t="s">
        <v>2588</v>
      </c>
      <c r="T33" s="135" t="s">
        <v>2589</v>
      </c>
      <c r="U33" s="135" t="s">
        <v>2593</v>
      </c>
      <c r="V33" s="111" t="s">
        <v>2576</v>
      </c>
      <c r="W33" s="111" t="s">
        <v>2599</v>
      </c>
      <c r="X33" s="111" t="s">
        <v>2601</v>
      </c>
      <c r="Y33" s="111" t="s">
        <v>2604</v>
      </c>
      <c r="Z33" s="111" t="s">
        <v>2612</v>
      </c>
      <c r="AA33" s="111" t="s">
        <v>2607</v>
      </c>
      <c r="AB33" s="111" t="s">
        <v>2608</v>
      </c>
      <c r="AC33" s="111" t="s">
        <v>2609</v>
      </c>
      <c r="AD33" s="111" t="s">
        <v>2614</v>
      </c>
      <c r="AE33" s="153" t="s">
        <v>2492</v>
      </c>
      <c r="AF33" s="136" t="s">
        <v>2610</v>
      </c>
    </row>
    <row r="34" spans="1:51" ht="15.5">
      <c r="A34" s="183"/>
      <c r="B34" s="110" t="s">
        <v>2647</v>
      </c>
      <c r="C34" s="118">
        <v>2</v>
      </c>
      <c r="D34" s="118">
        <v>1</v>
      </c>
      <c r="E34" s="118">
        <v>3</v>
      </c>
      <c r="F34" s="118">
        <v>1</v>
      </c>
      <c r="G34" s="154">
        <v>2</v>
      </c>
      <c r="H34" s="154">
        <v>5</v>
      </c>
      <c r="I34" s="118">
        <v>1</v>
      </c>
      <c r="J34" s="118">
        <v>1</v>
      </c>
      <c r="K34" s="118">
        <v>2</v>
      </c>
      <c r="L34" s="118">
        <v>2</v>
      </c>
      <c r="M34" s="118">
        <v>2</v>
      </c>
      <c r="N34" s="118">
        <v>3</v>
      </c>
      <c r="O34" s="137">
        <v>4</v>
      </c>
      <c r="P34" s="137">
        <v>1</v>
      </c>
      <c r="Q34" s="137">
        <v>3</v>
      </c>
      <c r="R34" s="137">
        <v>2</v>
      </c>
      <c r="S34" s="137">
        <v>3</v>
      </c>
      <c r="T34" s="137">
        <v>2</v>
      </c>
      <c r="U34" s="137">
        <v>7</v>
      </c>
      <c r="V34" s="118">
        <v>1</v>
      </c>
      <c r="W34" s="118">
        <v>1</v>
      </c>
      <c r="X34" s="118">
        <v>1</v>
      </c>
      <c r="Y34" s="118">
        <v>1</v>
      </c>
      <c r="Z34" s="118">
        <v>1</v>
      </c>
      <c r="AA34" s="118">
        <v>1</v>
      </c>
      <c r="AB34" s="118">
        <v>3</v>
      </c>
      <c r="AC34" s="118">
        <v>1</v>
      </c>
      <c r="AD34" s="118">
        <v>6</v>
      </c>
      <c r="AE34" s="154">
        <v>2</v>
      </c>
      <c r="AF34" s="138">
        <v>1</v>
      </c>
    </row>
    <row r="35" spans="1:51" ht="16" thickBot="1">
      <c r="A35" s="184"/>
      <c r="B35" s="125" t="s">
        <v>2648</v>
      </c>
      <c r="C35" s="159">
        <v>25</v>
      </c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246"/>
      <c r="O35" s="162">
        <v>22</v>
      </c>
      <c r="P35" s="163"/>
      <c r="Q35" s="163"/>
      <c r="R35" s="163"/>
      <c r="S35" s="163"/>
      <c r="T35" s="163"/>
      <c r="U35" s="164"/>
      <c r="V35" s="159">
        <v>19</v>
      </c>
      <c r="W35" s="160"/>
      <c r="X35" s="160"/>
      <c r="Y35" s="160"/>
      <c r="Z35" s="160"/>
      <c r="AA35" s="160"/>
      <c r="AB35" s="160"/>
      <c r="AC35" s="160"/>
      <c r="AD35" s="160"/>
      <c r="AE35" s="160"/>
      <c r="AF35" s="161"/>
    </row>
    <row r="36" spans="1:51" ht="13" thickTop="1"/>
    <row r="37" spans="1:51" ht="13" thickBot="1"/>
    <row r="38" spans="1:51" ht="20" thickTop="1">
      <c r="A38" s="260" t="s">
        <v>2298</v>
      </c>
      <c r="B38" s="261"/>
      <c r="C38" s="217" t="s">
        <v>2619</v>
      </c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19"/>
    </row>
    <row r="39" spans="1:51" ht="17">
      <c r="A39" s="262" t="s">
        <v>2299</v>
      </c>
      <c r="B39" s="263"/>
      <c r="C39" s="215" t="s">
        <v>2698</v>
      </c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6" t="s">
        <v>2699</v>
      </c>
      <c r="R39" s="216"/>
      <c r="S39" s="216"/>
      <c r="T39" s="216"/>
      <c r="U39" s="215" t="s">
        <v>2700</v>
      </c>
      <c r="V39" s="215"/>
      <c r="W39" s="215"/>
      <c r="X39" s="215"/>
      <c r="Y39" s="216" t="s">
        <v>2701</v>
      </c>
      <c r="Z39" s="216"/>
      <c r="AA39" s="216"/>
      <c r="AB39" s="253"/>
    </row>
    <row r="40" spans="1:51" ht="17">
      <c r="A40" s="262" t="s">
        <v>2623</v>
      </c>
      <c r="B40" s="263"/>
      <c r="C40" s="240" t="s">
        <v>2624</v>
      </c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31" t="s">
        <v>2625</v>
      </c>
      <c r="R40" s="231"/>
      <c r="S40" s="231"/>
      <c r="T40" s="231"/>
      <c r="U40" s="240" t="s">
        <v>2626</v>
      </c>
      <c r="V40" s="240"/>
      <c r="W40" s="240"/>
      <c r="X40" s="240"/>
      <c r="Y40" s="231" t="s">
        <v>2627</v>
      </c>
      <c r="Z40" s="231"/>
      <c r="AA40" s="231"/>
      <c r="AB40" s="252"/>
    </row>
    <row r="41" spans="1:51" ht="17">
      <c r="A41" s="262" t="s">
        <v>2300</v>
      </c>
      <c r="B41" s="263"/>
      <c r="C41" s="185" t="s">
        <v>2660</v>
      </c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7" t="s">
        <v>2658</v>
      </c>
      <c r="R41" s="188"/>
      <c r="S41" s="188"/>
      <c r="T41" s="188"/>
      <c r="U41" s="185" t="s">
        <v>2659</v>
      </c>
      <c r="V41" s="186"/>
      <c r="W41" s="186"/>
      <c r="X41" s="186"/>
      <c r="Y41" s="187" t="s">
        <v>2657</v>
      </c>
      <c r="Z41" s="188"/>
      <c r="AA41" s="188"/>
      <c r="AB41" s="245"/>
    </row>
    <row r="42" spans="1:51" ht="138" customHeight="1">
      <c r="A42" s="183" t="s">
        <v>2651</v>
      </c>
      <c r="B42" s="124" t="s">
        <v>2656</v>
      </c>
      <c r="C42" s="132" t="s">
        <v>2500</v>
      </c>
      <c r="D42" s="132" t="s">
        <v>2501</v>
      </c>
      <c r="E42" s="132" t="s">
        <v>2502</v>
      </c>
      <c r="F42" s="132" t="s">
        <v>2503</v>
      </c>
      <c r="G42" s="132" t="s">
        <v>2504</v>
      </c>
      <c r="H42" s="132" t="s">
        <v>2505</v>
      </c>
      <c r="I42" s="132" t="s">
        <v>2506</v>
      </c>
      <c r="J42" s="132" t="s">
        <v>2507</v>
      </c>
      <c r="K42" s="132" t="s">
        <v>2508</v>
      </c>
      <c r="L42" s="132" t="s">
        <v>2509</v>
      </c>
      <c r="M42" s="132" t="s">
        <v>2510</v>
      </c>
      <c r="N42" s="132" t="s">
        <v>2511</v>
      </c>
      <c r="O42" s="132" t="s">
        <v>2512</v>
      </c>
      <c r="P42" s="132" t="s">
        <v>2513</v>
      </c>
      <c r="Q42" s="112" t="s">
        <v>2514</v>
      </c>
      <c r="R42" s="112" t="s">
        <v>2515</v>
      </c>
      <c r="S42" s="112" t="s">
        <v>2516</v>
      </c>
      <c r="T42" s="112" t="s">
        <v>2517</v>
      </c>
      <c r="U42" s="132" t="s">
        <v>2518</v>
      </c>
      <c r="V42" s="132" t="s">
        <v>2519</v>
      </c>
      <c r="W42" s="132" t="s">
        <v>2520</v>
      </c>
      <c r="X42" s="132" t="s">
        <v>2521</v>
      </c>
      <c r="Y42" s="112" t="s">
        <v>2522</v>
      </c>
      <c r="Z42" s="112" t="s">
        <v>2523</v>
      </c>
      <c r="AA42" s="112" t="s">
        <v>2524</v>
      </c>
      <c r="AB42" s="133" t="s">
        <v>2525</v>
      </c>
    </row>
    <row r="43" spans="1:51" ht="15.5">
      <c r="A43" s="183"/>
      <c r="B43" s="110" t="s">
        <v>2647</v>
      </c>
      <c r="C43" s="72">
        <v>1</v>
      </c>
      <c r="D43" s="72">
        <v>1</v>
      </c>
      <c r="E43" s="72">
        <v>1</v>
      </c>
      <c r="F43" s="72">
        <v>1</v>
      </c>
      <c r="G43" s="72">
        <v>4</v>
      </c>
      <c r="H43" s="72">
        <v>1</v>
      </c>
      <c r="I43" s="72">
        <v>1</v>
      </c>
      <c r="J43" s="72">
        <v>1</v>
      </c>
      <c r="K43" s="72">
        <v>2</v>
      </c>
      <c r="L43" s="72">
        <v>1</v>
      </c>
      <c r="M43" s="72">
        <v>1</v>
      </c>
      <c r="N43" s="72">
        <v>9</v>
      </c>
      <c r="O43" s="72">
        <v>5</v>
      </c>
      <c r="P43" s="72">
        <v>3</v>
      </c>
      <c r="Q43" s="119">
        <v>10</v>
      </c>
      <c r="R43" s="119">
        <v>4</v>
      </c>
      <c r="S43" s="119">
        <v>16</v>
      </c>
      <c r="T43" s="119">
        <v>7</v>
      </c>
      <c r="U43" s="72">
        <v>15</v>
      </c>
      <c r="V43" s="72">
        <v>8</v>
      </c>
      <c r="W43" s="72">
        <v>5</v>
      </c>
      <c r="X43" s="72">
        <v>11</v>
      </c>
      <c r="Y43" s="119">
        <v>10</v>
      </c>
      <c r="Z43" s="119">
        <v>10</v>
      </c>
      <c r="AA43" s="119">
        <v>8</v>
      </c>
      <c r="AB43" s="134">
        <v>7</v>
      </c>
    </row>
    <row r="44" spans="1:51" ht="16" thickBot="1">
      <c r="A44" s="184"/>
      <c r="B44" s="125" t="s">
        <v>2648</v>
      </c>
      <c r="C44" s="220">
        <v>32</v>
      </c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1">
        <v>37</v>
      </c>
      <c r="R44" s="221"/>
      <c r="S44" s="221"/>
      <c r="T44" s="221"/>
      <c r="U44" s="220">
        <v>39</v>
      </c>
      <c r="V44" s="220"/>
      <c r="W44" s="220"/>
      <c r="X44" s="220"/>
      <c r="Y44" s="221">
        <v>35</v>
      </c>
      <c r="Z44" s="221"/>
      <c r="AA44" s="221"/>
      <c r="AB44" s="250"/>
    </row>
    <row r="45" spans="1:51" ht="13.5" thickTop="1" thickBot="1"/>
    <row r="46" spans="1:51" ht="20" thickTop="1">
      <c r="A46" s="272" t="s">
        <v>2298</v>
      </c>
      <c r="B46" s="273"/>
      <c r="C46" s="189" t="s">
        <v>2622</v>
      </c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0"/>
      <c r="AK46" s="190"/>
      <c r="AL46" s="190"/>
      <c r="AM46" s="190"/>
      <c r="AN46" s="190"/>
      <c r="AO46" s="190"/>
      <c r="AP46" s="190"/>
      <c r="AQ46" s="190"/>
      <c r="AR46" s="190"/>
      <c r="AS46" s="190"/>
      <c r="AT46" s="190"/>
      <c r="AU46" s="190"/>
      <c r="AV46" s="190"/>
      <c r="AW46" s="190"/>
      <c r="AX46" s="190"/>
      <c r="AY46" s="191"/>
    </row>
    <row r="47" spans="1:51" ht="17">
      <c r="A47" s="274" t="s">
        <v>2299</v>
      </c>
      <c r="B47" s="275"/>
      <c r="C47" s="180" t="s">
        <v>2711</v>
      </c>
      <c r="D47" s="181"/>
      <c r="E47" s="181"/>
      <c r="F47" s="181"/>
      <c r="G47" s="182"/>
      <c r="H47" s="216" t="s">
        <v>2710</v>
      </c>
      <c r="I47" s="216"/>
      <c r="J47" s="216"/>
      <c r="K47" s="216"/>
      <c r="L47" s="216"/>
      <c r="M47" s="216"/>
      <c r="N47" s="215" t="s">
        <v>2712</v>
      </c>
      <c r="O47" s="215"/>
      <c r="P47" s="215"/>
      <c r="Q47" s="215"/>
      <c r="R47" s="168" t="s">
        <v>2713</v>
      </c>
      <c r="S47" s="169"/>
      <c r="T47" s="169"/>
      <c r="U47" s="169"/>
      <c r="V47" s="170"/>
      <c r="W47" s="177" t="s">
        <v>2697</v>
      </c>
      <c r="X47" s="178"/>
      <c r="Y47" s="178"/>
      <c r="Z47" s="178"/>
      <c r="AA47" s="178"/>
      <c r="AB47" s="179"/>
      <c r="AC47" s="203" t="s">
        <v>2696</v>
      </c>
      <c r="AD47" s="203"/>
      <c r="AE47" s="203"/>
      <c r="AF47" s="199" t="s">
        <v>2695</v>
      </c>
      <c r="AG47" s="199"/>
      <c r="AH47" s="199"/>
      <c r="AI47" s="199"/>
      <c r="AJ47" s="157" t="s">
        <v>2694</v>
      </c>
      <c r="AK47" s="158"/>
      <c r="AL47" s="158"/>
      <c r="AM47" s="158"/>
      <c r="AN47" s="198" t="s">
        <v>2693</v>
      </c>
      <c r="AO47" s="198"/>
      <c r="AP47" s="198"/>
      <c r="AQ47" s="198"/>
      <c r="AR47" s="258" t="s">
        <v>2692</v>
      </c>
      <c r="AS47" s="258"/>
      <c r="AT47" s="258"/>
      <c r="AU47" s="258"/>
      <c r="AV47" s="258"/>
      <c r="AW47" s="198" t="s">
        <v>2691</v>
      </c>
      <c r="AX47" s="254"/>
      <c r="AY47" s="255"/>
    </row>
    <row r="48" spans="1:51" ht="17">
      <c r="A48" s="274" t="s">
        <v>2623</v>
      </c>
      <c r="B48" s="275"/>
      <c r="C48" s="240" t="s">
        <v>2624</v>
      </c>
      <c r="D48" s="240"/>
      <c r="E48" s="240"/>
      <c r="F48" s="240"/>
      <c r="G48" s="240"/>
      <c r="H48" s="231" t="s">
        <v>2625</v>
      </c>
      <c r="I48" s="231"/>
      <c r="J48" s="231"/>
      <c r="K48" s="231"/>
      <c r="L48" s="231"/>
      <c r="M48" s="231"/>
      <c r="N48" s="240" t="s">
        <v>2626</v>
      </c>
      <c r="O48" s="240"/>
      <c r="P48" s="240"/>
      <c r="Q48" s="240"/>
      <c r="R48" s="231" t="s">
        <v>2627</v>
      </c>
      <c r="S48" s="231"/>
      <c r="T48" s="231"/>
      <c r="U48" s="231"/>
      <c r="V48" s="231"/>
      <c r="W48" s="206" t="s">
        <v>2628</v>
      </c>
      <c r="X48" s="206"/>
      <c r="Y48" s="206"/>
      <c r="Z48" s="206"/>
      <c r="AA48" s="206"/>
      <c r="AB48" s="206"/>
      <c r="AC48" s="204" t="s">
        <v>2630</v>
      </c>
      <c r="AD48" s="204"/>
      <c r="AE48" s="204"/>
      <c r="AF48" s="200" t="s">
        <v>2631</v>
      </c>
      <c r="AG48" s="200"/>
      <c r="AH48" s="200"/>
      <c r="AI48" s="200"/>
      <c r="AJ48" s="204" t="s">
        <v>2632</v>
      </c>
      <c r="AK48" s="204"/>
      <c r="AL48" s="204"/>
      <c r="AM48" s="204"/>
      <c r="AN48" s="197" t="s">
        <v>2633</v>
      </c>
      <c r="AO48" s="197"/>
      <c r="AP48" s="197"/>
      <c r="AQ48" s="197"/>
      <c r="AR48" s="259" t="s">
        <v>2634</v>
      </c>
      <c r="AS48" s="259"/>
      <c r="AT48" s="259"/>
      <c r="AU48" s="259"/>
      <c r="AV48" s="259"/>
      <c r="AW48" s="237" t="s">
        <v>2635</v>
      </c>
      <c r="AX48" s="237"/>
      <c r="AY48" s="238"/>
    </row>
    <row r="49" spans="1:51" ht="17">
      <c r="A49" s="274" t="s">
        <v>2300</v>
      </c>
      <c r="B49" s="275"/>
      <c r="C49" s="185" t="s">
        <v>2641</v>
      </c>
      <c r="D49" s="185"/>
      <c r="E49" s="185"/>
      <c r="F49" s="185"/>
      <c r="G49" s="185"/>
      <c r="H49" s="187" t="s">
        <v>2642</v>
      </c>
      <c r="I49" s="188"/>
      <c r="J49" s="188"/>
      <c r="K49" s="188"/>
      <c r="L49" s="188"/>
      <c r="M49" s="188"/>
      <c r="N49" s="185" t="s">
        <v>2687</v>
      </c>
      <c r="O49" s="186"/>
      <c r="P49" s="186"/>
      <c r="Q49" s="186"/>
      <c r="R49" s="187" t="s">
        <v>2643</v>
      </c>
      <c r="S49" s="188"/>
      <c r="T49" s="188"/>
      <c r="U49" s="188"/>
      <c r="V49" s="188"/>
      <c r="W49" s="207" t="s">
        <v>2644</v>
      </c>
      <c r="X49" s="207"/>
      <c r="Y49" s="207"/>
      <c r="Z49" s="207"/>
      <c r="AA49" s="207"/>
      <c r="AB49" s="207"/>
      <c r="AC49" s="205" t="s">
        <v>2637</v>
      </c>
      <c r="AD49" s="205"/>
      <c r="AE49" s="205"/>
      <c r="AF49" s="201" t="s">
        <v>2638</v>
      </c>
      <c r="AG49" s="201"/>
      <c r="AH49" s="201"/>
      <c r="AI49" s="201"/>
      <c r="AJ49" s="205" t="s">
        <v>2639</v>
      </c>
      <c r="AK49" s="232"/>
      <c r="AL49" s="232"/>
      <c r="AM49" s="232"/>
      <c r="AN49" s="196" t="s">
        <v>2640</v>
      </c>
      <c r="AO49" s="196"/>
      <c r="AP49" s="196"/>
      <c r="AQ49" s="196"/>
      <c r="AR49" s="256" t="s">
        <v>2636</v>
      </c>
      <c r="AS49" s="257"/>
      <c r="AT49" s="257"/>
      <c r="AU49" s="257"/>
      <c r="AV49" s="257"/>
      <c r="AW49" s="196" t="s">
        <v>2617</v>
      </c>
      <c r="AX49" s="237"/>
      <c r="AY49" s="238"/>
    </row>
    <row r="50" spans="1:51" ht="186.65" customHeight="1">
      <c r="A50" s="183" t="s">
        <v>2645</v>
      </c>
      <c r="B50" s="124" t="s">
        <v>2646</v>
      </c>
      <c r="C50" s="111" t="s">
        <v>2526</v>
      </c>
      <c r="D50" s="111" t="s">
        <v>2527</v>
      </c>
      <c r="E50" s="111" t="s">
        <v>2528</v>
      </c>
      <c r="F50" s="111" t="s">
        <v>2529</v>
      </c>
      <c r="G50" s="111" t="s">
        <v>2530</v>
      </c>
      <c r="H50" s="112" t="s">
        <v>2531</v>
      </c>
      <c r="I50" s="112" t="s">
        <v>2532</v>
      </c>
      <c r="J50" s="112" t="s">
        <v>2533</v>
      </c>
      <c r="K50" s="112" t="s">
        <v>2534</v>
      </c>
      <c r="L50" s="112" t="s">
        <v>2535</v>
      </c>
      <c r="M50" s="112" t="s">
        <v>2536</v>
      </c>
      <c r="N50" s="111" t="s">
        <v>2537</v>
      </c>
      <c r="O50" s="111" t="s">
        <v>2538</v>
      </c>
      <c r="P50" s="111" t="s">
        <v>2539</v>
      </c>
      <c r="Q50" s="111" t="s">
        <v>2540</v>
      </c>
      <c r="R50" s="112" t="s">
        <v>2541</v>
      </c>
      <c r="S50" s="112" t="s">
        <v>2542</v>
      </c>
      <c r="T50" s="112" t="s">
        <v>2543</v>
      </c>
      <c r="U50" s="112" t="s">
        <v>2544</v>
      </c>
      <c r="V50" s="112" t="s">
        <v>2545</v>
      </c>
      <c r="W50" s="113" t="s">
        <v>2546</v>
      </c>
      <c r="X50" s="113" t="s">
        <v>2547</v>
      </c>
      <c r="Y50" s="113" t="s">
        <v>2548</v>
      </c>
      <c r="Z50" s="113" t="s">
        <v>2549</v>
      </c>
      <c r="AA50" s="113" t="s">
        <v>2551</v>
      </c>
      <c r="AB50" s="113" t="s">
        <v>2550</v>
      </c>
      <c r="AC50" s="126" t="s">
        <v>2552</v>
      </c>
      <c r="AD50" s="126" t="s">
        <v>2553</v>
      </c>
      <c r="AE50" s="126" t="s">
        <v>2554</v>
      </c>
      <c r="AF50" s="149" t="s">
        <v>2555</v>
      </c>
      <c r="AG50" s="149" t="s">
        <v>2564</v>
      </c>
      <c r="AH50" s="130" t="s">
        <v>2565</v>
      </c>
      <c r="AI50" s="130" t="s">
        <v>2556</v>
      </c>
      <c r="AJ50" s="128" t="s">
        <v>2558</v>
      </c>
      <c r="AK50" s="128" t="s">
        <v>2559</v>
      </c>
      <c r="AL50" s="128" t="s">
        <v>2562</v>
      </c>
      <c r="AM50" s="128" t="s">
        <v>2561</v>
      </c>
      <c r="AN50" s="114" t="s">
        <v>2560</v>
      </c>
      <c r="AO50" s="114" t="s">
        <v>2563</v>
      </c>
      <c r="AP50" s="150" t="s">
        <v>2566</v>
      </c>
      <c r="AQ50" s="150" t="s">
        <v>2557</v>
      </c>
      <c r="AR50" s="115" t="s">
        <v>2567</v>
      </c>
      <c r="AS50" s="115" t="s">
        <v>2568</v>
      </c>
      <c r="AT50" s="115" t="s">
        <v>2569</v>
      </c>
      <c r="AU50" s="115" t="s">
        <v>2570</v>
      </c>
      <c r="AV50" s="115" t="s">
        <v>2571</v>
      </c>
      <c r="AW50" s="116" t="s">
        <v>2572</v>
      </c>
      <c r="AX50" s="116" t="s">
        <v>2573</v>
      </c>
      <c r="AY50" s="117" t="s">
        <v>2574</v>
      </c>
    </row>
    <row r="51" spans="1:51" ht="15.5">
      <c r="A51" s="183"/>
      <c r="B51" s="110" t="s">
        <v>2647</v>
      </c>
      <c r="C51" s="118">
        <v>3</v>
      </c>
      <c r="D51" s="118">
        <v>1</v>
      </c>
      <c r="E51" s="118">
        <v>6</v>
      </c>
      <c r="F51" s="118">
        <v>9</v>
      </c>
      <c r="G51" s="118">
        <v>6</v>
      </c>
      <c r="H51" s="119">
        <v>2</v>
      </c>
      <c r="I51" s="119">
        <v>3</v>
      </c>
      <c r="J51" s="119">
        <v>6</v>
      </c>
      <c r="K51" s="119">
        <v>1</v>
      </c>
      <c r="L51" s="119">
        <v>10</v>
      </c>
      <c r="M51" s="119">
        <v>10</v>
      </c>
      <c r="N51" s="118">
        <v>2</v>
      </c>
      <c r="O51" s="118">
        <v>1</v>
      </c>
      <c r="P51" s="118">
        <v>1</v>
      </c>
      <c r="Q51" s="118">
        <v>9</v>
      </c>
      <c r="R51" s="119">
        <v>15</v>
      </c>
      <c r="S51" s="119">
        <v>1</v>
      </c>
      <c r="T51" s="119">
        <v>5</v>
      </c>
      <c r="U51" s="119">
        <v>11</v>
      </c>
      <c r="V51" s="119">
        <v>5</v>
      </c>
      <c r="W51" s="120">
        <v>1</v>
      </c>
      <c r="X51" s="120">
        <v>9</v>
      </c>
      <c r="Y51" s="120">
        <v>13</v>
      </c>
      <c r="Z51" s="120">
        <v>2</v>
      </c>
      <c r="AA51" s="120">
        <v>7</v>
      </c>
      <c r="AB51" s="120">
        <v>8</v>
      </c>
      <c r="AC51" s="127">
        <v>4</v>
      </c>
      <c r="AD51" s="127">
        <v>12</v>
      </c>
      <c r="AE51" s="127">
        <v>8</v>
      </c>
      <c r="AF51" s="151">
        <v>16</v>
      </c>
      <c r="AG51" s="151">
        <v>5</v>
      </c>
      <c r="AH51" s="131">
        <v>7</v>
      </c>
      <c r="AI51" s="131">
        <v>8</v>
      </c>
      <c r="AJ51" s="129">
        <v>6</v>
      </c>
      <c r="AK51" s="129">
        <v>12</v>
      </c>
      <c r="AL51" s="129">
        <v>11</v>
      </c>
      <c r="AM51" s="129">
        <v>6</v>
      </c>
      <c r="AN51" s="121">
        <v>14</v>
      </c>
      <c r="AO51" s="121">
        <v>6</v>
      </c>
      <c r="AP51" s="152">
        <v>6</v>
      </c>
      <c r="AQ51" s="152">
        <v>13</v>
      </c>
      <c r="AR51" s="122">
        <v>4</v>
      </c>
      <c r="AS51" s="122">
        <v>10</v>
      </c>
      <c r="AT51" s="122">
        <v>3</v>
      </c>
      <c r="AU51" s="122">
        <v>14</v>
      </c>
      <c r="AV51" s="122">
        <v>6</v>
      </c>
      <c r="AW51" s="109">
        <v>4</v>
      </c>
      <c r="AX51" s="109">
        <v>5</v>
      </c>
      <c r="AY51" s="123">
        <v>4</v>
      </c>
    </row>
    <row r="52" spans="1:51" ht="16" thickBot="1">
      <c r="A52" s="184"/>
      <c r="B52" s="125" t="s">
        <v>2648</v>
      </c>
      <c r="C52" s="229">
        <v>25</v>
      </c>
      <c r="D52" s="229"/>
      <c r="E52" s="229"/>
      <c r="F52" s="229"/>
      <c r="G52" s="229"/>
      <c r="H52" s="221">
        <v>32</v>
      </c>
      <c r="I52" s="221"/>
      <c r="J52" s="221"/>
      <c r="K52" s="221"/>
      <c r="L52" s="221"/>
      <c r="M52" s="221"/>
      <c r="N52" s="229">
        <v>13</v>
      </c>
      <c r="O52" s="229"/>
      <c r="P52" s="229"/>
      <c r="Q52" s="229"/>
      <c r="R52" s="221">
        <v>37</v>
      </c>
      <c r="S52" s="221"/>
      <c r="T52" s="221"/>
      <c r="U52" s="221"/>
      <c r="V52" s="221"/>
      <c r="W52" s="208">
        <v>40</v>
      </c>
      <c r="X52" s="208"/>
      <c r="Y52" s="208"/>
      <c r="Z52" s="208"/>
      <c r="AA52" s="208"/>
      <c r="AB52" s="208"/>
      <c r="AC52" s="202">
        <v>24</v>
      </c>
      <c r="AD52" s="202"/>
      <c r="AE52" s="202"/>
      <c r="AF52" s="194">
        <v>36</v>
      </c>
      <c r="AG52" s="194"/>
      <c r="AH52" s="194"/>
      <c r="AI52" s="194"/>
      <c r="AJ52" s="242">
        <v>35</v>
      </c>
      <c r="AK52" s="242"/>
      <c r="AL52" s="242"/>
      <c r="AM52" s="242"/>
      <c r="AN52" s="195">
        <v>39</v>
      </c>
      <c r="AO52" s="195"/>
      <c r="AP52" s="195"/>
      <c r="AQ52" s="195"/>
      <c r="AR52" s="249">
        <v>37</v>
      </c>
      <c r="AS52" s="249"/>
      <c r="AT52" s="249"/>
      <c r="AU52" s="249"/>
      <c r="AV52" s="249"/>
      <c r="AW52" s="227">
        <v>13</v>
      </c>
      <c r="AX52" s="227"/>
      <c r="AY52" s="228"/>
    </row>
    <row r="53" spans="1:51" ht="13" thickTop="1"/>
  </sheetData>
  <mergeCells count="202">
    <mergeCell ref="A12:B12"/>
    <mergeCell ref="A13:B13"/>
    <mergeCell ref="Z18:AC18"/>
    <mergeCell ref="AD18:AI18"/>
    <mergeCell ref="V32:AF32"/>
    <mergeCell ref="AW52:AY52"/>
    <mergeCell ref="A1:BA1"/>
    <mergeCell ref="A3:BA3"/>
    <mergeCell ref="C48:G48"/>
    <mergeCell ref="C49:G49"/>
    <mergeCell ref="C52:G52"/>
    <mergeCell ref="A46:B46"/>
    <mergeCell ref="A47:B47"/>
    <mergeCell ref="A48:B48"/>
    <mergeCell ref="A49:B49"/>
    <mergeCell ref="AN13:AQ13"/>
    <mergeCell ref="A14:B14"/>
    <mergeCell ref="A15:B15"/>
    <mergeCell ref="A20:B20"/>
    <mergeCell ref="A21:B21"/>
    <mergeCell ref="A22:B22"/>
    <mergeCell ref="A23:B23"/>
    <mergeCell ref="A4:B4"/>
    <mergeCell ref="A5:B5"/>
    <mergeCell ref="A6:B6"/>
    <mergeCell ref="A7:B7"/>
    <mergeCell ref="A24:A26"/>
    <mergeCell ref="A16:A18"/>
    <mergeCell ref="C30:N30"/>
    <mergeCell ref="C32:N32"/>
    <mergeCell ref="A29:B29"/>
    <mergeCell ref="A30:B30"/>
    <mergeCell ref="A31:B31"/>
    <mergeCell ref="A32:B32"/>
    <mergeCell ref="T18:Y18"/>
    <mergeCell ref="A50:A52"/>
    <mergeCell ref="A42:A44"/>
    <mergeCell ref="A33:A35"/>
    <mergeCell ref="A38:B38"/>
    <mergeCell ref="A39:B39"/>
    <mergeCell ref="A40:B40"/>
    <mergeCell ref="A41:B41"/>
    <mergeCell ref="C39:P39"/>
    <mergeCell ref="H48:M48"/>
    <mergeCell ref="N48:Q48"/>
    <mergeCell ref="AW47:AY47"/>
    <mergeCell ref="AW48:AY48"/>
    <mergeCell ref="AR49:AV49"/>
    <mergeCell ref="AJ49:AM49"/>
    <mergeCell ref="AW49:AY49"/>
    <mergeCell ref="AR47:AV47"/>
    <mergeCell ref="AR48:AV48"/>
    <mergeCell ref="AJ48:AM48"/>
    <mergeCell ref="N49:Q49"/>
    <mergeCell ref="AH23:AL23"/>
    <mergeCell ref="AM23:AP23"/>
    <mergeCell ref="O21:T21"/>
    <mergeCell ref="U21:AC21"/>
    <mergeCell ref="AD21:AG21"/>
    <mergeCell ref="R48:V48"/>
    <mergeCell ref="C40:P40"/>
    <mergeCell ref="Q40:T40"/>
    <mergeCell ref="U40:X40"/>
    <mergeCell ref="Y40:AB40"/>
    <mergeCell ref="Y39:AB39"/>
    <mergeCell ref="U39:X39"/>
    <mergeCell ref="Q39:T39"/>
    <mergeCell ref="AR52:AV52"/>
    <mergeCell ref="H47:M47"/>
    <mergeCell ref="N47:Q47"/>
    <mergeCell ref="C44:P44"/>
    <mergeCell ref="Q44:T44"/>
    <mergeCell ref="U44:X44"/>
    <mergeCell ref="Y44:AB44"/>
    <mergeCell ref="C41:P41"/>
    <mergeCell ref="C38:AB38"/>
    <mergeCell ref="H49:M49"/>
    <mergeCell ref="AJ52:AM52"/>
    <mergeCell ref="Q41:T41"/>
    <mergeCell ref="U41:X41"/>
    <mergeCell ref="Y41:AB41"/>
    <mergeCell ref="H52:M52"/>
    <mergeCell ref="N52:Q52"/>
    <mergeCell ref="R52:V52"/>
    <mergeCell ref="R49:V49"/>
    <mergeCell ref="C35:N35"/>
    <mergeCell ref="AH21:AL21"/>
    <mergeCell ref="AM21:AP21"/>
    <mergeCell ref="C23:G23"/>
    <mergeCell ref="H23:N23"/>
    <mergeCell ref="O23:T23"/>
    <mergeCell ref="U23:AC23"/>
    <mergeCell ref="AD23:AG23"/>
    <mergeCell ref="C20:AP20"/>
    <mergeCell ref="C26:G26"/>
    <mergeCell ref="H26:N26"/>
    <mergeCell ref="O26:T26"/>
    <mergeCell ref="U26:AC26"/>
    <mergeCell ref="AD26:AG26"/>
    <mergeCell ref="AH26:AL26"/>
    <mergeCell ref="AM26:AP26"/>
    <mergeCell ref="C21:G21"/>
    <mergeCell ref="H21:N21"/>
    <mergeCell ref="C22:G22"/>
    <mergeCell ref="H22:N22"/>
    <mergeCell ref="O22:T22"/>
    <mergeCell ref="U22:AC22"/>
    <mergeCell ref="AD22:AG22"/>
    <mergeCell ref="AH22:AL22"/>
    <mergeCell ref="AM22:AP22"/>
    <mergeCell ref="AN16:AO16"/>
    <mergeCell ref="AP16:AQ16"/>
    <mergeCell ref="AP17:AQ17"/>
    <mergeCell ref="AN17:AO17"/>
    <mergeCell ref="AN15:AQ15"/>
    <mergeCell ref="C12:AM12"/>
    <mergeCell ref="AN12:AQ12"/>
    <mergeCell ref="C14:F14"/>
    <mergeCell ref="G14:K14"/>
    <mergeCell ref="L14:O14"/>
    <mergeCell ref="P15:S15"/>
    <mergeCell ref="T15:Y15"/>
    <mergeCell ref="Z15:AC15"/>
    <mergeCell ref="AN14:AQ14"/>
    <mergeCell ref="AJ18:AM18"/>
    <mergeCell ref="AN18:AQ18"/>
    <mergeCell ref="P13:S13"/>
    <mergeCell ref="L13:O13"/>
    <mergeCell ref="G13:K13"/>
    <mergeCell ref="C13:F13"/>
    <mergeCell ref="C18:F18"/>
    <mergeCell ref="G18:K18"/>
    <mergeCell ref="L18:O18"/>
    <mergeCell ref="P18:S18"/>
    <mergeCell ref="P14:S14"/>
    <mergeCell ref="AD15:AI15"/>
    <mergeCell ref="AJ15:AM15"/>
    <mergeCell ref="AJ13:AM13"/>
    <mergeCell ref="AD13:AI13"/>
    <mergeCell ref="Z13:AC13"/>
    <mergeCell ref="T13:Y13"/>
    <mergeCell ref="T14:Y14"/>
    <mergeCell ref="Z14:AC14"/>
    <mergeCell ref="AD14:AI14"/>
    <mergeCell ref="AJ14:AM14"/>
    <mergeCell ref="C15:F15"/>
    <mergeCell ref="G15:K15"/>
    <mergeCell ref="L15:O15"/>
    <mergeCell ref="Y7:AE7"/>
    <mergeCell ref="AF7:AL7"/>
    <mergeCell ref="C5:I5"/>
    <mergeCell ref="J5:O5"/>
    <mergeCell ref="P5:T5"/>
    <mergeCell ref="U5:X5"/>
    <mergeCell ref="C4:AL4"/>
    <mergeCell ref="C10:I10"/>
    <mergeCell ref="J10:O10"/>
    <mergeCell ref="P10:T10"/>
    <mergeCell ref="U10:X10"/>
    <mergeCell ref="Y10:AE10"/>
    <mergeCell ref="AF10:AL10"/>
    <mergeCell ref="Y5:AE5"/>
    <mergeCell ref="AF5:AL5"/>
    <mergeCell ref="C6:I6"/>
    <mergeCell ref="J6:O6"/>
    <mergeCell ref="P6:T6"/>
    <mergeCell ref="U6:X6"/>
    <mergeCell ref="Y6:AE6"/>
    <mergeCell ref="AF6:AL6"/>
    <mergeCell ref="A8:A10"/>
    <mergeCell ref="C7:I7"/>
    <mergeCell ref="J7:O7"/>
    <mergeCell ref="P7:T7"/>
    <mergeCell ref="U7:X7"/>
    <mergeCell ref="C46:AY46"/>
    <mergeCell ref="A2:AY2"/>
    <mergeCell ref="AF52:AI52"/>
    <mergeCell ref="AN52:AQ52"/>
    <mergeCell ref="AN49:AQ49"/>
    <mergeCell ref="AN48:AQ48"/>
    <mergeCell ref="AN47:AQ47"/>
    <mergeCell ref="AF47:AI47"/>
    <mergeCell ref="AF48:AI48"/>
    <mergeCell ref="AF49:AI49"/>
    <mergeCell ref="AC52:AE52"/>
    <mergeCell ref="AC47:AE47"/>
    <mergeCell ref="AC48:AE48"/>
    <mergeCell ref="AC49:AE49"/>
    <mergeCell ref="W48:AB48"/>
    <mergeCell ref="W49:AB49"/>
    <mergeCell ref="W52:AB52"/>
    <mergeCell ref="V30:AF30"/>
    <mergeCell ref="V31:AF31"/>
    <mergeCell ref="V35:AF35"/>
    <mergeCell ref="O35:U35"/>
    <mergeCell ref="C31:N31"/>
    <mergeCell ref="O30:U30"/>
    <mergeCell ref="O31:U31"/>
    <mergeCell ref="O32:U32"/>
    <mergeCell ref="W47:AB47"/>
    <mergeCell ref="C47:G47"/>
    <mergeCell ref="R47:V47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8</vt:i4>
      </vt:variant>
    </vt:vector>
  </HeadingPairs>
  <TitlesOfParts>
    <vt:vector size="19" baseType="lpstr">
      <vt:lpstr>111-2-學期成績不及格名單-高一</vt:lpstr>
      <vt:lpstr>111-2-學期成績不及格名單-高二</vt:lpstr>
      <vt:lpstr>111B成績不及格補考名單-高二班</vt:lpstr>
      <vt:lpstr>111B不及格補考名單-高一班級</vt:lpstr>
      <vt:lpstr>111B成績不及格補考名單-高二 (公告)</vt:lpstr>
      <vt:lpstr>111B不及格補考名單-高一(公告)</vt:lpstr>
      <vt:lpstr>111B成績不及格補考名單-高二 (分卷))</vt:lpstr>
      <vt:lpstr>111B不及格補考名單-高一(分卷)</vt:lpstr>
      <vt:lpstr>111B成績不及格補考名單-高一二 (分卷)</vt:lpstr>
      <vt:lpstr>工作表1</vt:lpstr>
      <vt:lpstr>111B補考考程</vt:lpstr>
      <vt:lpstr>'111B成績不及格補考名單-高一二 (分卷)'!Print_Area</vt:lpstr>
      <vt:lpstr>'111B成績不及格補考名單-高二 (分卷))'!Print_Area</vt:lpstr>
      <vt:lpstr>'111B補考考程'!Print_Area</vt:lpstr>
      <vt:lpstr>'111B不及格補考名單-高一(公告)'!Print_Titles</vt:lpstr>
      <vt:lpstr>'111B不及格補考名單-高一(分卷)'!Print_Titles</vt:lpstr>
      <vt:lpstr>'111B成績不及格補考名單-高一二 (分卷)'!Print_Titles</vt:lpstr>
      <vt:lpstr>'111B成績不及格補考名單-高二 (公告)'!Print_Titles</vt:lpstr>
      <vt:lpstr>'111B成績不及格補考名單-高二 (分卷))'!Print_Titles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2023-07-14T03:28:06Z</cp:lastPrinted>
  <dcterms:created xsi:type="dcterms:W3CDTF">2023-07-11T05:01:47Z</dcterms:created>
  <dcterms:modified xsi:type="dcterms:W3CDTF">2023-07-14T03:28:11Z</dcterms:modified>
</cp:coreProperties>
</file>